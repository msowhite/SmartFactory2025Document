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31\공유폴더\＊심인고등학교(2025)\4월\"/>
    </mc:Choice>
  </mc:AlternateContent>
  <xr:revisionPtr revIDLastSave="0" documentId="13_ncr:1_{DA6B9230-A267-4EC7-8752-C2BE778D8D3B}" xr6:coauthVersionLast="36" xr6:coauthVersionMax="47" xr10:uidLastSave="{00000000-0000-0000-0000-000000000000}"/>
  <bookViews>
    <workbookView xWindow="0" yWindow="0" windowWidth="28800" windowHeight="12060" tabRatio="796" firstSheet="11" activeTab="20" xr2:uid="{00000000-000D-0000-FFFF-FFFF00000000}"/>
  </bookViews>
  <sheets>
    <sheet name="성분" sheetId="30" r:id="rId1"/>
    <sheet name="원본" sheetId="248" r:id="rId2"/>
    <sheet name="1화" sheetId="224" r:id="rId3"/>
    <sheet name="2수" sheetId="258" r:id="rId4"/>
    <sheet name="3목" sheetId="240" r:id="rId5"/>
    <sheet name="4금" sheetId="207" r:id="rId6"/>
    <sheet name="7월" sheetId="208" r:id="rId7"/>
    <sheet name="8화" sheetId="230" r:id="rId8"/>
    <sheet name="9수" sheetId="259" r:id="rId9"/>
    <sheet name="10목" sheetId="227" r:id="rId10"/>
    <sheet name="11금" sheetId="241" r:id="rId11"/>
    <sheet name="14월" sheetId="242" r:id="rId12"/>
    <sheet name="15화" sheetId="243" r:id="rId13"/>
    <sheet name="16수" sheetId="260" r:id="rId14"/>
    <sheet name="17목" sheetId="245" r:id="rId15"/>
    <sheet name="18금" sheetId="246" r:id="rId16"/>
    <sheet name="21월" sheetId="247" r:id="rId17"/>
    <sheet name="22화" sheetId="251" r:id="rId18"/>
    <sheet name="23수" sheetId="261" r:id="rId19"/>
    <sheet name="24목" sheetId="253" r:id="rId20"/>
    <sheet name="25금" sheetId="254" r:id="rId21"/>
    <sheet name="Sheet9" sheetId="257" r:id="rId22"/>
  </sheets>
  <externalReferences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성분!$B$1:$C$1380</definedName>
    <definedName name="_xlnm.Print_Area" localSheetId="9">'10목'!$A$1:$O$35</definedName>
    <definedName name="_xlnm.Print_Area" localSheetId="10">'11금'!$A$1:$O$44</definedName>
    <definedName name="_xlnm.Print_Area" localSheetId="11">'14월'!$A$1:$O$41</definedName>
    <definedName name="_xlnm.Print_Area" localSheetId="12">'15화'!$A$1:$O$36</definedName>
    <definedName name="_xlnm.Print_Area" localSheetId="13">'16수'!$A$1:$O$46</definedName>
    <definedName name="_xlnm.Print_Area" localSheetId="14">'17목'!$A$1:$O$35</definedName>
    <definedName name="_xlnm.Print_Area" localSheetId="15">'18금'!$A$1:$O$57</definedName>
    <definedName name="_xlnm.Print_Area" localSheetId="2">'1화'!$A$1:$O$34</definedName>
    <definedName name="_xlnm.Print_Area" localSheetId="16">'21월'!$A$1:$O$40</definedName>
    <definedName name="_xlnm.Print_Area" localSheetId="17">'22화'!$A$1:$O$36</definedName>
    <definedName name="_xlnm.Print_Area" localSheetId="18">'23수'!$A$1:$O$38</definedName>
    <definedName name="_xlnm.Print_Area" localSheetId="19">'24목'!$A$1:$O$39</definedName>
    <definedName name="_xlnm.Print_Area" localSheetId="20">'25금'!$A$1:$O$41</definedName>
    <definedName name="_xlnm.Print_Area" localSheetId="3">'2수'!$A$1:$O$41</definedName>
    <definedName name="_xlnm.Print_Area" localSheetId="4">'3목'!$A$1:$O$39</definedName>
    <definedName name="_xlnm.Print_Area" localSheetId="5">'4금'!$A$1:$O$44</definedName>
    <definedName name="_xlnm.Print_Area" localSheetId="6">'7월'!$A$1:$O$37</definedName>
    <definedName name="_xlnm.Print_Area" localSheetId="7">'8화'!$A$1:$O$41</definedName>
    <definedName name="_xlnm.Print_Area" localSheetId="8">'9수'!$A$1:$O$37</definedName>
    <definedName name="_xlnm.Print_Area" localSheetId="1">원본!$A$1:$O$36</definedName>
  </definedNames>
  <calcPr calcId="179021"/>
</workbook>
</file>

<file path=xl/calcChain.xml><?xml version="1.0" encoding="utf-8"?>
<calcChain xmlns="http://schemas.openxmlformats.org/spreadsheetml/2006/main">
  <c r="K8" i="253" l="1"/>
  <c r="P28" i="251" l="1"/>
  <c r="O28" i="251" s="1"/>
  <c r="H28" i="251"/>
  <c r="A28" i="251"/>
  <c r="I28" i="251" l="1"/>
  <c r="Q28" i="251"/>
  <c r="J28" i="251"/>
  <c r="K28" i="251"/>
  <c r="L28" i="251"/>
  <c r="E28" i="251"/>
  <c r="M28" i="251"/>
  <c r="F28" i="251"/>
  <c r="N28" i="251"/>
  <c r="G28" i="251"/>
  <c r="P21" i="247"/>
  <c r="O21" i="247"/>
  <c r="N21" i="247"/>
  <c r="M21" i="247"/>
  <c r="L21" i="247"/>
  <c r="K21" i="247"/>
  <c r="J21" i="247"/>
  <c r="I21" i="247"/>
  <c r="H21" i="247"/>
  <c r="G21" i="247"/>
  <c r="F21" i="247"/>
  <c r="E21" i="247"/>
  <c r="A21" i="247"/>
  <c r="O8" i="243" l="1"/>
  <c r="P20" i="258" l="1"/>
  <c r="J20" i="258" s="1"/>
  <c r="N20" i="258"/>
  <c r="M20" i="258"/>
  <c r="L20" i="258"/>
  <c r="K20" i="258"/>
  <c r="H20" i="258"/>
  <c r="G20" i="258"/>
  <c r="F20" i="258"/>
  <c r="E20" i="258"/>
  <c r="A20" i="258"/>
  <c r="P19" i="258"/>
  <c r="O19" i="258" s="1"/>
  <c r="A19" i="258"/>
  <c r="L19" i="258" l="1"/>
  <c r="E19" i="258"/>
  <c r="M19" i="258"/>
  <c r="I19" i="258"/>
  <c r="K19" i="258"/>
  <c r="F19" i="258"/>
  <c r="N19" i="258"/>
  <c r="H19" i="258"/>
  <c r="J19" i="258"/>
  <c r="G19" i="258"/>
  <c r="O20" i="258"/>
  <c r="I20" i="258"/>
  <c r="P34" i="246"/>
  <c r="M34" i="246"/>
  <c r="L34" i="246"/>
  <c r="K34" i="246"/>
  <c r="J34" i="246"/>
  <c r="H34" i="246"/>
  <c r="G34" i="246"/>
  <c r="F34" i="246"/>
  <c r="E34" i="246"/>
  <c r="A34" i="246"/>
  <c r="P33" i="246"/>
  <c r="O33" i="246" s="1"/>
  <c r="A33" i="246"/>
  <c r="P35" i="246"/>
  <c r="L35" i="246"/>
  <c r="K35" i="246"/>
  <c r="J35" i="246"/>
  <c r="H35" i="246"/>
  <c r="G35" i="246"/>
  <c r="F35" i="246"/>
  <c r="E35" i="246"/>
  <c r="A35" i="246"/>
  <c r="I33" i="246" l="1"/>
  <c r="J33" i="246"/>
  <c r="K33" i="246"/>
  <c r="L33" i="246"/>
  <c r="N34" i="246"/>
  <c r="E33" i="246"/>
  <c r="M33" i="246"/>
  <c r="O34" i="246"/>
  <c r="H33" i="246"/>
  <c r="N33" i="246"/>
  <c r="F33" i="246"/>
  <c r="G33" i="246"/>
  <c r="I34" i="246"/>
  <c r="M35" i="246"/>
  <c r="N35" i="246"/>
  <c r="O35" i="246"/>
  <c r="I35" i="246"/>
  <c r="P19" i="207" l="1"/>
  <c r="J19" i="207" s="1"/>
  <c r="M19" i="207"/>
  <c r="L19" i="207"/>
  <c r="K19" i="207"/>
  <c r="H19" i="207"/>
  <c r="G19" i="207"/>
  <c r="F19" i="207"/>
  <c r="E19" i="207"/>
  <c r="A19" i="207"/>
  <c r="P18" i="207"/>
  <c r="O18" i="207"/>
  <c r="N18" i="207"/>
  <c r="M18" i="207"/>
  <c r="L18" i="207"/>
  <c r="K18" i="207"/>
  <c r="J18" i="207"/>
  <c r="I18" i="207"/>
  <c r="H18" i="207"/>
  <c r="G18" i="207"/>
  <c r="F18" i="207"/>
  <c r="E18" i="207"/>
  <c r="A18" i="207"/>
  <c r="N19" i="207" l="1"/>
  <c r="O19" i="207"/>
  <c r="I19" i="207"/>
  <c r="P30" i="261"/>
  <c r="O30" i="261"/>
  <c r="N30" i="261"/>
  <c r="M30" i="261"/>
  <c r="L30" i="261"/>
  <c r="K30" i="261"/>
  <c r="J30" i="261"/>
  <c r="H30" i="261"/>
  <c r="G30" i="261"/>
  <c r="F30" i="261"/>
  <c r="E30" i="261"/>
  <c r="A30" i="261"/>
  <c r="P29" i="261"/>
  <c r="O29" i="261" s="1"/>
  <c r="A29" i="261"/>
  <c r="P28" i="261"/>
  <c r="M28" i="261" s="1"/>
  <c r="N28" i="261"/>
  <c r="K28" i="261"/>
  <c r="J28" i="261"/>
  <c r="I28" i="261"/>
  <c r="H28" i="261"/>
  <c r="F28" i="261"/>
  <c r="A28" i="261"/>
  <c r="P27" i="261"/>
  <c r="K27" i="261" s="1"/>
  <c r="L27" i="261"/>
  <c r="H27" i="261"/>
  <c r="A27" i="261"/>
  <c r="P32" i="261"/>
  <c r="O32" i="261" s="1"/>
  <c r="N32" i="261"/>
  <c r="G32" i="261"/>
  <c r="A32" i="261"/>
  <c r="P31" i="261"/>
  <c r="O31" i="261" s="1"/>
  <c r="A31" i="261"/>
  <c r="R37" i="261"/>
  <c r="S35" i="261"/>
  <c r="R34" i="261"/>
  <c r="P33" i="261"/>
  <c r="P26" i="261"/>
  <c r="O26" i="261" s="1"/>
  <c r="M26" i="261"/>
  <c r="H26" i="261"/>
  <c r="E26" i="261"/>
  <c r="A26" i="261"/>
  <c r="P25" i="261"/>
  <c r="J25" i="261" s="1"/>
  <c r="K25" i="261"/>
  <c r="I25" i="261"/>
  <c r="H25" i="261"/>
  <c r="A25" i="261"/>
  <c r="P24" i="261"/>
  <c r="L24" i="261" s="1"/>
  <c r="N24" i="261"/>
  <c r="M24" i="261"/>
  <c r="I24" i="261"/>
  <c r="H24" i="261"/>
  <c r="G24" i="261"/>
  <c r="F24" i="261"/>
  <c r="E24" i="261"/>
  <c r="A24" i="261"/>
  <c r="P23" i="261"/>
  <c r="K23" i="261" s="1"/>
  <c r="O23" i="261"/>
  <c r="N23" i="261"/>
  <c r="M23" i="261"/>
  <c r="L23" i="261"/>
  <c r="J23" i="261"/>
  <c r="I23" i="261"/>
  <c r="H23" i="261"/>
  <c r="G23" i="261"/>
  <c r="F23" i="261"/>
  <c r="E23" i="261"/>
  <c r="A23" i="261"/>
  <c r="P22" i="261"/>
  <c r="O22" i="261" s="1"/>
  <c r="K22" i="261"/>
  <c r="I22" i="261"/>
  <c r="H22" i="261"/>
  <c r="E22" i="261"/>
  <c r="A22" i="261"/>
  <c r="P21" i="261"/>
  <c r="J21" i="261" s="1"/>
  <c r="I21" i="261"/>
  <c r="A21" i="261"/>
  <c r="P20" i="261"/>
  <c r="M20" i="261" s="1"/>
  <c r="A20" i="261"/>
  <c r="P19" i="261"/>
  <c r="O19" i="261" s="1"/>
  <c r="A19" i="261"/>
  <c r="P18" i="261"/>
  <c r="O18" i="261" s="1"/>
  <c r="A18" i="261"/>
  <c r="P17" i="261"/>
  <c r="O17" i="261" s="1"/>
  <c r="A17" i="261"/>
  <c r="P16" i="261"/>
  <c r="J16" i="261" s="1"/>
  <c r="A16" i="261"/>
  <c r="P15" i="261"/>
  <c r="I15" i="261" s="1"/>
  <c r="A15" i="261"/>
  <c r="P14" i="261"/>
  <c r="O14" i="261" s="1"/>
  <c r="N14" i="261"/>
  <c r="A14" i="261"/>
  <c r="P13" i="261"/>
  <c r="I13" i="261" s="1"/>
  <c r="N13" i="261"/>
  <c r="K13" i="261"/>
  <c r="J13" i="261"/>
  <c r="G13" i="261"/>
  <c r="F13" i="261"/>
  <c r="E13" i="261"/>
  <c r="A13" i="261"/>
  <c r="P12" i="261"/>
  <c r="O12" i="261" s="1"/>
  <c r="M12" i="261"/>
  <c r="F12" i="261"/>
  <c r="A12" i="261"/>
  <c r="P11" i="261"/>
  <c r="O11" i="261" s="1"/>
  <c r="H11" i="261"/>
  <c r="A11" i="261"/>
  <c r="K8" i="261"/>
  <c r="O8" i="261" s="1"/>
  <c r="O32" i="246"/>
  <c r="N32" i="246"/>
  <c r="M32" i="246"/>
  <c r="L32" i="246"/>
  <c r="K32" i="246"/>
  <c r="J32" i="246"/>
  <c r="I32" i="246"/>
  <c r="H32" i="246"/>
  <c r="G32" i="246"/>
  <c r="F32" i="246"/>
  <c r="E32" i="246"/>
  <c r="P31" i="246"/>
  <c r="L31" i="246" s="1"/>
  <c r="M31" i="246"/>
  <c r="K31" i="246"/>
  <c r="H31" i="246"/>
  <c r="E31" i="246"/>
  <c r="A31" i="246"/>
  <c r="P30" i="247"/>
  <c r="O30" i="247"/>
  <c r="N30" i="247"/>
  <c r="M30" i="247"/>
  <c r="L30" i="247"/>
  <c r="K30" i="247"/>
  <c r="J30" i="247"/>
  <c r="H30" i="247"/>
  <c r="G30" i="247"/>
  <c r="F30" i="247"/>
  <c r="E30" i="247"/>
  <c r="A30" i="247"/>
  <c r="P31" i="247"/>
  <c r="O31" i="247"/>
  <c r="N31" i="247"/>
  <c r="M31" i="247"/>
  <c r="L31" i="247"/>
  <c r="K31" i="247"/>
  <c r="J31" i="247"/>
  <c r="I31" i="247"/>
  <c r="H31" i="247"/>
  <c r="G31" i="247"/>
  <c r="F31" i="247"/>
  <c r="E31" i="247"/>
  <c r="A31" i="247"/>
  <c r="A51" i="246"/>
  <c r="O19" i="246"/>
  <c r="N19" i="246"/>
  <c r="M19" i="246"/>
  <c r="L19" i="246"/>
  <c r="K19" i="246"/>
  <c r="J19" i="246"/>
  <c r="I19" i="246"/>
  <c r="H19" i="246"/>
  <c r="G19" i="246"/>
  <c r="F19" i="246"/>
  <c r="E19" i="246"/>
  <c r="P18" i="246"/>
  <c r="O18" i="246"/>
  <c r="N18" i="246"/>
  <c r="M18" i="246"/>
  <c r="L18" i="246"/>
  <c r="K18" i="246"/>
  <c r="J18" i="246"/>
  <c r="I18" i="246"/>
  <c r="H18" i="246"/>
  <c r="G18" i="246"/>
  <c r="F18" i="246"/>
  <c r="E18" i="246"/>
  <c r="A18" i="246"/>
  <c r="O17" i="246"/>
  <c r="N17" i="246"/>
  <c r="M17" i="246"/>
  <c r="L17" i="246"/>
  <c r="K17" i="246"/>
  <c r="J17" i="246"/>
  <c r="I17" i="246"/>
  <c r="H17" i="246"/>
  <c r="G17" i="246"/>
  <c r="F17" i="246"/>
  <c r="E17" i="246"/>
  <c r="O16" i="246"/>
  <c r="N16" i="246"/>
  <c r="M16" i="246"/>
  <c r="L16" i="246"/>
  <c r="K16" i="246"/>
  <c r="J16" i="246"/>
  <c r="I16" i="246"/>
  <c r="H16" i="246"/>
  <c r="G16" i="246"/>
  <c r="F16" i="246"/>
  <c r="E16" i="246"/>
  <c r="O15" i="246"/>
  <c r="N15" i="246"/>
  <c r="M15" i="246"/>
  <c r="L15" i="246"/>
  <c r="K15" i="246"/>
  <c r="J15" i="246"/>
  <c r="I15" i="246"/>
  <c r="H15" i="246"/>
  <c r="G15" i="246"/>
  <c r="F15" i="246"/>
  <c r="E15" i="246"/>
  <c r="P14" i="246"/>
  <c r="N14" i="246" s="1"/>
  <c r="H14" i="246"/>
  <c r="E14" i="246"/>
  <c r="A14" i="246"/>
  <c r="P13" i="246"/>
  <c r="L13" i="246" s="1"/>
  <c r="A13" i="246"/>
  <c r="O22" i="246"/>
  <c r="N22" i="246"/>
  <c r="M22" i="246"/>
  <c r="L22" i="246"/>
  <c r="K22" i="246"/>
  <c r="J22" i="246"/>
  <c r="I22" i="246"/>
  <c r="H22" i="246"/>
  <c r="G22" i="246"/>
  <c r="F22" i="246"/>
  <c r="E22" i="246"/>
  <c r="P21" i="246"/>
  <c r="N21" i="246" s="1"/>
  <c r="A21" i="246"/>
  <c r="P20" i="246"/>
  <c r="J20" i="246" s="1"/>
  <c r="A20" i="246"/>
  <c r="P12" i="246"/>
  <c r="A12" i="246"/>
  <c r="P39" i="260"/>
  <c r="J39" i="260"/>
  <c r="H39" i="260"/>
  <c r="E39" i="260"/>
  <c r="A39" i="260"/>
  <c r="P38" i="260"/>
  <c r="O38" i="260" s="1"/>
  <c r="A38" i="260"/>
  <c r="P37" i="260"/>
  <c r="K37" i="260" s="1"/>
  <c r="F37" i="260"/>
  <c r="A37" i="260"/>
  <c r="P35" i="260"/>
  <c r="J35" i="260"/>
  <c r="H35" i="260"/>
  <c r="A35" i="260"/>
  <c r="P34" i="260"/>
  <c r="O34" i="260" s="1"/>
  <c r="H34" i="260"/>
  <c r="A34" i="260"/>
  <c r="P33" i="260"/>
  <c r="M33" i="260" s="1"/>
  <c r="N33" i="260"/>
  <c r="L33" i="260"/>
  <c r="J33" i="260"/>
  <c r="H33" i="260"/>
  <c r="F33" i="260"/>
  <c r="A33" i="260"/>
  <c r="P32" i="260"/>
  <c r="K32" i="260" s="1"/>
  <c r="L32" i="260"/>
  <c r="J32" i="260"/>
  <c r="H32" i="260"/>
  <c r="A32" i="260"/>
  <c r="P31" i="260"/>
  <c r="J31" i="260"/>
  <c r="H31" i="260"/>
  <c r="A31" i="260"/>
  <c r="P30" i="260"/>
  <c r="K30" i="260"/>
  <c r="J30" i="260"/>
  <c r="I30" i="260"/>
  <c r="H30" i="260"/>
  <c r="G30" i="260"/>
  <c r="F30" i="260"/>
  <c r="E30" i="260"/>
  <c r="A30" i="260"/>
  <c r="P29" i="260"/>
  <c r="O29" i="260" s="1"/>
  <c r="H29" i="260"/>
  <c r="A29" i="260"/>
  <c r="P28" i="260"/>
  <c r="M28" i="260" s="1"/>
  <c r="O28" i="260"/>
  <c r="N28" i="260"/>
  <c r="L28" i="260"/>
  <c r="J28" i="260"/>
  <c r="I28" i="260"/>
  <c r="H28" i="260"/>
  <c r="G28" i="260"/>
  <c r="F28" i="260"/>
  <c r="E28" i="260"/>
  <c r="A28" i="260"/>
  <c r="P27" i="260"/>
  <c r="M27" i="260"/>
  <c r="L27" i="260"/>
  <c r="K27" i="260"/>
  <c r="J27" i="260"/>
  <c r="H27" i="260"/>
  <c r="A27" i="260"/>
  <c r="P26" i="260"/>
  <c r="J26" i="260"/>
  <c r="I26" i="260"/>
  <c r="H26" i="260"/>
  <c r="F26" i="260"/>
  <c r="A26" i="260"/>
  <c r="R45" i="260"/>
  <c r="S43" i="260"/>
  <c r="R42" i="260"/>
  <c r="P41" i="260"/>
  <c r="P40" i="260"/>
  <c r="A40" i="260"/>
  <c r="P36" i="260"/>
  <c r="O36" i="260" s="1"/>
  <c r="A36" i="260"/>
  <c r="P25" i="260"/>
  <c r="O25" i="260" s="1"/>
  <c r="A25" i="260"/>
  <c r="P24" i="260"/>
  <c r="L24" i="260" s="1"/>
  <c r="A24" i="260"/>
  <c r="P23" i="260"/>
  <c r="N23" i="260"/>
  <c r="M23" i="260"/>
  <c r="J23" i="260"/>
  <c r="H23" i="260"/>
  <c r="F23" i="260"/>
  <c r="A23" i="260"/>
  <c r="P22" i="260"/>
  <c r="O22" i="260" s="1"/>
  <c r="A22" i="260"/>
  <c r="P21" i="260"/>
  <c r="O21" i="260" s="1"/>
  <c r="A21" i="260"/>
  <c r="P20" i="260"/>
  <c r="L20" i="260" s="1"/>
  <c r="A20" i="260"/>
  <c r="P19" i="260"/>
  <c r="I19" i="260"/>
  <c r="H19" i="260"/>
  <c r="G19" i="260"/>
  <c r="F19" i="260"/>
  <c r="A19" i="260"/>
  <c r="P18" i="260"/>
  <c r="J18" i="260" s="1"/>
  <c r="A18" i="260"/>
  <c r="P17" i="260"/>
  <c r="O17" i="260" s="1"/>
  <c r="A17" i="260"/>
  <c r="P16" i="260"/>
  <c r="O16" i="260" s="1"/>
  <c r="A16" i="260"/>
  <c r="P15" i="260"/>
  <c r="K15" i="260" s="1"/>
  <c r="A15" i="260"/>
  <c r="P14" i="260"/>
  <c r="J14" i="260" s="1"/>
  <c r="A14" i="260"/>
  <c r="P13" i="260"/>
  <c r="N13" i="260"/>
  <c r="E13" i="260"/>
  <c r="A13" i="260"/>
  <c r="P12" i="260"/>
  <c r="O12" i="260" s="1"/>
  <c r="A12" i="260"/>
  <c r="P11" i="260"/>
  <c r="O11" i="260" s="1"/>
  <c r="A11" i="260"/>
  <c r="K8" i="260"/>
  <c r="O8" i="260" s="1"/>
  <c r="P26" i="243"/>
  <c r="Q26" i="243" s="1"/>
  <c r="O26" i="243"/>
  <c r="N26" i="243"/>
  <c r="M26" i="243"/>
  <c r="L26" i="243"/>
  <c r="K26" i="243"/>
  <c r="J26" i="243"/>
  <c r="I26" i="243"/>
  <c r="H26" i="243"/>
  <c r="G26" i="243"/>
  <c r="F26" i="243"/>
  <c r="E26" i="243"/>
  <c r="A26" i="243"/>
  <c r="P35" i="241"/>
  <c r="O35" i="241" s="1"/>
  <c r="N35" i="241"/>
  <c r="M35" i="241"/>
  <c r="L35" i="241"/>
  <c r="K35" i="241"/>
  <c r="J35" i="241"/>
  <c r="I35" i="241"/>
  <c r="H35" i="241"/>
  <c r="G35" i="241"/>
  <c r="F35" i="241"/>
  <c r="E35" i="241"/>
  <c r="A35" i="241"/>
  <c r="P20" i="259"/>
  <c r="N20" i="259"/>
  <c r="M20" i="259"/>
  <c r="L20" i="259"/>
  <c r="K20" i="259"/>
  <c r="J20" i="259"/>
  <c r="I20" i="259"/>
  <c r="H20" i="259"/>
  <c r="G20" i="259"/>
  <c r="F20" i="259"/>
  <c r="E20" i="259"/>
  <c r="R36" i="259"/>
  <c r="S34" i="259"/>
  <c r="R33" i="259"/>
  <c r="P32" i="259"/>
  <c r="P31" i="259"/>
  <c r="I31" i="259" s="1"/>
  <c r="O31" i="259"/>
  <c r="N31" i="259"/>
  <c r="M31" i="259"/>
  <c r="L31" i="259"/>
  <c r="K31" i="259"/>
  <c r="J31" i="259"/>
  <c r="H31" i="259"/>
  <c r="G31" i="259"/>
  <c r="F31" i="259"/>
  <c r="E31" i="259"/>
  <c r="P30" i="259"/>
  <c r="N30" i="259" s="1"/>
  <c r="P29" i="259"/>
  <c r="K29" i="259" s="1"/>
  <c r="N29" i="259"/>
  <c r="M29" i="259"/>
  <c r="L29" i="259"/>
  <c r="H29" i="259"/>
  <c r="F29" i="259"/>
  <c r="E29" i="259"/>
  <c r="P28" i="259"/>
  <c r="O28" i="259" s="1"/>
  <c r="H28" i="259"/>
  <c r="P27" i="259"/>
  <c r="M27" i="259" s="1"/>
  <c r="P26" i="259"/>
  <c r="K26" i="259" s="1"/>
  <c r="P25" i="259"/>
  <c r="O25" i="259" s="1"/>
  <c r="N25" i="259"/>
  <c r="M25" i="259"/>
  <c r="L25" i="259"/>
  <c r="K25" i="259"/>
  <c r="J25" i="259"/>
  <c r="I25" i="259"/>
  <c r="H25" i="259"/>
  <c r="G25" i="259"/>
  <c r="F25" i="259"/>
  <c r="E25" i="259"/>
  <c r="P24" i="259"/>
  <c r="M24" i="259" s="1"/>
  <c r="N24" i="259"/>
  <c r="H24" i="259"/>
  <c r="F24" i="259"/>
  <c r="P23" i="259"/>
  <c r="J23" i="259" s="1"/>
  <c r="M23" i="259"/>
  <c r="L23" i="259"/>
  <c r="K23" i="259"/>
  <c r="H23" i="259"/>
  <c r="G23" i="259"/>
  <c r="E23" i="259"/>
  <c r="P22" i="259"/>
  <c r="O22" i="259" s="1"/>
  <c r="H22" i="259"/>
  <c r="P21" i="259"/>
  <c r="L21" i="259" s="1"/>
  <c r="I21" i="259"/>
  <c r="P19" i="259"/>
  <c r="I19" i="259" s="1"/>
  <c r="O19" i="259"/>
  <c r="N19" i="259"/>
  <c r="M19" i="259"/>
  <c r="E19" i="259"/>
  <c r="P18" i="259"/>
  <c r="N18" i="259" s="1"/>
  <c r="O18" i="259"/>
  <c r="G18" i="259"/>
  <c r="P17" i="259"/>
  <c r="K17" i="259" s="1"/>
  <c r="N17" i="259"/>
  <c r="M17" i="259"/>
  <c r="L17" i="259"/>
  <c r="H17" i="259"/>
  <c r="F17" i="259"/>
  <c r="E17" i="259"/>
  <c r="P16" i="259"/>
  <c r="I16" i="259" s="1"/>
  <c r="P15" i="259"/>
  <c r="O15" i="259" s="1"/>
  <c r="P14" i="259"/>
  <c r="L14" i="259" s="1"/>
  <c r="O14" i="259"/>
  <c r="M14" i="259"/>
  <c r="I14" i="259"/>
  <c r="H14" i="259"/>
  <c r="G14" i="259"/>
  <c r="F14" i="259"/>
  <c r="E14" i="259"/>
  <c r="P13" i="259"/>
  <c r="J13" i="259" s="1"/>
  <c r="O13" i="259"/>
  <c r="N13" i="259"/>
  <c r="M13" i="259"/>
  <c r="L13" i="259"/>
  <c r="K13" i="259"/>
  <c r="H13" i="259"/>
  <c r="G13" i="259"/>
  <c r="F13" i="259"/>
  <c r="E13" i="259"/>
  <c r="P12" i="259"/>
  <c r="J12" i="259" s="1"/>
  <c r="O12" i="259"/>
  <c r="N12" i="259"/>
  <c r="M12" i="259"/>
  <c r="L12" i="259"/>
  <c r="K12" i="259"/>
  <c r="G12" i="259"/>
  <c r="F12" i="259"/>
  <c r="E12" i="259"/>
  <c r="P11" i="259"/>
  <c r="N11" i="259" s="1"/>
  <c r="O11" i="259"/>
  <c r="K8" i="259"/>
  <c r="O8" i="259" s="1"/>
  <c r="P17" i="208"/>
  <c r="J17" i="208" s="1"/>
  <c r="K17" i="208"/>
  <c r="H17" i="208"/>
  <c r="G17" i="208"/>
  <c r="F17" i="208"/>
  <c r="E17" i="208"/>
  <c r="A17" i="208"/>
  <c r="P22" i="208"/>
  <c r="N22" i="208"/>
  <c r="H22" i="208"/>
  <c r="F22" i="208"/>
  <c r="A22" i="208"/>
  <c r="P21" i="208"/>
  <c r="N21" i="208" s="1"/>
  <c r="O21" i="208"/>
  <c r="K21" i="208"/>
  <c r="H21" i="208"/>
  <c r="G21" i="208"/>
  <c r="A21" i="208"/>
  <c r="P20" i="208"/>
  <c r="O20" i="208" s="1"/>
  <c r="A20" i="208"/>
  <c r="P19" i="208"/>
  <c r="N19" i="208" s="1"/>
  <c r="K19" i="208"/>
  <c r="G19" i="208"/>
  <c r="E19" i="208"/>
  <c r="A19" i="208"/>
  <c r="P18" i="208"/>
  <c r="M18" i="208" s="1"/>
  <c r="O18" i="208"/>
  <c r="A18" i="208"/>
  <c r="O24" i="258"/>
  <c r="P30" i="258"/>
  <c r="J30" i="258" s="1"/>
  <c r="A30" i="258"/>
  <c r="P29" i="258"/>
  <c r="A29" i="258"/>
  <c r="P28" i="258"/>
  <c r="J28" i="258" s="1"/>
  <c r="A28" i="258"/>
  <c r="P27" i="258"/>
  <c r="M27" i="258" s="1"/>
  <c r="A27" i="258"/>
  <c r="P26" i="258"/>
  <c r="H26" i="258" s="1"/>
  <c r="A26" i="258"/>
  <c r="P25" i="258"/>
  <c r="K25" i="258" s="1"/>
  <c r="A25" i="258"/>
  <c r="P24" i="258"/>
  <c r="N24" i="258" s="1"/>
  <c r="A24" i="258"/>
  <c r="P23" i="258"/>
  <c r="I23" i="258" s="1"/>
  <c r="A23" i="258"/>
  <c r="P22" i="258"/>
  <c r="L22" i="258" s="1"/>
  <c r="A22" i="258"/>
  <c r="R40" i="258"/>
  <c r="S38" i="258"/>
  <c r="R37" i="258"/>
  <c r="P36" i="258"/>
  <c r="P35" i="258"/>
  <c r="O35" i="258" s="1"/>
  <c r="A35" i="258"/>
  <c r="P34" i="258"/>
  <c r="O34" i="258" s="1"/>
  <c r="A34" i="258"/>
  <c r="P33" i="258"/>
  <c r="M33" i="258" s="1"/>
  <c r="A33" i="258"/>
  <c r="P32" i="258"/>
  <c r="L32" i="258" s="1"/>
  <c r="A32" i="258"/>
  <c r="P31" i="258"/>
  <c r="O31" i="258" s="1"/>
  <c r="A31" i="258"/>
  <c r="P21" i="258"/>
  <c r="O21" i="258" s="1"/>
  <c r="A21" i="258"/>
  <c r="P18" i="258"/>
  <c r="J18" i="258" s="1"/>
  <c r="A18" i="258"/>
  <c r="P17" i="258"/>
  <c r="J17" i="258" s="1"/>
  <c r="A17" i="258"/>
  <c r="P16" i="258"/>
  <c r="M16" i="258" s="1"/>
  <c r="A16" i="258"/>
  <c r="P15" i="258"/>
  <c r="H15" i="258" s="1"/>
  <c r="A15" i="258"/>
  <c r="P14" i="258"/>
  <c r="I14" i="258" s="1"/>
  <c r="A14" i="258"/>
  <c r="P13" i="258"/>
  <c r="L13" i="258" s="1"/>
  <c r="A13" i="258"/>
  <c r="P12" i="258"/>
  <c r="I12" i="258" s="1"/>
  <c r="A12" i="258"/>
  <c r="P11" i="258"/>
  <c r="O11" i="258" s="1"/>
  <c r="A11" i="258"/>
  <c r="K8" i="258"/>
  <c r="O8" i="258" s="1"/>
  <c r="Q13" i="260" l="1"/>
  <c r="R13" i="260" s="1"/>
  <c r="Q35" i="260"/>
  <c r="Q23" i="260"/>
  <c r="Q40" i="260"/>
  <c r="Q30" i="260"/>
  <c r="Q41" i="260"/>
  <c r="R41" i="260" s="1"/>
  <c r="Q27" i="260"/>
  <c r="Q39" i="260"/>
  <c r="Q19" i="260"/>
  <c r="R19" i="260" s="1"/>
  <c r="Q31" i="260"/>
  <c r="Q26" i="260"/>
  <c r="Q20" i="259"/>
  <c r="I26" i="258"/>
  <c r="E30" i="258"/>
  <c r="G24" i="258"/>
  <c r="Q19" i="258"/>
  <c r="R19" i="258" s="1"/>
  <c r="Q20" i="258"/>
  <c r="R20" i="258" s="1"/>
  <c r="E13" i="258"/>
  <c r="F14" i="258"/>
  <c r="G17" i="258"/>
  <c r="F13" i="258"/>
  <c r="G14" i="258"/>
  <c r="I17" i="258"/>
  <c r="G13" i="258"/>
  <c r="J14" i="258"/>
  <c r="K17" i="258"/>
  <c r="H13" i="258"/>
  <c r="K14" i="258"/>
  <c r="L17" i="258"/>
  <c r="M13" i="258"/>
  <c r="L14" i="258"/>
  <c r="M17" i="258"/>
  <c r="N13" i="258"/>
  <c r="M14" i="258"/>
  <c r="K18" i="258"/>
  <c r="O13" i="258"/>
  <c r="N14" i="258"/>
  <c r="E14" i="258"/>
  <c r="O14" i="258"/>
  <c r="F14" i="246"/>
  <c r="H32" i="261"/>
  <c r="I32" i="261"/>
  <c r="J11" i="261"/>
  <c r="L11" i="261"/>
  <c r="E14" i="261"/>
  <c r="I11" i="261"/>
  <c r="M11" i="261"/>
  <c r="H14" i="261"/>
  <c r="H21" i="261"/>
  <c r="J22" i="261"/>
  <c r="O24" i="261"/>
  <c r="Q32" i="261"/>
  <c r="K21" i="261"/>
  <c r="L22" i="261"/>
  <c r="F32" i="261"/>
  <c r="Q30" i="261"/>
  <c r="K32" i="261"/>
  <c r="E27" i="261"/>
  <c r="M27" i="261"/>
  <c r="G28" i="261"/>
  <c r="O28" i="261"/>
  <c r="I29" i="261"/>
  <c r="Q29" i="261"/>
  <c r="H29" i="261"/>
  <c r="F27" i="261"/>
  <c r="N27" i="261"/>
  <c r="J29" i="261"/>
  <c r="G27" i="261"/>
  <c r="O27" i="261"/>
  <c r="Q28" i="261"/>
  <c r="K29" i="261"/>
  <c r="L29" i="261"/>
  <c r="I27" i="261"/>
  <c r="Q27" i="261"/>
  <c r="E29" i="261"/>
  <c r="M29" i="261"/>
  <c r="J27" i="261"/>
  <c r="L28" i="261"/>
  <c r="F29" i="261"/>
  <c r="N29" i="261"/>
  <c r="E28" i="261"/>
  <c r="G29" i="261"/>
  <c r="I30" i="261"/>
  <c r="L13" i="261"/>
  <c r="E18" i="261"/>
  <c r="I26" i="261"/>
  <c r="H31" i="261"/>
  <c r="J32" i="261"/>
  <c r="K11" i="261"/>
  <c r="M13" i="261"/>
  <c r="F18" i="261"/>
  <c r="J26" i="261"/>
  <c r="I18" i="261"/>
  <c r="K26" i="261"/>
  <c r="L32" i="261"/>
  <c r="J18" i="261"/>
  <c r="L26" i="261"/>
  <c r="E32" i="261"/>
  <c r="M32" i="261"/>
  <c r="K18" i="261"/>
  <c r="H13" i="261"/>
  <c r="L18" i="261"/>
  <c r="N18" i="261"/>
  <c r="G26" i="261"/>
  <c r="I31" i="261"/>
  <c r="Q31" i="261"/>
  <c r="J31" i="261"/>
  <c r="E11" i="261"/>
  <c r="G15" i="261"/>
  <c r="M18" i="261"/>
  <c r="K31" i="261"/>
  <c r="L31" i="261"/>
  <c r="J12" i="261"/>
  <c r="E31" i="261"/>
  <c r="M31" i="261"/>
  <c r="K12" i="261"/>
  <c r="F14" i="261"/>
  <c r="H16" i="261"/>
  <c r="H18" i="261"/>
  <c r="M22" i="261"/>
  <c r="F31" i="261"/>
  <c r="N31" i="261"/>
  <c r="I16" i="261"/>
  <c r="G31" i="261"/>
  <c r="O13" i="261"/>
  <c r="O15" i="261"/>
  <c r="E12" i="261"/>
  <c r="N12" i="261"/>
  <c r="H15" i="261"/>
  <c r="E17" i="261"/>
  <c r="H17" i="261"/>
  <c r="F20" i="261"/>
  <c r="H12" i="261"/>
  <c r="I17" i="261"/>
  <c r="G20" i="261"/>
  <c r="I12" i="261"/>
  <c r="M14" i="261"/>
  <c r="J17" i="261"/>
  <c r="H20" i="261"/>
  <c r="K17" i="261"/>
  <c r="F19" i="261"/>
  <c r="I20" i="261"/>
  <c r="L17" i="261"/>
  <c r="H19" i="261"/>
  <c r="N20" i="261"/>
  <c r="L12" i="261"/>
  <c r="M17" i="261"/>
  <c r="N19" i="261"/>
  <c r="O20" i="261"/>
  <c r="Q15" i="261"/>
  <c r="R15" i="261" s="1"/>
  <c r="Q25" i="261"/>
  <c r="Q21" i="261"/>
  <c r="Q26" i="261"/>
  <c r="Q22" i="261"/>
  <c r="Q17" i="261"/>
  <c r="R17" i="261" s="1"/>
  <c r="Q11" i="261"/>
  <c r="R11" i="261" s="1"/>
  <c r="Q33" i="261"/>
  <c r="R33" i="261" s="1"/>
  <c r="Q18" i="261"/>
  <c r="Q12" i="261"/>
  <c r="R12" i="261" s="1"/>
  <c r="Q16" i="261"/>
  <c r="Q23" i="261"/>
  <c r="Q13" i="261"/>
  <c r="R13" i="261" s="1"/>
  <c r="Q20" i="261"/>
  <c r="Q19" i="261"/>
  <c r="R19" i="261" s="1"/>
  <c r="Q14" i="261"/>
  <c r="Q24" i="261"/>
  <c r="F11" i="261"/>
  <c r="N11" i="261"/>
  <c r="G12" i="261"/>
  <c r="I14" i="261"/>
  <c r="K15" i="261"/>
  <c r="L16" i="261"/>
  <c r="F17" i="261"/>
  <c r="N17" i="261"/>
  <c r="G18" i="261"/>
  <c r="I19" i="261"/>
  <c r="J20" i="261"/>
  <c r="L21" i="261"/>
  <c r="F22" i="261"/>
  <c r="N22" i="261"/>
  <c r="J24" i="261"/>
  <c r="L25" i="261"/>
  <c r="F26" i="261"/>
  <c r="N26" i="261"/>
  <c r="J15" i="261"/>
  <c r="K16" i="261"/>
  <c r="G11" i="261"/>
  <c r="J14" i="261"/>
  <c r="L15" i="261"/>
  <c r="E16" i="261"/>
  <c r="M16" i="261"/>
  <c r="G17" i="261"/>
  <c r="J19" i="261"/>
  <c r="K20" i="261"/>
  <c r="E21" i="261"/>
  <c r="M21" i="261"/>
  <c r="G22" i="261"/>
  <c r="K24" i="261"/>
  <c r="E25" i="261"/>
  <c r="M25" i="261"/>
  <c r="K14" i="261"/>
  <c r="E15" i="261"/>
  <c r="M15" i="261"/>
  <c r="F16" i="261"/>
  <c r="N16" i="261"/>
  <c r="K19" i="261"/>
  <c r="L20" i="261"/>
  <c r="F21" i="261"/>
  <c r="N21" i="261"/>
  <c r="F25" i="261"/>
  <c r="N25" i="261"/>
  <c r="L14" i="261"/>
  <c r="F15" i="261"/>
  <c r="N15" i="261"/>
  <c r="G16" i="261"/>
  <c r="O16" i="261"/>
  <c r="L19" i="261"/>
  <c r="E20" i="261"/>
  <c r="G21" i="261"/>
  <c r="O21" i="261"/>
  <c r="G25" i="261"/>
  <c r="O25" i="261"/>
  <c r="E19" i="261"/>
  <c r="M19" i="261"/>
  <c r="G14" i="261"/>
  <c r="G19" i="261"/>
  <c r="F31" i="246"/>
  <c r="N31" i="246"/>
  <c r="G31" i="246"/>
  <c r="O31" i="246"/>
  <c r="I31" i="246"/>
  <c r="J31" i="246"/>
  <c r="I30" i="247"/>
  <c r="H13" i="246"/>
  <c r="I13" i="246"/>
  <c r="G14" i="246"/>
  <c r="J13" i="246"/>
  <c r="K13" i="246"/>
  <c r="J14" i="246"/>
  <c r="G21" i="246"/>
  <c r="H21" i="246"/>
  <c r="I21" i="246"/>
  <c r="K14" i="246"/>
  <c r="K21" i="246"/>
  <c r="L14" i="246"/>
  <c r="J21" i="246"/>
  <c r="O21" i="246"/>
  <c r="M14" i="246"/>
  <c r="G12" i="246"/>
  <c r="H12" i="246"/>
  <c r="L21" i="246"/>
  <c r="E13" i="246"/>
  <c r="M13" i="246"/>
  <c r="O14" i="246"/>
  <c r="J12" i="246"/>
  <c r="E21" i="246"/>
  <c r="M21" i="246"/>
  <c r="F13" i="246"/>
  <c r="N13" i="246"/>
  <c r="K12" i="246"/>
  <c r="F21" i="246"/>
  <c r="G13" i="246"/>
  <c r="O13" i="246"/>
  <c r="I14" i="246"/>
  <c r="L12" i="246"/>
  <c r="O12" i="246"/>
  <c r="E20" i="246"/>
  <c r="H20" i="246"/>
  <c r="K20" i="246"/>
  <c r="L20" i="246"/>
  <c r="M20" i="246"/>
  <c r="E12" i="246"/>
  <c r="M12" i="246"/>
  <c r="F20" i="246"/>
  <c r="N20" i="246"/>
  <c r="F12" i="246"/>
  <c r="N12" i="246"/>
  <c r="G20" i="246"/>
  <c r="O20" i="246"/>
  <c r="I20" i="246"/>
  <c r="I12" i="246"/>
  <c r="G37" i="260"/>
  <c r="I37" i="260"/>
  <c r="J37" i="260"/>
  <c r="L37" i="260"/>
  <c r="M37" i="260"/>
  <c r="J19" i="260"/>
  <c r="K28" i="260"/>
  <c r="N37" i="260"/>
  <c r="E23" i="260"/>
  <c r="E37" i="260"/>
  <c r="O37" i="260"/>
  <c r="H38" i="260"/>
  <c r="K19" i="260"/>
  <c r="N19" i="260"/>
  <c r="K26" i="260"/>
  <c r="O19" i="260"/>
  <c r="H37" i="260"/>
  <c r="Q37" i="260"/>
  <c r="F13" i="260"/>
  <c r="L19" i="260"/>
  <c r="K23" i="260"/>
  <c r="I38" i="260"/>
  <c r="Q38" i="260"/>
  <c r="K39" i="260"/>
  <c r="G13" i="260"/>
  <c r="E19" i="260"/>
  <c r="M19" i="260"/>
  <c r="L23" i="260"/>
  <c r="J38" i="260"/>
  <c r="L39" i="260"/>
  <c r="K38" i="260"/>
  <c r="M39" i="260"/>
  <c r="L38" i="260"/>
  <c r="F39" i="260"/>
  <c r="N39" i="260"/>
  <c r="H17" i="260"/>
  <c r="I17" i="260"/>
  <c r="E38" i="260"/>
  <c r="M38" i="260"/>
  <c r="G39" i="260"/>
  <c r="O39" i="260"/>
  <c r="F38" i="260"/>
  <c r="N38" i="260"/>
  <c r="G38" i="260"/>
  <c r="I39" i="260"/>
  <c r="K31" i="260"/>
  <c r="E32" i="260"/>
  <c r="M32" i="260"/>
  <c r="G33" i="260"/>
  <c r="O33" i="260"/>
  <c r="I34" i="260"/>
  <c r="Q34" i="260"/>
  <c r="K35" i="260"/>
  <c r="H13" i="260"/>
  <c r="J13" i="260"/>
  <c r="E40" i="260"/>
  <c r="L31" i="260"/>
  <c r="F32" i="260"/>
  <c r="N32" i="260"/>
  <c r="J34" i="260"/>
  <c r="L35" i="260"/>
  <c r="H12" i="260"/>
  <c r="K13" i="260"/>
  <c r="K18" i="260"/>
  <c r="E31" i="260"/>
  <c r="M31" i="260"/>
  <c r="G32" i="260"/>
  <c r="O32" i="260"/>
  <c r="I33" i="260"/>
  <c r="Q33" i="260"/>
  <c r="K34" i="260"/>
  <c r="E35" i="260"/>
  <c r="M35" i="260"/>
  <c r="L13" i="260"/>
  <c r="F31" i="260"/>
  <c r="N31" i="260"/>
  <c r="L34" i="260"/>
  <c r="F35" i="260"/>
  <c r="N35" i="260"/>
  <c r="G31" i="260"/>
  <c r="O31" i="260"/>
  <c r="I32" i="260"/>
  <c r="Q32" i="260"/>
  <c r="K33" i="260"/>
  <c r="E34" i="260"/>
  <c r="M34" i="260"/>
  <c r="G35" i="260"/>
  <c r="O35" i="260"/>
  <c r="O13" i="260"/>
  <c r="F34" i="260"/>
  <c r="N34" i="260"/>
  <c r="K22" i="260"/>
  <c r="I31" i="260"/>
  <c r="E33" i="260"/>
  <c r="G34" i="260"/>
  <c r="I35" i="260"/>
  <c r="Q28" i="260"/>
  <c r="E27" i="260"/>
  <c r="L18" i="260"/>
  <c r="E20" i="260"/>
  <c r="E24" i="260"/>
  <c r="F40" i="260"/>
  <c r="I29" i="260"/>
  <c r="Q29" i="260"/>
  <c r="F20" i="260"/>
  <c r="F24" i="260"/>
  <c r="H40" i="260"/>
  <c r="L26" i="260"/>
  <c r="F27" i="260"/>
  <c r="N27" i="260"/>
  <c r="J29" i="260"/>
  <c r="L30" i="260"/>
  <c r="K17" i="260"/>
  <c r="G20" i="260"/>
  <c r="G24" i="260"/>
  <c r="J40" i="260"/>
  <c r="E26" i="260"/>
  <c r="M26" i="260"/>
  <c r="G27" i="260"/>
  <c r="O27" i="260"/>
  <c r="K29" i="260"/>
  <c r="M30" i="260"/>
  <c r="H20" i="260"/>
  <c r="H24" i="260"/>
  <c r="J36" i="260"/>
  <c r="K40" i="260"/>
  <c r="N26" i="260"/>
  <c r="L29" i="260"/>
  <c r="N30" i="260"/>
  <c r="M20" i="260"/>
  <c r="M24" i="260"/>
  <c r="K36" i="260"/>
  <c r="L40" i="260"/>
  <c r="G26" i="260"/>
  <c r="O26" i="260"/>
  <c r="I27" i="260"/>
  <c r="E29" i="260"/>
  <c r="M29" i="260"/>
  <c r="O30" i="260"/>
  <c r="Q17" i="260"/>
  <c r="R17" i="260" s="1"/>
  <c r="M13" i="260"/>
  <c r="N20" i="260"/>
  <c r="N24" i="260"/>
  <c r="M40" i="260"/>
  <c r="F29" i="260"/>
  <c r="N29" i="260"/>
  <c r="H18" i="260"/>
  <c r="O20" i="260"/>
  <c r="O24" i="260"/>
  <c r="N40" i="260"/>
  <c r="G29" i="260"/>
  <c r="H21" i="260"/>
  <c r="H25" i="260"/>
  <c r="E18" i="260"/>
  <c r="M18" i="260"/>
  <c r="E15" i="260"/>
  <c r="J11" i="260"/>
  <c r="G15" i="260"/>
  <c r="F18" i="260"/>
  <c r="N18" i="260"/>
  <c r="H15" i="260"/>
  <c r="G18" i="260"/>
  <c r="O18" i="260"/>
  <c r="E14" i="260"/>
  <c r="G14" i="260"/>
  <c r="M15" i="260"/>
  <c r="I18" i="260"/>
  <c r="Q18" i="260"/>
  <c r="L15" i="260"/>
  <c r="N14" i="260"/>
  <c r="N15" i="260"/>
  <c r="K11" i="260"/>
  <c r="I12" i="260"/>
  <c r="Q12" i="260"/>
  <c r="R12" i="260" s="1"/>
  <c r="F14" i="260"/>
  <c r="O14" i="260"/>
  <c r="I21" i="260"/>
  <c r="L22" i="260"/>
  <c r="I25" i="260"/>
  <c r="L36" i="260"/>
  <c r="Q11" i="260"/>
  <c r="R11" i="260" s="1"/>
  <c r="K12" i="260"/>
  <c r="H14" i="260"/>
  <c r="Q14" i="260"/>
  <c r="R14" i="260" s="1"/>
  <c r="Q21" i="260"/>
  <c r="Q22" i="260"/>
  <c r="Q25" i="260"/>
  <c r="Q36" i="260"/>
  <c r="J12" i="260"/>
  <c r="L12" i="260"/>
  <c r="I14" i="260"/>
  <c r="O15" i="260"/>
  <c r="J17" i="260"/>
  <c r="E12" i="260"/>
  <c r="M12" i="260"/>
  <c r="K14" i="260"/>
  <c r="H22" i="260"/>
  <c r="H36" i="260"/>
  <c r="H11" i="260"/>
  <c r="F12" i="260"/>
  <c r="N12" i="260"/>
  <c r="L14" i="260"/>
  <c r="F15" i="260"/>
  <c r="L17" i="260"/>
  <c r="I22" i="260"/>
  <c r="I36" i="260"/>
  <c r="I11" i="260"/>
  <c r="G12" i="260"/>
  <c r="M14" i="260"/>
  <c r="H16" i="260"/>
  <c r="J22" i="260"/>
  <c r="J16" i="260"/>
  <c r="J21" i="260"/>
  <c r="J25" i="260"/>
  <c r="I16" i="260"/>
  <c r="Q16" i="260"/>
  <c r="I15" i="260"/>
  <c r="Q15" i="260"/>
  <c r="K16" i="260"/>
  <c r="E17" i="260"/>
  <c r="M17" i="260"/>
  <c r="I20" i="260"/>
  <c r="Q20" i="260"/>
  <c r="K21" i="260"/>
  <c r="E22" i="260"/>
  <c r="M22" i="260"/>
  <c r="G23" i="260"/>
  <c r="O23" i="260"/>
  <c r="I24" i="260"/>
  <c r="Q24" i="260"/>
  <c r="K25" i="260"/>
  <c r="E36" i="260"/>
  <c r="M36" i="260"/>
  <c r="G40" i="260"/>
  <c r="O40" i="260"/>
  <c r="F11" i="260"/>
  <c r="N11" i="260"/>
  <c r="J15" i="260"/>
  <c r="L16" i="260"/>
  <c r="F17" i="260"/>
  <c r="N17" i="260"/>
  <c r="J24" i="260"/>
  <c r="L25" i="260"/>
  <c r="F36" i="260"/>
  <c r="N36" i="260"/>
  <c r="L11" i="260"/>
  <c r="E11" i="260"/>
  <c r="M11" i="260"/>
  <c r="J20" i="260"/>
  <c r="L21" i="260"/>
  <c r="F22" i="260"/>
  <c r="N22" i="260"/>
  <c r="G11" i="260"/>
  <c r="I13" i="260"/>
  <c r="E16" i="260"/>
  <c r="M16" i="260"/>
  <c r="G17" i="260"/>
  <c r="K20" i="260"/>
  <c r="E21" i="260"/>
  <c r="M21" i="260"/>
  <c r="G22" i="260"/>
  <c r="I23" i="260"/>
  <c r="K24" i="260"/>
  <c r="E25" i="260"/>
  <c r="M25" i="260"/>
  <c r="G36" i="260"/>
  <c r="I40" i="260"/>
  <c r="F16" i="260"/>
  <c r="N16" i="260"/>
  <c r="F21" i="260"/>
  <c r="N21" i="260"/>
  <c r="F25" i="260"/>
  <c r="N25" i="260"/>
  <c r="G16" i="260"/>
  <c r="G21" i="260"/>
  <c r="G25" i="260"/>
  <c r="E26" i="259"/>
  <c r="F26" i="259"/>
  <c r="F19" i="259"/>
  <c r="E21" i="259"/>
  <c r="H26" i="259"/>
  <c r="H12" i="259"/>
  <c r="G19" i="259"/>
  <c r="F21" i="259"/>
  <c r="L26" i="259"/>
  <c r="O20" i="259"/>
  <c r="K19" i="259"/>
  <c r="G21" i="259"/>
  <c r="M26" i="259"/>
  <c r="G16" i="259"/>
  <c r="L19" i="259"/>
  <c r="H21" i="259"/>
  <c r="N26" i="259"/>
  <c r="H16" i="259"/>
  <c r="J21" i="259"/>
  <c r="I28" i="259"/>
  <c r="J16" i="259"/>
  <c r="M21" i="259"/>
  <c r="J28" i="259"/>
  <c r="K16" i="259"/>
  <c r="N21" i="259"/>
  <c r="K28" i="259"/>
  <c r="L16" i="259"/>
  <c r="L28" i="259"/>
  <c r="M16" i="259"/>
  <c r="E28" i="259"/>
  <c r="M28" i="259"/>
  <c r="E16" i="259"/>
  <c r="N16" i="259"/>
  <c r="F28" i="259"/>
  <c r="N28" i="259"/>
  <c r="F16" i="259"/>
  <c r="O16" i="259"/>
  <c r="G28" i="259"/>
  <c r="H19" i="259"/>
  <c r="O21" i="259"/>
  <c r="J19" i="259"/>
  <c r="G11" i="259"/>
  <c r="I12" i="259"/>
  <c r="H11" i="259"/>
  <c r="N14" i="259"/>
  <c r="H18" i="259"/>
  <c r="O23" i="259"/>
  <c r="G30" i="259"/>
  <c r="F27" i="259"/>
  <c r="H30" i="259"/>
  <c r="H27" i="259"/>
  <c r="I30" i="259"/>
  <c r="H15" i="259"/>
  <c r="N27" i="259"/>
  <c r="O30" i="259"/>
  <c r="Q31" i="259"/>
  <c r="Q19" i="259"/>
  <c r="Q16" i="259"/>
  <c r="R16" i="259" s="1"/>
  <c r="Q21" i="259"/>
  <c r="Q18" i="259"/>
  <c r="Q11" i="259"/>
  <c r="R11" i="259" s="1"/>
  <c r="Q15" i="259"/>
  <c r="R15" i="259" s="1"/>
  <c r="Q23" i="259"/>
  <c r="Q13" i="259"/>
  <c r="R13" i="259" s="1"/>
  <c r="Q17" i="259"/>
  <c r="Q14" i="259"/>
  <c r="Q29" i="259"/>
  <c r="Q26" i="259"/>
  <c r="R26" i="259" s="1"/>
  <c r="Q32" i="259"/>
  <c r="R32" i="259" s="1"/>
  <c r="Q27" i="259"/>
  <c r="Q24" i="259"/>
  <c r="Q28" i="259"/>
  <c r="Q25" i="259"/>
  <c r="Q12" i="259"/>
  <c r="R12" i="259" s="1"/>
  <c r="Q30" i="259"/>
  <c r="Q22" i="259"/>
  <c r="I22" i="259"/>
  <c r="G24" i="259"/>
  <c r="O24" i="259"/>
  <c r="G27" i="259"/>
  <c r="O27" i="259"/>
  <c r="K15" i="259"/>
  <c r="G17" i="259"/>
  <c r="O17" i="259"/>
  <c r="J18" i="259"/>
  <c r="K22" i="259"/>
  <c r="F23" i="259"/>
  <c r="N23" i="259"/>
  <c r="I24" i="259"/>
  <c r="G26" i="259"/>
  <c r="O26" i="259"/>
  <c r="I27" i="259"/>
  <c r="G29" i="259"/>
  <c r="O29" i="259"/>
  <c r="J30" i="259"/>
  <c r="J27" i="259"/>
  <c r="K30" i="259"/>
  <c r="K18" i="259"/>
  <c r="J24" i="259"/>
  <c r="L11" i="259"/>
  <c r="J14" i="259"/>
  <c r="E15" i="259"/>
  <c r="M15" i="259"/>
  <c r="E22" i="259"/>
  <c r="M22" i="259"/>
  <c r="I26" i="259"/>
  <c r="K27" i="259"/>
  <c r="I29" i="259"/>
  <c r="L30" i="259"/>
  <c r="L15" i="259"/>
  <c r="I17" i="259"/>
  <c r="L18" i="259"/>
  <c r="K24" i="259"/>
  <c r="I13" i="259"/>
  <c r="K14" i="259"/>
  <c r="F15" i="259"/>
  <c r="N15" i="259"/>
  <c r="K21" i="259"/>
  <c r="F22" i="259"/>
  <c r="N22" i="259"/>
  <c r="I23" i="259"/>
  <c r="L24" i="259"/>
  <c r="I15" i="259"/>
  <c r="I11" i="259"/>
  <c r="J15" i="259"/>
  <c r="I18" i="259"/>
  <c r="J22" i="259"/>
  <c r="J11" i="259"/>
  <c r="K11" i="259"/>
  <c r="L22" i="259"/>
  <c r="E11" i="259"/>
  <c r="M11" i="259"/>
  <c r="J17" i="259"/>
  <c r="E18" i="259"/>
  <c r="M18" i="259"/>
  <c r="J26" i="259"/>
  <c r="L27" i="259"/>
  <c r="J29" i="259"/>
  <c r="E30" i="259"/>
  <c r="M30" i="259"/>
  <c r="F11" i="259"/>
  <c r="G15" i="259"/>
  <c r="F18" i="259"/>
  <c r="G22" i="259"/>
  <c r="E24" i="259"/>
  <c r="E27" i="259"/>
  <c r="F30" i="259"/>
  <c r="L17" i="208"/>
  <c r="M17" i="208"/>
  <c r="N17" i="208"/>
  <c r="O17" i="208"/>
  <c r="I17" i="208"/>
  <c r="F18" i="208"/>
  <c r="G18" i="208"/>
  <c r="H18" i="208"/>
  <c r="J18" i="208"/>
  <c r="L18" i="208"/>
  <c r="N18" i="208"/>
  <c r="H20" i="208"/>
  <c r="I21" i="208"/>
  <c r="K18" i="208"/>
  <c r="H19" i="208"/>
  <c r="L20" i="208"/>
  <c r="J21" i="208"/>
  <c r="M19" i="208"/>
  <c r="E21" i="208"/>
  <c r="M21" i="208"/>
  <c r="J22" i="208"/>
  <c r="L19" i="208"/>
  <c r="L21" i="208"/>
  <c r="O19" i="208"/>
  <c r="F21" i="208"/>
  <c r="K22" i="208"/>
  <c r="I19" i="208"/>
  <c r="J20" i="208"/>
  <c r="L22" i="208"/>
  <c r="I20" i="208"/>
  <c r="I18" i="208"/>
  <c r="J19" i="208"/>
  <c r="K20" i="208"/>
  <c r="E22" i="208"/>
  <c r="M22" i="208"/>
  <c r="E20" i="208"/>
  <c r="M20" i="208"/>
  <c r="G22" i="208"/>
  <c r="O22" i="208"/>
  <c r="F20" i="208"/>
  <c r="N20" i="208"/>
  <c r="E18" i="208"/>
  <c r="F19" i="208"/>
  <c r="G20" i="208"/>
  <c r="I22" i="208"/>
  <c r="Q24" i="258"/>
  <c r="R24" i="258" s="1"/>
  <c r="Q28" i="258"/>
  <c r="R28" i="258" s="1"/>
  <c r="Q25" i="258"/>
  <c r="R25" i="258" s="1"/>
  <c r="Q23" i="258"/>
  <c r="R23" i="258" s="1"/>
  <c r="O17" i="258"/>
  <c r="L18" i="258"/>
  <c r="I21" i="258"/>
  <c r="F22" i="258"/>
  <c r="N22" i="258"/>
  <c r="K23" i="258"/>
  <c r="H24" i="258"/>
  <c r="E25" i="258"/>
  <c r="M25" i="258"/>
  <c r="J26" i="258"/>
  <c r="G27" i="258"/>
  <c r="O27" i="258"/>
  <c r="L28" i="258"/>
  <c r="F30" i="258"/>
  <c r="I35" i="258"/>
  <c r="G11" i="258"/>
  <c r="I15" i="258"/>
  <c r="F16" i="258"/>
  <c r="N16" i="258"/>
  <c r="H11" i="258"/>
  <c r="E12" i="258"/>
  <c r="J15" i="258"/>
  <c r="G16" i="258"/>
  <c r="O16" i="258"/>
  <c r="I11" i="258"/>
  <c r="F12" i="258"/>
  <c r="I13" i="258"/>
  <c r="K15" i="258"/>
  <c r="H16" i="258"/>
  <c r="E17" i="258"/>
  <c r="Q29" i="258"/>
  <c r="R29" i="258" s="1"/>
  <c r="J11" i="258"/>
  <c r="G12" i="258"/>
  <c r="J13" i="258"/>
  <c r="L15" i="258"/>
  <c r="I16" i="258"/>
  <c r="F17" i="258"/>
  <c r="N17" i="258"/>
  <c r="H21" i="258"/>
  <c r="E22" i="258"/>
  <c r="M22" i="258"/>
  <c r="J23" i="258"/>
  <c r="L25" i="258"/>
  <c r="F27" i="258"/>
  <c r="N27" i="258"/>
  <c r="K28" i="258"/>
  <c r="H35" i="258"/>
  <c r="K11" i="258"/>
  <c r="J12" i="258"/>
  <c r="K13" i="258"/>
  <c r="H14" i="258"/>
  <c r="E15" i="258"/>
  <c r="M15" i="258"/>
  <c r="J16" i="258"/>
  <c r="H34" i="258"/>
  <c r="L11" i="258"/>
  <c r="N12" i="258"/>
  <c r="F15" i="258"/>
  <c r="N15" i="258"/>
  <c r="K16" i="258"/>
  <c r="H17" i="258"/>
  <c r="E18" i="258"/>
  <c r="M18" i="258"/>
  <c r="J21" i="258"/>
  <c r="G22" i="258"/>
  <c r="O22" i="258"/>
  <c r="L23" i="258"/>
  <c r="I24" i="258"/>
  <c r="F25" i="258"/>
  <c r="N25" i="258"/>
  <c r="K26" i="258"/>
  <c r="H27" i="258"/>
  <c r="E28" i="258"/>
  <c r="M28" i="258"/>
  <c r="G30" i="258"/>
  <c r="J35" i="258"/>
  <c r="F18" i="258"/>
  <c r="N18" i="258"/>
  <c r="K21" i="258"/>
  <c r="H22" i="258"/>
  <c r="E23" i="258"/>
  <c r="M23" i="258"/>
  <c r="J24" i="258"/>
  <c r="G25" i="258"/>
  <c r="O25" i="258"/>
  <c r="L26" i="258"/>
  <c r="I27" i="258"/>
  <c r="F28" i="258"/>
  <c r="N28" i="258"/>
  <c r="K30" i="258"/>
  <c r="K35" i="258"/>
  <c r="E11" i="258"/>
  <c r="M11" i="258"/>
  <c r="G15" i="258"/>
  <c r="O15" i="258"/>
  <c r="L16" i="258"/>
  <c r="F11" i="258"/>
  <c r="N11" i="258"/>
  <c r="E16" i="258"/>
  <c r="G18" i="258"/>
  <c r="O18" i="258"/>
  <c r="L21" i="258"/>
  <c r="I22" i="258"/>
  <c r="F23" i="258"/>
  <c r="N23" i="258"/>
  <c r="K24" i="258"/>
  <c r="H25" i="258"/>
  <c r="E26" i="258"/>
  <c r="M26" i="258"/>
  <c r="J27" i="258"/>
  <c r="G28" i="258"/>
  <c r="O28" i="258"/>
  <c r="H31" i="258"/>
  <c r="L35" i="258"/>
  <c r="H18" i="258"/>
  <c r="E21" i="258"/>
  <c r="M21" i="258"/>
  <c r="J22" i="258"/>
  <c r="G23" i="258"/>
  <c r="O23" i="258"/>
  <c r="L24" i="258"/>
  <c r="I25" i="258"/>
  <c r="F26" i="258"/>
  <c r="N26" i="258"/>
  <c r="K27" i="258"/>
  <c r="H28" i="258"/>
  <c r="F29" i="258"/>
  <c r="E35" i="258"/>
  <c r="M35" i="258"/>
  <c r="I18" i="258"/>
  <c r="F21" i="258"/>
  <c r="N21" i="258"/>
  <c r="K22" i="258"/>
  <c r="H23" i="258"/>
  <c r="E24" i="258"/>
  <c r="M24" i="258"/>
  <c r="J25" i="258"/>
  <c r="G26" i="258"/>
  <c r="O26" i="258"/>
  <c r="L27" i="258"/>
  <c r="I28" i="258"/>
  <c r="H29" i="258"/>
  <c r="F35" i="258"/>
  <c r="N35" i="258"/>
  <c r="G21" i="258"/>
  <c r="F24" i="258"/>
  <c r="E27" i="258"/>
  <c r="N29" i="258"/>
  <c r="G35" i="258"/>
  <c r="I31" i="258"/>
  <c r="J31" i="258"/>
  <c r="K31" i="258"/>
  <c r="L31" i="258"/>
  <c r="E31" i="258"/>
  <c r="M31" i="258"/>
  <c r="F31" i="258"/>
  <c r="N31" i="258"/>
  <c r="G31" i="258"/>
  <c r="G29" i="258"/>
  <c r="O29" i="258"/>
  <c r="L30" i="258"/>
  <c r="M30" i="258"/>
  <c r="N30" i="258"/>
  <c r="O30" i="258"/>
  <c r="J29" i="258"/>
  <c r="K29" i="258"/>
  <c r="H30" i="258"/>
  <c r="I29" i="258"/>
  <c r="L29" i="258"/>
  <c r="I30" i="258"/>
  <c r="E29" i="258"/>
  <c r="M29" i="258"/>
  <c r="K12" i="258"/>
  <c r="L12" i="258"/>
  <c r="M12" i="258"/>
  <c r="O12" i="258"/>
  <c r="H12" i="258"/>
  <c r="Q22" i="258"/>
  <c r="R22" i="258" s="1"/>
  <c r="F33" i="258"/>
  <c r="N33" i="258"/>
  <c r="Q27" i="258"/>
  <c r="R27" i="258" s="1"/>
  <c r="Q26" i="258"/>
  <c r="R26" i="258" s="1"/>
  <c r="O32" i="258"/>
  <c r="Q30" i="258"/>
  <c r="R30" i="258" s="1"/>
  <c r="H33" i="258"/>
  <c r="E32" i="258"/>
  <c r="G32" i="258"/>
  <c r="H32" i="258"/>
  <c r="M32" i="258"/>
  <c r="Q16" i="258"/>
  <c r="R16" i="258" s="1"/>
  <c r="F32" i="258"/>
  <c r="N32" i="258"/>
  <c r="G33" i="258"/>
  <c r="O33" i="258"/>
  <c r="I34" i="258"/>
  <c r="Q34" i="258"/>
  <c r="R34" i="258" s="1"/>
  <c r="J34" i="258"/>
  <c r="Q35" i="258"/>
  <c r="R35" i="258" s="1"/>
  <c r="K34" i="258"/>
  <c r="Q36" i="258"/>
  <c r="R36" i="258" s="1"/>
  <c r="Q15" i="258"/>
  <c r="R15" i="258" s="1"/>
  <c r="Q14" i="258"/>
  <c r="R14" i="258" s="1"/>
  <c r="I33" i="258"/>
  <c r="Q33" i="258"/>
  <c r="R33" i="258" s="1"/>
  <c r="Q13" i="258"/>
  <c r="R13" i="258" s="1"/>
  <c r="I32" i="258"/>
  <c r="Q32" i="258"/>
  <c r="R32" i="258" s="1"/>
  <c r="J33" i="258"/>
  <c r="L34" i="258"/>
  <c r="Q12" i="258"/>
  <c r="R12" i="258" s="1"/>
  <c r="E34" i="258"/>
  <c r="M34" i="258"/>
  <c r="Q31" i="258"/>
  <c r="R31" i="258" s="1"/>
  <c r="J32" i="258"/>
  <c r="K33" i="258"/>
  <c r="Q11" i="258"/>
  <c r="R11" i="258" s="1"/>
  <c r="K32" i="258"/>
  <c r="L33" i="258"/>
  <c r="F34" i="258"/>
  <c r="N34" i="258"/>
  <c r="Q17" i="258"/>
  <c r="R17" i="258" s="1"/>
  <c r="Q21" i="258"/>
  <c r="R21" i="258" s="1"/>
  <c r="Q18" i="258"/>
  <c r="R18" i="258" s="1"/>
  <c r="E33" i="258"/>
  <c r="G34" i="258"/>
  <c r="E33" i="261" l="1"/>
  <c r="M33" i="261"/>
  <c r="J33" i="261"/>
  <c r="K33" i="261"/>
  <c r="L33" i="261"/>
  <c r="H33" i="261"/>
  <c r="O33" i="261"/>
  <c r="I33" i="261"/>
  <c r="N33" i="261"/>
  <c r="F33" i="261"/>
  <c r="G33" i="261"/>
  <c r="O32" i="259"/>
  <c r="F32" i="259"/>
  <c r="N32" i="259"/>
  <c r="E36" i="258"/>
  <c r="I41" i="260"/>
  <c r="O41" i="260"/>
  <c r="H41" i="260"/>
  <c r="J41" i="260"/>
  <c r="K41" i="260"/>
  <c r="G41" i="260"/>
  <c r="N41" i="260"/>
  <c r="F41" i="260"/>
  <c r="M41" i="260"/>
  <c r="E41" i="260"/>
  <c r="L41" i="260"/>
  <c r="H32" i="259"/>
  <c r="G32" i="259"/>
  <c r="M32" i="259"/>
  <c r="I32" i="259"/>
  <c r="E32" i="259"/>
  <c r="K32" i="259"/>
  <c r="J32" i="259"/>
  <c r="L32" i="259"/>
  <c r="F36" i="258"/>
  <c r="L36" i="258"/>
  <c r="K36" i="258"/>
  <c r="N36" i="258"/>
  <c r="M36" i="258"/>
  <c r="H36" i="258"/>
  <c r="J36" i="258"/>
  <c r="O36" i="258"/>
  <c r="I36" i="258"/>
  <c r="G36" i="258"/>
  <c r="P33" i="254" l="1"/>
  <c r="P34" i="254"/>
  <c r="P35" i="254"/>
  <c r="P32" i="254"/>
  <c r="O32" i="254" s="1"/>
  <c r="M32" i="254"/>
  <c r="L32" i="254"/>
  <c r="K32" i="254"/>
  <c r="J32" i="254"/>
  <c r="I32" i="254"/>
  <c r="H32" i="254"/>
  <c r="G32" i="254"/>
  <c r="F32" i="254"/>
  <c r="E32" i="254"/>
  <c r="P19" i="254"/>
  <c r="H19" i="254"/>
  <c r="A19" i="254"/>
  <c r="P18" i="254"/>
  <c r="O18" i="254" s="1"/>
  <c r="N18" i="254"/>
  <c r="M18" i="254"/>
  <c r="L18" i="254"/>
  <c r="H18" i="254"/>
  <c r="F18" i="254"/>
  <c r="E18" i="254"/>
  <c r="A18" i="254"/>
  <c r="P33" i="253"/>
  <c r="P32" i="253"/>
  <c r="P21" i="253"/>
  <c r="O21" i="253"/>
  <c r="N21" i="253"/>
  <c r="M21" i="253"/>
  <c r="L21" i="253"/>
  <c r="K21" i="253"/>
  <c r="J21" i="253"/>
  <c r="I21" i="253"/>
  <c r="H21" i="253"/>
  <c r="G21" i="253"/>
  <c r="F21" i="253"/>
  <c r="E21" i="253"/>
  <c r="A21" i="253"/>
  <c r="P24" i="251"/>
  <c r="O24" i="251" s="1"/>
  <c r="H24" i="251"/>
  <c r="A24" i="251"/>
  <c r="P23" i="251"/>
  <c r="O23" i="251" s="1"/>
  <c r="H23" i="251"/>
  <c r="A23" i="251"/>
  <c r="P27" i="247"/>
  <c r="O27" i="247"/>
  <c r="N27" i="247"/>
  <c r="M27" i="247"/>
  <c r="L27" i="247"/>
  <c r="K27" i="247"/>
  <c r="J27" i="247"/>
  <c r="I27" i="247"/>
  <c r="H27" i="247"/>
  <c r="G27" i="247"/>
  <c r="F27" i="247"/>
  <c r="E27" i="247"/>
  <c r="A27" i="247"/>
  <c r="P18" i="247"/>
  <c r="O18" i="247"/>
  <c r="N18" i="247"/>
  <c r="M18" i="247"/>
  <c r="L18" i="247"/>
  <c r="K18" i="247"/>
  <c r="J18" i="247"/>
  <c r="I18" i="247"/>
  <c r="H18" i="247"/>
  <c r="G18" i="247"/>
  <c r="F18" i="247"/>
  <c r="E18" i="247"/>
  <c r="A18" i="247"/>
  <c r="P16" i="247"/>
  <c r="J16" i="247" s="1"/>
  <c r="E16" i="247"/>
  <c r="A16" i="247"/>
  <c r="P15" i="247"/>
  <c r="M15" i="247" s="1"/>
  <c r="O15" i="247"/>
  <c r="N15" i="247"/>
  <c r="L15" i="247"/>
  <c r="K15" i="247"/>
  <c r="J15" i="247"/>
  <c r="I15" i="247"/>
  <c r="H15" i="247"/>
  <c r="G15" i="247"/>
  <c r="F15" i="247"/>
  <c r="E15" i="247"/>
  <c r="A15" i="247"/>
  <c r="P25" i="243"/>
  <c r="Q25" i="243" s="1"/>
  <c r="H25" i="243"/>
  <c r="A25" i="243"/>
  <c r="P22" i="243"/>
  <c r="O22" i="243" s="1"/>
  <c r="N22" i="243"/>
  <c r="L22" i="243"/>
  <c r="K22" i="243"/>
  <c r="E22" i="243"/>
  <c r="A22" i="243"/>
  <c r="P21" i="243"/>
  <c r="O21" i="243" s="1"/>
  <c r="A21" i="243"/>
  <c r="P32" i="242"/>
  <c r="E32" i="242" s="1"/>
  <c r="P33" i="242"/>
  <c r="P34" i="242"/>
  <c r="P35" i="242"/>
  <c r="E33" i="242"/>
  <c r="E34" i="242"/>
  <c r="E35" i="242"/>
  <c r="P20" i="242"/>
  <c r="O20" i="242"/>
  <c r="N20" i="242"/>
  <c r="M20" i="242"/>
  <c r="L20" i="242"/>
  <c r="K20" i="242"/>
  <c r="J20" i="242"/>
  <c r="I20" i="242"/>
  <c r="H20" i="242"/>
  <c r="G20" i="242"/>
  <c r="F20" i="242"/>
  <c r="E20" i="242"/>
  <c r="A20" i="242"/>
  <c r="P19" i="242"/>
  <c r="M19" i="242" s="1"/>
  <c r="O19" i="242"/>
  <c r="N19" i="242"/>
  <c r="L19" i="242"/>
  <c r="K19" i="242"/>
  <c r="H19" i="242"/>
  <c r="G19" i="242"/>
  <c r="F19" i="242"/>
  <c r="A19" i="242"/>
  <c r="A32" i="241"/>
  <c r="A33" i="241"/>
  <c r="A34" i="241"/>
  <c r="A36" i="241"/>
  <c r="A37" i="241"/>
  <c r="A38" i="241"/>
  <c r="A31" i="241"/>
  <c r="A30" i="241"/>
  <c r="A29" i="241"/>
  <c r="A28" i="241"/>
  <c r="A27" i="241"/>
  <c r="A26" i="241"/>
  <c r="A25" i="241"/>
  <c r="A24" i="241"/>
  <c r="A23" i="241"/>
  <c r="A22" i="241"/>
  <c r="A21" i="241"/>
  <c r="A20" i="241"/>
  <c r="A19" i="241"/>
  <c r="A18" i="241"/>
  <c r="A17" i="241"/>
  <c r="A16" i="241"/>
  <c r="A15" i="241"/>
  <c r="A14" i="241"/>
  <c r="A13" i="241"/>
  <c r="A12" i="241"/>
  <c r="A11" i="241"/>
  <c r="I24" i="251" l="1"/>
  <c r="L24" i="251"/>
  <c r="F24" i="251"/>
  <c r="N24" i="251"/>
  <c r="J24" i="251"/>
  <c r="K24" i="251"/>
  <c r="E24" i="251"/>
  <c r="M24" i="251"/>
  <c r="G24" i="251"/>
  <c r="I25" i="243"/>
  <c r="K25" i="243"/>
  <c r="G22" i="243"/>
  <c r="L25" i="243"/>
  <c r="H22" i="243"/>
  <c r="E25" i="243"/>
  <c r="M25" i="243"/>
  <c r="J25" i="243"/>
  <c r="F22" i="243"/>
  <c r="I22" i="243"/>
  <c r="F25" i="243"/>
  <c r="N25" i="243"/>
  <c r="J22" i="243"/>
  <c r="G25" i="243"/>
  <c r="O25" i="243"/>
  <c r="I19" i="242"/>
  <c r="J19" i="242"/>
  <c r="E19" i="242"/>
  <c r="I19" i="254"/>
  <c r="J19" i="254"/>
  <c r="K19" i="254"/>
  <c r="L19" i="254"/>
  <c r="N32" i="254"/>
  <c r="E19" i="254"/>
  <c r="M19" i="254"/>
  <c r="F19" i="254"/>
  <c r="N19" i="254"/>
  <c r="G19" i="254"/>
  <c r="O19" i="254"/>
  <c r="I18" i="254"/>
  <c r="J18" i="254"/>
  <c r="K18" i="254"/>
  <c r="G18" i="254"/>
  <c r="I23" i="251"/>
  <c r="J23" i="251"/>
  <c r="F23" i="251"/>
  <c r="N23" i="251"/>
  <c r="K23" i="251"/>
  <c r="L23" i="251"/>
  <c r="E23" i="251"/>
  <c r="M23" i="251"/>
  <c r="G23" i="251"/>
  <c r="F16" i="247"/>
  <c r="H16" i="247"/>
  <c r="I16" i="247"/>
  <c r="K16" i="247"/>
  <c r="L16" i="247"/>
  <c r="M16" i="247"/>
  <c r="N16" i="247"/>
  <c r="G16" i="247"/>
  <c r="O16" i="247"/>
  <c r="I21" i="243"/>
  <c r="J21" i="243"/>
  <c r="K21" i="243"/>
  <c r="M22" i="243"/>
  <c r="E21" i="243"/>
  <c r="M21" i="243"/>
  <c r="H21" i="243"/>
  <c r="L21" i="243"/>
  <c r="F21" i="243"/>
  <c r="N21" i="243"/>
  <c r="G21" i="243"/>
  <c r="P24" i="230" l="1"/>
  <c r="O24" i="230" s="1"/>
  <c r="L24" i="230"/>
  <c r="K24" i="230"/>
  <c r="J24" i="230"/>
  <c r="I24" i="230"/>
  <c r="H24" i="230"/>
  <c r="G24" i="230"/>
  <c r="F24" i="230"/>
  <c r="E24" i="230"/>
  <c r="P23" i="230"/>
  <c r="O23" i="230" s="1"/>
  <c r="K25" i="230"/>
  <c r="L25" i="230"/>
  <c r="M25" i="230"/>
  <c r="P25" i="230"/>
  <c r="E25" i="230" s="1"/>
  <c r="O27" i="208"/>
  <c r="M27" i="208"/>
  <c r="L27" i="208"/>
  <c r="H27" i="208"/>
  <c r="G27" i="208"/>
  <c r="E27" i="208"/>
  <c r="P27" i="208"/>
  <c r="A27" i="208"/>
  <c r="M24" i="230" l="1"/>
  <c r="N24" i="230"/>
  <c r="O25" i="230"/>
  <c r="N25" i="230"/>
  <c r="F27" i="208"/>
  <c r="N27" i="208"/>
  <c r="I27" i="208"/>
  <c r="J27" i="208"/>
  <c r="K27" i="208"/>
  <c r="H23" i="230"/>
  <c r="I23" i="230"/>
  <c r="J23" i="230"/>
  <c r="K23" i="230"/>
  <c r="E23" i="230"/>
  <c r="M23" i="230"/>
  <c r="L23" i="230"/>
  <c r="F23" i="230"/>
  <c r="N23" i="230"/>
  <c r="G23" i="230"/>
  <c r="J25" i="230"/>
  <c r="I25" i="230"/>
  <c r="H25" i="230"/>
  <c r="G25" i="230"/>
  <c r="F25" i="230"/>
  <c r="P23" i="240"/>
  <c r="J23" i="240" s="1"/>
  <c r="N23" i="240"/>
  <c r="G23" i="240"/>
  <c r="A23" i="240"/>
  <c r="P22" i="240"/>
  <c r="O22" i="240"/>
  <c r="N22" i="240"/>
  <c r="M22" i="240"/>
  <c r="L22" i="240"/>
  <c r="K22" i="240"/>
  <c r="J22" i="240"/>
  <c r="I22" i="240"/>
  <c r="H22" i="240"/>
  <c r="G22" i="240"/>
  <c r="F22" i="240"/>
  <c r="A22" i="240"/>
  <c r="E23" i="240" l="1"/>
  <c r="F23" i="240"/>
  <c r="K23" i="240"/>
  <c r="L23" i="240"/>
  <c r="M23" i="240"/>
  <c r="O23" i="240"/>
  <c r="H23" i="240"/>
  <c r="P30" i="208"/>
  <c r="P31" i="208"/>
  <c r="P39" i="207"/>
  <c r="H31" i="208" l="1"/>
  <c r="O31" i="208"/>
  <c r="G31" i="208"/>
  <c r="N31" i="208"/>
  <c r="F31" i="208"/>
  <c r="M31" i="208"/>
  <c r="E31" i="208"/>
  <c r="L31" i="208"/>
  <c r="K31" i="208"/>
  <c r="J31" i="208"/>
  <c r="I31" i="208"/>
  <c r="K30" i="208"/>
  <c r="J30" i="208"/>
  <c r="I30" i="208"/>
  <c r="H30" i="208"/>
  <c r="O30" i="208"/>
  <c r="G30" i="208"/>
  <c r="L30" i="208"/>
  <c r="N30" i="208"/>
  <c r="F30" i="208"/>
  <c r="M30" i="208"/>
  <c r="E30" i="208"/>
  <c r="J33" i="254"/>
  <c r="E34" i="254"/>
  <c r="F34" i="254"/>
  <c r="G34" i="254"/>
  <c r="H34" i="254"/>
  <c r="I34" i="254"/>
  <c r="J34" i="254"/>
  <c r="K34" i="254"/>
  <c r="L34" i="254"/>
  <c r="M34" i="254"/>
  <c r="N34" i="254"/>
  <c r="O34" i="254"/>
  <c r="E35" i="254"/>
  <c r="F35" i="254"/>
  <c r="G35" i="254"/>
  <c r="H35" i="254"/>
  <c r="I35" i="254"/>
  <c r="J35" i="254"/>
  <c r="K35" i="254"/>
  <c r="L35" i="254"/>
  <c r="M35" i="254"/>
  <c r="N35" i="254"/>
  <c r="O35" i="254"/>
  <c r="E32" i="253"/>
  <c r="F32" i="253"/>
  <c r="G32" i="253"/>
  <c r="H32" i="253"/>
  <c r="I32" i="253"/>
  <c r="J32" i="253"/>
  <c r="K32" i="253"/>
  <c r="L32" i="253"/>
  <c r="M32" i="253"/>
  <c r="N32" i="253"/>
  <c r="O32" i="253"/>
  <c r="E33" i="253"/>
  <c r="F33" i="253"/>
  <c r="G33" i="253"/>
  <c r="H33" i="253"/>
  <c r="I33" i="253"/>
  <c r="J33" i="253"/>
  <c r="K33" i="253"/>
  <c r="L33" i="253"/>
  <c r="M33" i="253"/>
  <c r="N33" i="253"/>
  <c r="O33" i="253"/>
  <c r="L29" i="251"/>
  <c r="E26" i="246"/>
  <c r="F26" i="246"/>
  <c r="G26" i="246"/>
  <c r="H26" i="246"/>
  <c r="I26" i="246"/>
  <c r="J26" i="246"/>
  <c r="K26" i="246"/>
  <c r="L26" i="246"/>
  <c r="M26" i="246"/>
  <c r="N26" i="246"/>
  <c r="O26" i="246"/>
  <c r="E27" i="246"/>
  <c r="F27" i="246"/>
  <c r="G27" i="246"/>
  <c r="H27" i="246"/>
  <c r="I27" i="246"/>
  <c r="J27" i="246"/>
  <c r="K27" i="246"/>
  <c r="L27" i="246"/>
  <c r="M27" i="246"/>
  <c r="N27" i="246"/>
  <c r="O27" i="246"/>
  <c r="E28" i="246"/>
  <c r="F28" i="246"/>
  <c r="G28" i="246"/>
  <c r="H28" i="246"/>
  <c r="I28" i="246"/>
  <c r="J28" i="246"/>
  <c r="K28" i="246"/>
  <c r="L28" i="246"/>
  <c r="M28" i="246"/>
  <c r="N28" i="246"/>
  <c r="O28" i="246"/>
  <c r="E30" i="246"/>
  <c r="F30" i="246"/>
  <c r="G30" i="246"/>
  <c r="H30" i="246"/>
  <c r="I30" i="246"/>
  <c r="J30" i="246"/>
  <c r="K30" i="246"/>
  <c r="L30" i="246"/>
  <c r="M30" i="246"/>
  <c r="N30" i="246"/>
  <c r="O30" i="246"/>
  <c r="E37" i="246"/>
  <c r="F37" i="246"/>
  <c r="G37" i="246"/>
  <c r="H37" i="246"/>
  <c r="I37" i="246"/>
  <c r="J37" i="246"/>
  <c r="K37" i="246"/>
  <c r="L37" i="246"/>
  <c r="M37" i="246"/>
  <c r="N37" i="246"/>
  <c r="O37" i="246"/>
  <c r="E51" i="246"/>
  <c r="F51" i="246"/>
  <c r="G51" i="246"/>
  <c r="H51" i="246"/>
  <c r="I51" i="246"/>
  <c r="J51" i="246"/>
  <c r="K51" i="246"/>
  <c r="L51" i="246"/>
  <c r="M51" i="246"/>
  <c r="N51" i="246"/>
  <c r="O51" i="246"/>
  <c r="E25" i="245"/>
  <c r="F25" i="245"/>
  <c r="G25" i="245"/>
  <c r="H25" i="245"/>
  <c r="I25" i="245"/>
  <c r="J25" i="245"/>
  <c r="K25" i="245"/>
  <c r="L25" i="245"/>
  <c r="M25" i="245"/>
  <c r="N25" i="245"/>
  <c r="O25" i="245"/>
  <c r="E26" i="245"/>
  <c r="F26" i="245"/>
  <c r="G26" i="245"/>
  <c r="H26" i="245"/>
  <c r="I26" i="245"/>
  <c r="J26" i="245"/>
  <c r="K26" i="245"/>
  <c r="L26" i="245"/>
  <c r="M26" i="245"/>
  <c r="N26" i="245"/>
  <c r="O26" i="245"/>
  <c r="E27" i="245"/>
  <c r="F27" i="245"/>
  <c r="G27" i="245"/>
  <c r="H27" i="245"/>
  <c r="I27" i="245"/>
  <c r="J27" i="245"/>
  <c r="K27" i="245"/>
  <c r="L27" i="245"/>
  <c r="M27" i="245"/>
  <c r="N27" i="245"/>
  <c r="O27" i="245"/>
  <c r="F34" i="242"/>
  <c r="G34" i="242"/>
  <c r="H34" i="242"/>
  <c r="I34" i="242"/>
  <c r="J34" i="242"/>
  <c r="K34" i="242"/>
  <c r="L34" i="242"/>
  <c r="M34" i="242"/>
  <c r="N34" i="242"/>
  <c r="O34" i="242"/>
  <c r="F35" i="242"/>
  <c r="G35" i="242"/>
  <c r="H35" i="242"/>
  <c r="I35" i="242"/>
  <c r="J35" i="242"/>
  <c r="K35" i="242"/>
  <c r="L35" i="242"/>
  <c r="M35" i="242"/>
  <c r="N35" i="242"/>
  <c r="O35" i="242"/>
  <c r="E17" i="241"/>
  <c r="F17" i="241"/>
  <c r="G17" i="241"/>
  <c r="H17" i="241"/>
  <c r="I17" i="241"/>
  <c r="J17" i="241"/>
  <c r="K17" i="241"/>
  <c r="L17" i="241"/>
  <c r="M17" i="241"/>
  <c r="N17" i="241"/>
  <c r="O17" i="241"/>
  <c r="M36" i="241"/>
  <c r="M38" i="241"/>
  <c r="O38" i="241"/>
  <c r="I27" i="224"/>
  <c r="P36" i="241"/>
  <c r="P37" i="241"/>
  <c r="P38" i="241"/>
  <c r="I38" i="241" s="1"/>
  <c r="P34" i="230"/>
  <c r="E34" i="230" s="1"/>
  <c r="P29" i="230"/>
  <c r="G29" i="230" s="1"/>
  <c r="P30" i="230"/>
  <c r="L30" i="230" s="1"/>
  <c r="P31" i="230"/>
  <c r="I31" i="230" s="1"/>
  <c r="P32" i="230"/>
  <c r="F32" i="230" s="1"/>
  <c r="P33" i="230"/>
  <c r="E33" i="230" s="1"/>
  <c r="R40" i="254"/>
  <c r="S38" i="254"/>
  <c r="R37" i="254"/>
  <c r="P36" i="254"/>
  <c r="K33" i="254"/>
  <c r="P31" i="254"/>
  <c r="F31" i="254" s="1"/>
  <c r="P30" i="254"/>
  <c r="I30" i="254" s="1"/>
  <c r="A30" i="254"/>
  <c r="P29" i="254"/>
  <c r="L29" i="254" s="1"/>
  <c r="A29" i="254"/>
  <c r="P28" i="254"/>
  <c r="G28" i="254" s="1"/>
  <c r="A28" i="254"/>
  <c r="P27" i="254"/>
  <c r="J27" i="254" s="1"/>
  <c r="A27" i="254"/>
  <c r="P26" i="254"/>
  <c r="E26" i="254" s="1"/>
  <c r="A26" i="254"/>
  <c r="P25" i="254"/>
  <c r="H25" i="254" s="1"/>
  <c r="A25" i="254"/>
  <c r="P24" i="254"/>
  <c r="I24" i="254" s="1"/>
  <c r="A24" i="254"/>
  <c r="P23" i="254"/>
  <c r="L23" i="254" s="1"/>
  <c r="A23" i="254"/>
  <c r="P22" i="254"/>
  <c r="K22" i="254" s="1"/>
  <c r="A22" i="254"/>
  <c r="P21" i="254"/>
  <c r="F21" i="254" s="1"/>
  <c r="A21" i="254"/>
  <c r="P20" i="254"/>
  <c r="I20" i="254" s="1"/>
  <c r="A20" i="254"/>
  <c r="P17" i="254"/>
  <c r="L17" i="254" s="1"/>
  <c r="A17" i="254"/>
  <c r="P16" i="254"/>
  <c r="G16" i="254" s="1"/>
  <c r="A16" i="254"/>
  <c r="P15" i="254"/>
  <c r="J15" i="254" s="1"/>
  <c r="A15" i="254"/>
  <c r="P14" i="254"/>
  <c r="E14" i="254" s="1"/>
  <c r="A14" i="254"/>
  <c r="P13" i="254"/>
  <c r="H13" i="254" s="1"/>
  <c r="A13" i="254"/>
  <c r="P12" i="254"/>
  <c r="K12" i="254" s="1"/>
  <c r="A12" i="254"/>
  <c r="P11" i="254"/>
  <c r="O11" i="254" s="1"/>
  <c r="A11" i="254"/>
  <c r="K8" i="254"/>
  <c r="O8" i="254" s="1"/>
  <c r="R38" i="253"/>
  <c r="S36" i="253"/>
  <c r="R35" i="253"/>
  <c r="P34" i="253"/>
  <c r="P31" i="253"/>
  <c r="J31" i="253" s="1"/>
  <c r="P30" i="253"/>
  <c r="E30" i="253" s="1"/>
  <c r="P29" i="253"/>
  <c r="H29" i="253" s="1"/>
  <c r="A29" i="253"/>
  <c r="P28" i="253"/>
  <c r="K28" i="253" s="1"/>
  <c r="A28" i="253"/>
  <c r="P27" i="253"/>
  <c r="F27" i="253" s="1"/>
  <c r="A27" i="253"/>
  <c r="P26" i="253"/>
  <c r="I26" i="253" s="1"/>
  <c r="A26" i="253"/>
  <c r="P25" i="253"/>
  <c r="J25" i="253" s="1"/>
  <c r="A25" i="253"/>
  <c r="P24" i="253"/>
  <c r="E24" i="253" s="1"/>
  <c r="A24" i="253"/>
  <c r="P23" i="253"/>
  <c r="H23" i="253" s="1"/>
  <c r="A23" i="253"/>
  <c r="P22" i="253"/>
  <c r="K22" i="253" s="1"/>
  <c r="A22" i="253"/>
  <c r="P20" i="253"/>
  <c r="F20" i="253" s="1"/>
  <c r="A20" i="253"/>
  <c r="P19" i="253"/>
  <c r="I19" i="253" s="1"/>
  <c r="A19" i="253"/>
  <c r="P18" i="253"/>
  <c r="L18" i="253" s="1"/>
  <c r="A18" i="253"/>
  <c r="P17" i="253"/>
  <c r="G17" i="253" s="1"/>
  <c r="A17" i="253"/>
  <c r="P16" i="253"/>
  <c r="J16" i="253" s="1"/>
  <c r="A16" i="253"/>
  <c r="P15" i="253"/>
  <c r="E15" i="253" s="1"/>
  <c r="A15" i="253"/>
  <c r="P14" i="253"/>
  <c r="H14" i="253" s="1"/>
  <c r="A14" i="253"/>
  <c r="P13" i="253"/>
  <c r="K13" i="253" s="1"/>
  <c r="A13" i="253"/>
  <c r="P12" i="253"/>
  <c r="F12" i="253" s="1"/>
  <c r="A12" i="253"/>
  <c r="P11" i="253"/>
  <c r="O11" i="253" s="1"/>
  <c r="A11" i="253"/>
  <c r="O8" i="253"/>
  <c r="R35" i="251"/>
  <c r="S33" i="251"/>
  <c r="R32" i="251"/>
  <c r="P31" i="251"/>
  <c r="P30" i="251"/>
  <c r="J30" i="251" s="1"/>
  <c r="A30" i="251"/>
  <c r="P29" i="251"/>
  <c r="E29" i="251" s="1"/>
  <c r="A29" i="251"/>
  <c r="P27" i="251"/>
  <c r="F27" i="251" s="1"/>
  <c r="A27" i="251"/>
  <c r="P26" i="251"/>
  <c r="I26" i="251" s="1"/>
  <c r="A26" i="251"/>
  <c r="P25" i="251"/>
  <c r="L25" i="251" s="1"/>
  <c r="A25" i="251"/>
  <c r="P22" i="251"/>
  <c r="J22" i="251" s="1"/>
  <c r="A22" i="251"/>
  <c r="P21" i="251"/>
  <c r="E21" i="251" s="1"/>
  <c r="A21" i="251"/>
  <c r="P20" i="251"/>
  <c r="H20" i="251" s="1"/>
  <c r="A20" i="251"/>
  <c r="P19" i="251"/>
  <c r="K19" i="251" s="1"/>
  <c r="A19" i="251"/>
  <c r="P18" i="251"/>
  <c r="F18" i="251" s="1"/>
  <c r="A18" i="251"/>
  <c r="P17" i="251"/>
  <c r="I17" i="251" s="1"/>
  <c r="A17" i="251"/>
  <c r="P16" i="251"/>
  <c r="L16" i="251" s="1"/>
  <c r="A16" i="251"/>
  <c r="P15" i="251"/>
  <c r="G15" i="251" s="1"/>
  <c r="A15" i="251"/>
  <c r="P14" i="251"/>
  <c r="J14" i="251" s="1"/>
  <c r="A14" i="251"/>
  <c r="P13" i="251"/>
  <c r="E13" i="251" s="1"/>
  <c r="A13" i="251"/>
  <c r="P12" i="251"/>
  <c r="H12" i="251" s="1"/>
  <c r="A12" i="251"/>
  <c r="P11" i="251"/>
  <c r="O11" i="251" s="1"/>
  <c r="A11" i="251"/>
  <c r="K8" i="251"/>
  <c r="O8" i="251" s="1"/>
  <c r="A27" i="224"/>
  <c r="A28" i="224"/>
  <c r="P27" i="224"/>
  <c r="F27" i="224" s="1"/>
  <c r="P28" i="224"/>
  <c r="I28" i="224" s="1"/>
  <c r="N26" i="251" l="1"/>
  <c r="N38" i="241"/>
  <c r="L38" i="241"/>
  <c r="H38" i="241"/>
  <c r="G38" i="241"/>
  <c r="F38" i="241"/>
  <c r="E38" i="241"/>
  <c r="N29" i="230"/>
  <c r="Q19" i="254"/>
  <c r="Q32" i="254"/>
  <c r="Q18" i="254"/>
  <c r="R18" i="254" s="1"/>
  <c r="M11" i="254"/>
  <c r="K23" i="253"/>
  <c r="Q32" i="253"/>
  <c r="Q21" i="253"/>
  <c r="N28" i="253"/>
  <c r="F28" i="253"/>
  <c r="L34" i="230"/>
  <c r="O33" i="230"/>
  <c r="H31" i="230"/>
  <c r="K30" i="230"/>
  <c r="M30" i="254"/>
  <c r="O29" i="254"/>
  <c r="L28" i="254"/>
  <c r="J26" i="254"/>
  <c r="L25" i="254"/>
  <c r="H24" i="254"/>
  <c r="H23" i="254"/>
  <c r="L30" i="254"/>
  <c r="K29" i="254"/>
  <c r="F28" i="254"/>
  <c r="I26" i="254"/>
  <c r="K25" i="254"/>
  <c r="G24" i="254"/>
  <c r="E23" i="254"/>
  <c r="K30" i="254"/>
  <c r="J29" i="254"/>
  <c r="E28" i="254"/>
  <c r="H26" i="254"/>
  <c r="G25" i="254"/>
  <c r="F24" i="254"/>
  <c r="N22" i="254"/>
  <c r="J30" i="254"/>
  <c r="I29" i="254"/>
  <c r="I27" i="254"/>
  <c r="G26" i="254"/>
  <c r="F25" i="254"/>
  <c r="O24" i="254"/>
  <c r="E24" i="254"/>
  <c r="M22" i="254"/>
  <c r="H30" i="254"/>
  <c r="H29" i="254"/>
  <c r="O26" i="254"/>
  <c r="F26" i="254"/>
  <c r="E25" i="254"/>
  <c r="N24" i="254"/>
  <c r="N23" i="254"/>
  <c r="L22" i="254"/>
  <c r="G30" i="254"/>
  <c r="G29" i="254"/>
  <c r="N26" i="254"/>
  <c r="O25" i="254"/>
  <c r="M24" i="254"/>
  <c r="K23" i="254"/>
  <c r="E22" i="254"/>
  <c r="O30" i="254"/>
  <c r="F30" i="254"/>
  <c r="N28" i="254"/>
  <c r="L26" i="254"/>
  <c r="N25" i="254"/>
  <c r="K24" i="254"/>
  <c r="J23" i="254"/>
  <c r="N30" i="254"/>
  <c r="E30" i="254"/>
  <c r="M28" i="254"/>
  <c r="K26" i="254"/>
  <c r="M25" i="254"/>
  <c r="J24" i="254"/>
  <c r="I23" i="254"/>
  <c r="L24" i="254"/>
  <c r="O23" i="254"/>
  <c r="G23" i="254"/>
  <c r="J22" i="254"/>
  <c r="M21" i="254"/>
  <c r="E21" i="254"/>
  <c r="H20" i="254"/>
  <c r="K17" i="254"/>
  <c r="N16" i="254"/>
  <c r="F16" i="254"/>
  <c r="I15" i="254"/>
  <c r="L14" i="254"/>
  <c r="O13" i="254"/>
  <c r="G13" i="254"/>
  <c r="J12" i="254"/>
  <c r="F23" i="254"/>
  <c r="I22" i="254"/>
  <c r="L21" i="254"/>
  <c r="O20" i="254"/>
  <c r="G20" i="254"/>
  <c r="J17" i="254"/>
  <c r="M16" i="254"/>
  <c r="E16" i="254"/>
  <c r="H15" i="254"/>
  <c r="K14" i="254"/>
  <c r="N13" i="254"/>
  <c r="F13" i="254"/>
  <c r="I12" i="254"/>
  <c r="H22" i="254"/>
  <c r="K21" i="254"/>
  <c r="N20" i="254"/>
  <c r="F20" i="254"/>
  <c r="I17" i="254"/>
  <c r="L16" i="254"/>
  <c r="O15" i="254"/>
  <c r="G15" i="254"/>
  <c r="J14" i="254"/>
  <c r="M13" i="254"/>
  <c r="E13" i="254"/>
  <c r="H12" i="254"/>
  <c r="M31" i="254"/>
  <c r="E31" i="254"/>
  <c r="I33" i="254"/>
  <c r="L31" i="254"/>
  <c r="H27" i="254"/>
  <c r="H33" i="254"/>
  <c r="K31" i="254"/>
  <c r="O27" i="254"/>
  <c r="G27" i="254"/>
  <c r="O33" i="254"/>
  <c r="G33" i="254"/>
  <c r="J31" i="254"/>
  <c r="K28" i="254"/>
  <c r="N27" i="254"/>
  <c r="F27" i="254"/>
  <c r="N33" i="254"/>
  <c r="F33" i="254"/>
  <c r="I31" i="254"/>
  <c r="J28" i="254"/>
  <c r="M27" i="254"/>
  <c r="E27" i="254"/>
  <c r="M33" i="254"/>
  <c r="E33" i="254"/>
  <c r="H31" i="254"/>
  <c r="N29" i="254"/>
  <c r="F29" i="254"/>
  <c r="I28" i="254"/>
  <c r="L27" i="254"/>
  <c r="J25" i="254"/>
  <c r="Q25" i="254"/>
  <c r="L33" i="254"/>
  <c r="O31" i="254"/>
  <c r="G31" i="254"/>
  <c r="M29" i="254"/>
  <c r="E29" i="254"/>
  <c r="H28" i="254"/>
  <c r="K27" i="254"/>
  <c r="I25" i="254"/>
  <c r="M23" i="254"/>
  <c r="N31" i="254"/>
  <c r="O28" i="254"/>
  <c r="M26" i="254"/>
  <c r="O22" i="254"/>
  <c r="G22" i="254"/>
  <c r="J21" i="254"/>
  <c r="M20" i="254"/>
  <c r="E20" i="254"/>
  <c r="H17" i="254"/>
  <c r="K16" i="254"/>
  <c r="N15" i="254"/>
  <c r="F15" i="254"/>
  <c r="I14" i="254"/>
  <c r="L13" i="254"/>
  <c r="O12" i="254"/>
  <c r="G12" i="254"/>
  <c r="F22" i="254"/>
  <c r="I21" i="254"/>
  <c r="L20" i="254"/>
  <c r="O17" i="254"/>
  <c r="G17" i="254"/>
  <c r="J16" i="254"/>
  <c r="M15" i="254"/>
  <c r="E15" i="254"/>
  <c r="H14" i="254"/>
  <c r="K13" i="254"/>
  <c r="N12" i="254"/>
  <c r="F12" i="254"/>
  <c r="H21" i="254"/>
  <c r="K20" i="254"/>
  <c r="N17" i="254"/>
  <c r="F17" i="254"/>
  <c r="I16" i="254"/>
  <c r="L15" i="254"/>
  <c r="O14" i="254"/>
  <c r="G14" i="254"/>
  <c r="J13" i="254"/>
  <c r="M12" i="254"/>
  <c r="E12" i="254"/>
  <c r="O21" i="254"/>
  <c r="G21" i="254"/>
  <c r="J20" i="254"/>
  <c r="M17" i="254"/>
  <c r="E17" i="254"/>
  <c r="H16" i="254"/>
  <c r="K15" i="254"/>
  <c r="N14" i="254"/>
  <c r="F14" i="254"/>
  <c r="I13" i="254"/>
  <c r="L12" i="254"/>
  <c r="N21" i="254"/>
  <c r="O16" i="254"/>
  <c r="M14" i="254"/>
  <c r="I31" i="253"/>
  <c r="L30" i="253"/>
  <c r="O29" i="253"/>
  <c r="G29" i="253"/>
  <c r="J28" i="253"/>
  <c r="M27" i="253"/>
  <c r="E27" i="253"/>
  <c r="H26" i="253"/>
  <c r="I25" i="253"/>
  <c r="L24" i="253"/>
  <c r="O23" i="253"/>
  <c r="G23" i="253"/>
  <c r="J22" i="253"/>
  <c r="M20" i="253"/>
  <c r="E20" i="253"/>
  <c r="H19" i="253"/>
  <c r="K18" i="253"/>
  <c r="N17" i="253"/>
  <c r="F17" i="253"/>
  <c r="I16" i="253"/>
  <c r="L15" i="253"/>
  <c r="O14" i="253"/>
  <c r="G14" i="253"/>
  <c r="J13" i="253"/>
  <c r="M12" i="253"/>
  <c r="E12" i="253"/>
  <c r="H31" i="253"/>
  <c r="K30" i="253"/>
  <c r="N29" i="253"/>
  <c r="F29" i="253"/>
  <c r="I28" i="253"/>
  <c r="L27" i="253"/>
  <c r="O26" i="253"/>
  <c r="G26" i="253"/>
  <c r="H25" i="253"/>
  <c r="K24" i="253"/>
  <c r="N23" i="253"/>
  <c r="F23" i="253"/>
  <c r="I22" i="253"/>
  <c r="L20" i="253"/>
  <c r="O19" i="253"/>
  <c r="G19" i="253"/>
  <c r="J18" i="253"/>
  <c r="M17" i="253"/>
  <c r="E17" i="253"/>
  <c r="H16" i="253"/>
  <c r="K15" i="253"/>
  <c r="N14" i="253"/>
  <c r="F14" i="253"/>
  <c r="I13" i="253"/>
  <c r="L12" i="253"/>
  <c r="O31" i="253"/>
  <c r="G31" i="253"/>
  <c r="J30" i="253"/>
  <c r="M29" i="253"/>
  <c r="E29" i="253"/>
  <c r="H28" i="253"/>
  <c r="K27" i="253"/>
  <c r="N26" i="253"/>
  <c r="F26" i="253"/>
  <c r="O25" i="253"/>
  <c r="G25" i="253"/>
  <c r="J24" i="253"/>
  <c r="M23" i="253"/>
  <c r="E23" i="253"/>
  <c r="H22" i="253"/>
  <c r="K20" i="253"/>
  <c r="N19" i="253"/>
  <c r="F19" i="253"/>
  <c r="I18" i="253"/>
  <c r="L17" i="253"/>
  <c r="O16" i="253"/>
  <c r="G16" i="253"/>
  <c r="J15" i="253"/>
  <c r="M14" i="253"/>
  <c r="E14" i="253"/>
  <c r="H13" i="253"/>
  <c r="K12" i="253"/>
  <c r="N31" i="253"/>
  <c r="F31" i="253"/>
  <c r="I30" i="253"/>
  <c r="L29" i="253"/>
  <c r="O28" i="253"/>
  <c r="G28" i="253"/>
  <c r="J27" i="253"/>
  <c r="M26" i="253"/>
  <c r="E26" i="253"/>
  <c r="N25" i="253"/>
  <c r="F25" i="253"/>
  <c r="I24" i="253"/>
  <c r="L23" i="253"/>
  <c r="O22" i="253"/>
  <c r="G22" i="253"/>
  <c r="J20" i="253"/>
  <c r="M19" i="253"/>
  <c r="E19" i="253"/>
  <c r="H18" i="253"/>
  <c r="K17" i="253"/>
  <c r="N16" i="253"/>
  <c r="F16" i="253"/>
  <c r="I15" i="253"/>
  <c r="L14" i="253"/>
  <c r="O13" i="253"/>
  <c r="G13" i="253"/>
  <c r="J12" i="253"/>
  <c r="N22" i="253"/>
  <c r="F22" i="253"/>
  <c r="I20" i="253"/>
  <c r="L19" i="253"/>
  <c r="O18" i="253"/>
  <c r="G18" i="253"/>
  <c r="J17" i="253"/>
  <c r="M16" i="253"/>
  <c r="E16" i="253"/>
  <c r="H15" i="253"/>
  <c r="K14" i="253"/>
  <c r="N13" i="253"/>
  <c r="F13" i="253"/>
  <c r="I12" i="253"/>
  <c r="M31" i="253"/>
  <c r="E31" i="253"/>
  <c r="H30" i="253"/>
  <c r="K29" i="253"/>
  <c r="I27" i="253"/>
  <c r="L26" i="253"/>
  <c r="M25" i="253"/>
  <c r="E25" i="253"/>
  <c r="H24" i="253"/>
  <c r="L31" i="253"/>
  <c r="O30" i="253"/>
  <c r="G30" i="253"/>
  <c r="J29" i="253"/>
  <c r="M28" i="253"/>
  <c r="E28" i="253"/>
  <c r="H27" i="253"/>
  <c r="K26" i="253"/>
  <c r="L25" i="253"/>
  <c r="O24" i="253"/>
  <c r="G24" i="253"/>
  <c r="J23" i="253"/>
  <c r="M22" i="253"/>
  <c r="E22" i="253"/>
  <c r="H20" i="253"/>
  <c r="K19" i="253"/>
  <c r="N18" i="253"/>
  <c r="F18" i="253"/>
  <c r="I17" i="253"/>
  <c r="L16" i="253"/>
  <c r="O15" i="253"/>
  <c r="G15" i="253"/>
  <c r="J14" i="253"/>
  <c r="M13" i="253"/>
  <c r="E13" i="253"/>
  <c r="H12" i="253"/>
  <c r="K31" i="253"/>
  <c r="N30" i="253"/>
  <c r="F30" i="253"/>
  <c r="I29" i="253"/>
  <c r="L28" i="253"/>
  <c r="O27" i="253"/>
  <c r="G27" i="253"/>
  <c r="J26" i="253"/>
  <c r="K25" i="253"/>
  <c r="N24" i="253"/>
  <c r="F24" i="253"/>
  <c r="I23" i="253"/>
  <c r="L22" i="253"/>
  <c r="O20" i="253"/>
  <c r="G20" i="253"/>
  <c r="J19" i="253"/>
  <c r="M18" i="253"/>
  <c r="E18" i="253"/>
  <c r="H17" i="253"/>
  <c r="K16" i="253"/>
  <c r="N15" i="253"/>
  <c r="F15" i="253"/>
  <c r="I14" i="253"/>
  <c r="L13" i="253"/>
  <c r="O12" i="253"/>
  <c r="G12" i="253"/>
  <c r="M30" i="253"/>
  <c r="N27" i="253"/>
  <c r="M24" i="253"/>
  <c r="N20" i="253"/>
  <c r="O17" i="253"/>
  <c r="M15" i="253"/>
  <c r="N12" i="253"/>
  <c r="F30" i="251"/>
  <c r="O30" i="251"/>
  <c r="H30" i="251"/>
  <c r="G25" i="251"/>
  <c r="Q24" i="251"/>
  <c r="Q23" i="251"/>
  <c r="E30" i="251"/>
  <c r="M27" i="251"/>
  <c r="H26" i="251"/>
  <c r="F25" i="251"/>
  <c r="L27" i="251"/>
  <c r="G26" i="251"/>
  <c r="E25" i="251"/>
  <c r="N30" i="251"/>
  <c r="K29" i="251"/>
  <c r="K27" i="251"/>
  <c r="F26" i="251"/>
  <c r="M30" i="251"/>
  <c r="J29" i="251"/>
  <c r="J27" i="251"/>
  <c r="K25" i="251"/>
  <c r="I30" i="251"/>
  <c r="I27" i="251"/>
  <c r="J25" i="251"/>
  <c r="E27" i="251"/>
  <c r="I25" i="251"/>
  <c r="G30" i="251"/>
  <c r="O26" i="251"/>
  <c r="H25" i="251"/>
  <c r="I22" i="251"/>
  <c r="L21" i="251"/>
  <c r="O20" i="251"/>
  <c r="G20" i="251"/>
  <c r="J19" i="251"/>
  <c r="M18" i="251"/>
  <c r="E18" i="251"/>
  <c r="H17" i="251"/>
  <c r="K16" i="251"/>
  <c r="N15" i="251"/>
  <c r="F15" i="251"/>
  <c r="I14" i="251"/>
  <c r="L13" i="251"/>
  <c r="O12" i="251"/>
  <c r="G12" i="251"/>
  <c r="H22" i="251"/>
  <c r="K21" i="251"/>
  <c r="N20" i="251"/>
  <c r="F20" i="251"/>
  <c r="I19" i="251"/>
  <c r="L18" i="251"/>
  <c r="O17" i="251"/>
  <c r="G17" i="251"/>
  <c r="J16" i="251"/>
  <c r="M15" i="251"/>
  <c r="E15" i="251"/>
  <c r="H14" i="251"/>
  <c r="K13" i="251"/>
  <c r="N12" i="251"/>
  <c r="F12" i="251"/>
  <c r="I29" i="251"/>
  <c r="M26" i="251"/>
  <c r="E26" i="251"/>
  <c r="H29" i="251"/>
  <c r="L26" i="251"/>
  <c r="O25" i="251"/>
  <c r="L30" i="251"/>
  <c r="O29" i="251"/>
  <c r="G29" i="251"/>
  <c r="H27" i="251"/>
  <c r="K26" i="251"/>
  <c r="N25" i="251"/>
  <c r="K30" i="251"/>
  <c r="N29" i="251"/>
  <c r="F29" i="251"/>
  <c r="O27" i="251"/>
  <c r="G27" i="251"/>
  <c r="J26" i="251"/>
  <c r="M25" i="251"/>
  <c r="M29" i="251"/>
  <c r="N27" i="251"/>
  <c r="O22" i="251"/>
  <c r="G22" i="251"/>
  <c r="J21" i="251"/>
  <c r="M20" i="251"/>
  <c r="E20" i="251"/>
  <c r="H19" i="251"/>
  <c r="K18" i="251"/>
  <c r="N17" i="251"/>
  <c r="F17" i="251"/>
  <c r="I16" i="251"/>
  <c r="L15" i="251"/>
  <c r="O14" i="251"/>
  <c r="G14" i="251"/>
  <c r="J13" i="251"/>
  <c r="M12" i="251"/>
  <c r="E12" i="251"/>
  <c r="N22" i="251"/>
  <c r="F22" i="251"/>
  <c r="I21" i="251"/>
  <c r="L20" i="251"/>
  <c r="O19" i="251"/>
  <c r="G19" i="251"/>
  <c r="J18" i="251"/>
  <c r="M17" i="251"/>
  <c r="E17" i="251"/>
  <c r="H16" i="251"/>
  <c r="K15" i="251"/>
  <c r="N14" i="251"/>
  <c r="F14" i="251"/>
  <c r="I13" i="251"/>
  <c r="L12" i="251"/>
  <c r="M22" i="251"/>
  <c r="E22" i="251"/>
  <c r="H21" i="251"/>
  <c r="K20" i="251"/>
  <c r="N19" i="251"/>
  <c r="F19" i="251"/>
  <c r="I18" i="251"/>
  <c r="L17" i="251"/>
  <c r="O16" i="251"/>
  <c r="G16" i="251"/>
  <c r="J15" i="251"/>
  <c r="M14" i="251"/>
  <c r="E14" i="251"/>
  <c r="H13" i="251"/>
  <c r="K12" i="251"/>
  <c r="L22" i="251"/>
  <c r="O21" i="251"/>
  <c r="G21" i="251"/>
  <c r="J20" i="251"/>
  <c r="M19" i="251"/>
  <c r="E19" i="251"/>
  <c r="H18" i="251"/>
  <c r="K17" i="251"/>
  <c r="N16" i="251"/>
  <c r="F16" i="251"/>
  <c r="I15" i="251"/>
  <c r="L14" i="251"/>
  <c r="O13" i="251"/>
  <c r="G13" i="251"/>
  <c r="J12" i="251"/>
  <c r="K22" i="251"/>
  <c r="N21" i="251"/>
  <c r="F21" i="251"/>
  <c r="I20" i="251"/>
  <c r="L19" i="251"/>
  <c r="O18" i="251"/>
  <c r="G18" i="251"/>
  <c r="J17" i="251"/>
  <c r="M16" i="251"/>
  <c r="E16" i="251"/>
  <c r="H15" i="251"/>
  <c r="K14" i="251"/>
  <c r="N13" i="251"/>
  <c r="F13" i="251"/>
  <c r="I12" i="251"/>
  <c r="M21" i="251"/>
  <c r="N18" i="251"/>
  <c r="O15" i="251"/>
  <c r="M13" i="251"/>
  <c r="K37" i="241"/>
  <c r="L37" i="241"/>
  <c r="I37" i="241"/>
  <c r="E37" i="241"/>
  <c r="M37" i="241"/>
  <c r="F37" i="241"/>
  <c r="N37" i="241"/>
  <c r="G37" i="241"/>
  <c r="O37" i="241"/>
  <c r="H37" i="241"/>
  <c r="F36" i="241"/>
  <c r="N36" i="241"/>
  <c r="G36" i="241"/>
  <c r="O36" i="241"/>
  <c r="J36" i="241"/>
  <c r="K36" i="241"/>
  <c r="H36" i="241"/>
  <c r="I36" i="241"/>
  <c r="L36" i="241"/>
  <c r="J37" i="241"/>
  <c r="E36" i="241"/>
  <c r="K38" i="241"/>
  <c r="J38" i="241"/>
  <c r="F29" i="230"/>
  <c r="M32" i="230"/>
  <c r="E32" i="230"/>
  <c r="K34" i="230"/>
  <c r="N33" i="230"/>
  <c r="L32" i="230"/>
  <c r="O31" i="230"/>
  <c r="G31" i="230"/>
  <c r="J30" i="230"/>
  <c r="M29" i="230"/>
  <c r="E29" i="230"/>
  <c r="J34" i="230"/>
  <c r="M33" i="230"/>
  <c r="K32" i="230"/>
  <c r="N31" i="230"/>
  <c r="F31" i="230"/>
  <c r="I30" i="230"/>
  <c r="L29" i="230"/>
  <c r="I34" i="230"/>
  <c r="L33" i="230"/>
  <c r="J32" i="230"/>
  <c r="M31" i="230"/>
  <c r="E31" i="230"/>
  <c r="H30" i="230"/>
  <c r="K29" i="230"/>
  <c r="H34" i="230"/>
  <c r="I33" i="230"/>
  <c r="I32" i="230"/>
  <c r="L31" i="230"/>
  <c r="O30" i="230"/>
  <c r="G30" i="230"/>
  <c r="J29" i="230"/>
  <c r="O34" i="230"/>
  <c r="G34" i="230"/>
  <c r="F33" i="230"/>
  <c r="H32" i="230"/>
  <c r="K31" i="230"/>
  <c r="N30" i="230"/>
  <c r="F30" i="230"/>
  <c r="I29" i="230"/>
  <c r="N34" i="230"/>
  <c r="F34" i="230"/>
  <c r="O32" i="230"/>
  <c r="G32" i="230"/>
  <c r="J31" i="230"/>
  <c r="M30" i="230"/>
  <c r="E30" i="230"/>
  <c r="H29" i="230"/>
  <c r="M34" i="230"/>
  <c r="N32" i="230"/>
  <c r="O29" i="230"/>
  <c r="O28" i="224"/>
  <c r="K28" i="224"/>
  <c r="N28" i="224"/>
  <c r="H28" i="224"/>
  <c r="K27" i="224"/>
  <c r="H27" i="224"/>
  <c r="M27" i="224"/>
  <c r="J28" i="224"/>
  <c r="E27" i="224"/>
  <c r="G28" i="224"/>
  <c r="J27" i="224"/>
  <c r="G27" i="224"/>
  <c r="L28" i="224"/>
  <c r="L27" i="224"/>
  <c r="Q16" i="253"/>
  <c r="R16" i="253" s="1"/>
  <c r="Q12" i="254"/>
  <c r="R12" i="254" s="1"/>
  <c r="K33" i="230"/>
  <c r="J33" i="230"/>
  <c r="H33" i="230"/>
  <c r="G33" i="230"/>
  <c r="H11" i="254"/>
  <c r="Q28" i="254"/>
  <c r="E11" i="254"/>
  <c r="H11" i="253"/>
  <c r="M11" i="253"/>
  <c r="Q27" i="253"/>
  <c r="E11" i="253"/>
  <c r="Q12" i="253"/>
  <c r="R12" i="253" s="1"/>
  <c r="H11" i="251"/>
  <c r="I11" i="254"/>
  <c r="Q11" i="254"/>
  <c r="R11" i="254" s="1"/>
  <c r="Q15" i="254"/>
  <c r="Q31" i="254"/>
  <c r="Q21" i="254"/>
  <c r="J11" i="254"/>
  <c r="Q20" i="254"/>
  <c r="R20" i="254" s="1"/>
  <c r="Q27" i="254"/>
  <c r="K11" i="254"/>
  <c r="Q36" i="254"/>
  <c r="R36" i="254" s="1"/>
  <c r="Q14" i="254"/>
  <c r="L11" i="254"/>
  <c r="Q17" i="254"/>
  <c r="Q23" i="254"/>
  <c r="Q26" i="254"/>
  <c r="Q30" i="254"/>
  <c r="F11" i="254"/>
  <c r="N11" i="254"/>
  <c r="Q13" i="254"/>
  <c r="R13" i="254" s="1"/>
  <c r="Q22" i="254"/>
  <c r="R22" i="254" s="1"/>
  <c r="Q29" i="254"/>
  <c r="Q33" i="254"/>
  <c r="Q24" i="254"/>
  <c r="G11" i="254"/>
  <c r="Q16" i="254"/>
  <c r="R16" i="254" s="1"/>
  <c r="Q15" i="253"/>
  <c r="Q30" i="253"/>
  <c r="J11" i="253"/>
  <c r="Q18" i="253"/>
  <c r="R18" i="253" s="1"/>
  <c r="Q26" i="253"/>
  <c r="I11" i="253"/>
  <c r="Q11" i="253"/>
  <c r="R11" i="253" s="1"/>
  <c r="Q19" i="253"/>
  <c r="Q25" i="253"/>
  <c r="Q14" i="253"/>
  <c r="Q24" i="253"/>
  <c r="Q34" i="253"/>
  <c r="R34" i="253" s="1"/>
  <c r="K11" i="253"/>
  <c r="L11" i="253"/>
  <c r="Q17" i="253"/>
  <c r="Q22" i="253"/>
  <c r="Q29" i="253"/>
  <c r="Q20" i="253"/>
  <c r="R20" i="253" s="1"/>
  <c r="Q23" i="253"/>
  <c r="Q28" i="253"/>
  <c r="Q31" i="253"/>
  <c r="F11" i="253"/>
  <c r="N11" i="253"/>
  <c r="Q13" i="253"/>
  <c r="R13" i="253" s="1"/>
  <c r="G11" i="253"/>
  <c r="Q26" i="251"/>
  <c r="Q15" i="251"/>
  <c r="R15" i="251" s="1"/>
  <c r="Q29" i="251"/>
  <c r="Q17" i="251"/>
  <c r="R17" i="251" s="1"/>
  <c r="Q11" i="251"/>
  <c r="R11" i="251" s="1"/>
  <c r="Q21" i="251"/>
  <c r="Q19" i="251"/>
  <c r="R19" i="251" s="1"/>
  <c r="Q13" i="251"/>
  <c r="R13" i="251" s="1"/>
  <c r="Q14" i="251"/>
  <c r="Q18" i="251"/>
  <c r="Q20" i="251"/>
  <c r="Q30" i="251"/>
  <c r="Q27" i="251"/>
  <c r="Q16" i="251"/>
  <c r="Q31" i="251"/>
  <c r="R31" i="251" s="1"/>
  <c r="Q22" i="251"/>
  <c r="Q25" i="251"/>
  <c r="Q12" i="251"/>
  <c r="R12" i="251" s="1"/>
  <c r="J11" i="251"/>
  <c r="E11" i="251"/>
  <c r="M11" i="251"/>
  <c r="K11" i="251"/>
  <c r="F11" i="251"/>
  <c r="N11" i="251"/>
  <c r="I11" i="251"/>
  <c r="L11" i="251"/>
  <c r="G11" i="251"/>
  <c r="F28" i="224"/>
  <c r="M28" i="224"/>
  <c r="E28" i="224"/>
  <c r="O27" i="224"/>
  <c r="N27" i="224"/>
  <c r="R35" i="248"/>
  <c r="S33" i="248"/>
  <c r="R32" i="248"/>
  <c r="P31" i="248"/>
  <c r="P30" i="248"/>
  <c r="O30" i="248"/>
  <c r="N30" i="248"/>
  <c r="M30" i="248"/>
  <c r="L30" i="248"/>
  <c r="K30" i="248"/>
  <c r="J30" i="248"/>
  <c r="I30" i="248"/>
  <c r="H30" i="248"/>
  <c r="F30" i="248"/>
  <c r="E30" i="248"/>
  <c r="A30" i="248"/>
  <c r="P29" i="248"/>
  <c r="I29" i="248" s="1"/>
  <c r="M29" i="248"/>
  <c r="L29" i="248"/>
  <c r="K29" i="248"/>
  <c r="J29" i="248"/>
  <c r="H29" i="248"/>
  <c r="E29" i="248"/>
  <c r="A29" i="248"/>
  <c r="Q28" i="248"/>
  <c r="R28" i="248" s="1"/>
  <c r="P28" i="248"/>
  <c r="M28" i="248" s="1"/>
  <c r="O28" i="248"/>
  <c r="N28" i="248"/>
  <c r="L28" i="248"/>
  <c r="K28" i="248"/>
  <c r="J28" i="248"/>
  <c r="I28" i="248"/>
  <c r="H28" i="248"/>
  <c r="G28" i="248"/>
  <c r="F28" i="248"/>
  <c r="E28" i="248"/>
  <c r="A28" i="248"/>
  <c r="P27" i="248"/>
  <c r="O27" i="248" s="1"/>
  <c r="E27" i="248"/>
  <c r="A27" i="248"/>
  <c r="P26" i="248"/>
  <c r="K26" i="248" s="1"/>
  <c r="O26" i="248"/>
  <c r="N26" i="248"/>
  <c r="M26" i="248"/>
  <c r="L26" i="248"/>
  <c r="J26" i="248"/>
  <c r="I26" i="248"/>
  <c r="H26" i="248"/>
  <c r="G26" i="248"/>
  <c r="F26" i="248"/>
  <c r="E26" i="248"/>
  <c r="A26" i="248"/>
  <c r="P25" i="248"/>
  <c r="J25" i="248" s="1"/>
  <c r="N25" i="248"/>
  <c r="M25" i="248"/>
  <c r="L25" i="248"/>
  <c r="K25" i="248"/>
  <c r="H25" i="248"/>
  <c r="F25" i="248"/>
  <c r="A25" i="248"/>
  <c r="P24" i="248"/>
  <c r="O24" i="248" s="1"/>
  <c r="H24" i="248"/>
  <c r="A24" i="248"/>
  <c r="P23" i="248"/>
  <c r="L23" i="248" s="1"/>
  <c r="O23" i="248"/>
  <c r="N23" i="248"/>
  <c r="M23" i="248"/>
  <c r="J23" i="248"/>
  <c r="G23" i="248"/>
  <c r="F23" i="248"/>
  <c r="E23" i="248"/>
  <c r="A23" i="248"/>
  <c r="P22" i="248"/>
  <c r="J22" i="248" s="1"/>
  <c r="M22" i="248"/>
  <c r="L22" i="248"/>
  <c r="K22" i="248"/>
  <c r="H22" i="248"/>
  <c r="E22" i="248"/>
  <c r="A22" i="248"/>
  <c r="P21" i="248"/>
  <c r="I21" i="248" s="1"/>
  <c r="O21" i="248"/>
  <c r="M21" i="248"/>
  <c r="L21" i="248"/>
  <c r="K21" i="248"/>
  <c r="J21" i="248"/>
  <c r="H21" i="248"/>
  <c r="G21" i="248"/>
  <c r="E21" i="248"/>
  <c r="A21" i="248"/>
  <c r="Q20" i="248"/>
  <c r="R20" i="248" s="1"/>
  <c r="P20" i="248"/>
  <c r="O20" i="248"/>
  <c r="N20" i="248"/>
  <c r="M20" i="248"/>
  <c r="L20" i="248"/>
  <c r="K20" i="248"/>
  <c r="J20" i="248"/>
  <c r="H20" i="248"/>
  <c r="G20" i="248"/>
  <c r="F20" i="248"/>
  <c r="E20" i="248"/>
  <c r="A20" i="248"/>
  <c r="P19" i="248"/>
  <c r="N19" i="248" s="1"/>
  <c r="O19" i="248"/>
  <c r="G19" i="248"/>
  <c r="F19" i="248"/>
  <c r="A19" i="248"/>
  <c r="P18" i="248"/>
  <c r="L18" i="248" s="1"/>
  <c r="O18" i="248"/>
  <c r="N18" i="248"/>
  <c r="M18" i="248"/>
  <c r="J18" i="248"/>
  <c r="H18" i="248"/>
  <c r="F18" i="248"/>
  <c r="E18" i="248"/>
  <c r="A18" i="248"/>
  <c r="P17" i="248"/>
  <c r="J17" i="248" s="1"/>
  <c r="M17" i="248"/>
  <c r="L17" i="248"/>
  <c r="K17" i="248"/>
  <c r="H17" i="248"/>
  <c r="A17" i="248"/>
  <c r="P16" i="248"/>
  <c r="O16" i="248" s="1"/>
  <c r="G16" i="248"/>
  <c r="A16" i="248"/>
  <c r="P15" i="248"/>
  <c r="M15" i="248" s="1"/>
  <c r="O15" i="248"/>
  <c r="N15" i="248"/>
  <c r="H15" i="248"/>
  <c r="G15" i="248"/>
  <c r="F15" i="248"/>
  <c r="A15" i="248"/>
  <c r="P14" i="248"/>
  <c r="L14" i="248" s="1"/>
  <c r="O14" i="248"/>
  <c r="N14" i="248"/>
  <c r="M14" i="248"/>
  <c r="J14" i="248"/>
  <c r="H14" i="248"/>
  <c r="F14" i="248"/>
  <c r="E14" i="248"/>
  <c r="A14" i="248"/>
  <c r="P13" i="248"/>
  <c r="J13" i="248" s="1"/>
  <c r="M13" i="248"/>
  <c r="L13" i="248"/>
  <c r="K13" i="248"/>
  <c r="F13" i="248"/>
  <c r="A13" i="248"/>
  <c r="P12" i="248"/>
  <c r="O12" i="248" s="1"/>
  <c r="G12" i="248"/>
  <c r="A12" i="248"/>
  <c r="P11" i="248"/>
  <c r="M11" i="248" s="1"/>
  <c r="O11" i="248"/>
  <c r="N11" i="248"/>
  <c r="H11" i="248"/>
  <c r="G11" i="248"/>
  <c r="F11" i="248"/>
  <c r="A11" i="248"/>
  <c r="O8" i="248"/>
  <c r="Q29" i="248" s="1"/>
  <c r="R29" i="248" s="1"/>
  <c r="K8" i="248"/>
  <c r="K36" i="254" l="1"/>
  <c r="F36" i="254"/>
  <c r="M36" i="254"/>
  <c r="N36" i="254"/>
  <c r="H36" i="254"/>
  <c r="J36" i="254"/>
  <c r="G36" i="254"/>
  <c r="O36" i="254"/>
  <c r="I36" i="254"/>
  <c r="E36" i="254"/>
  <c r="L36" i="254"/>
  <c r="O34" i="253"/>
  <c r="J34" i="253"/>
  <c r="E34" i="253"/>
  <c r="G34" i="253"/>
  <c r="N34" i="253"/>
  <c r="M34" i="253"/>
  <c r="F34" i="253"/>
  <c r="H34" i="253"/>
  <c r="L34" i="253"/>
  <c r="I34" i="253"/>
  <c r="K34" i="253"/>
  <c r="E31" i="251"/>
  <c r="G31" i="251"/>
  <c r="H31" i="251"/>
  <c r="O31" i="251"/>
  <c r="M31" i="251"/>
  <c r="N31" i="251"/>
  <c r="L31" i="251"/>
  <c r="F31" i="251"/>
  <c r="J31" i="251"/>
  <c r="K31" i="251"/>
  <c r="I31" i="251"/>
  <c r="I24" i="248"/>
  <c r="Q24" i="248"/>
  <c r="R24" i="248" s="1"/>
  <c r="F27" i="248"/>
  <c r="Q27" i="248"/>
  <c r="R27" i="248" s="1"/>
  <c r="H16" i="248"/>
  <c r="Q16" i="248"/>
  <c r="R16" i="248" s="1"/>
  <c r="I15" i="248"/>
  <c r="Q15" i="248"/>
  <c r="R15" i="248" s="1"/>
  <c r="K16" i="248"/>
  <c r="N17" i="248"/>
  <c r="J19" i="248"/>
  <c r="Q31" i="248"/>
  <c r="R31" i="248" s="1"/>
  <c r="J12" i="248"/>
  <c r="H27" i="248"/>
  <c r="I11" i="248"/>
  <c r="Q11" i="248"/>
  <c r="R11" i="248" s="1"/>
  <c r="K12" i="248"/>
  <c r="N13" i="248"/>
  <c r="F22" i="248"/>
  <c r="N22" i="248"/>
  <c r="K24" i="248"/>
  <c r="K27" i="248"/>
  <c r="J11" i="248"/>
  <c r="L12" i="248"/>
  <c r="E13" i="248"/>
  <c r="O13" i="248"/>
  <c r="I14" i="248"/>
  <c r="Q14" i="248"/>
  <c r="R14" i="248" s="1"/>
  <c r="J15" i="248"/>
  <c r="L16" i="248"/>
  <c r="F17" i="248"/>
  <c r="O17" i="248"/>
  <c r="I18" i="248"/>
  <c r="Q18" i="248"/>
  <c r="R18" i="248" s="1"/>
  <c r="K19" i="248"/>
  <c r="F21" i="248"/>
  <c r="N21" i="248"/>
  <c r="G22" i="248"/>
  <c r="O22" i="248"/>
  <c r="H23" i="248"/>
  <c r="Q23" i="248"/>
  <c r="R23" i="248" s="1"/>
  <c r="L24" i="248"/>
  <c r="E25" i="248"/>
  <c r="O25" i="248"/>
  <c r="L27" i="248"/>
  <c r="F29" i="248"/>
  <c r="N29" i="248"/>
  <c r="I16" i="248"/>
  <c r="H19" i="248"/>
  <c r="Q19" i="248"/>
  <c r="R19" i="248" s="1"/>
  <c r="J24" i="248"/>
  <c r="K11" i="248"/>
  <c r="M12" i="248"/>
  <c r="L19" i="248"/>
  <c r="M24" i="248"/>
  <c r="Q26" i="248"/>
  <c r="R26" i="248" s="1"/>
  <c r="M27" i="248"/>
  <c r="G29" i="248"/>
  <c r="O29" i="248"/>
  <c r="Q30" i="248"/>
  <c r="R30" i="248" s="1"/>
  <c r="H12" i="248"/>
  <c r="Q12" i="248"/>
  <c r="R12" i="248" s="1"/>
  <c r="K15" i="248"/>
  <c r="M16" i="248"/>
  <c r="Q25" i="248"/>
  <c r="R25" i="248" s="1"/>
  <c r="L11" i="248"/>
  <c r="E12" i="248"/>
  <c r="N12" i="248"/>
  <c r="H13" i="248"/>
  <c r="Q13" i="248"/>
  <c r="R13" i="248" s="1"/>
  <c r="K14" i="248"/>
  <c r="L15" i="248"/>
  <c r="E16" i="248"/>
  <c r="N16" i="248"/>
  <c r="I17" i="248"/>
  <c r="Q17" i="248"/>
  <c r="R17" i="248" s="1"/>
  <c r="K18" i="248"/>
  <c r="M19" i="248"/>
  <c r="I22" i="248"/>
  <c r="Q22" i="248"/>
  <c r="R22" i="248" s="1"/>
  <c r="K23" i="248"/>
  <c r="N24" i="248"/>
  <c r="N27" i="248"/>
  <c r="E11" i="248"/>
  <c r="F12" i="248"/>
  <c r="E15" i="248"/>
  <c r="F16" i="248"/>
  <c r="E19" i="248"/>
  <c r="Q21" i="248"/>
  <c r="R21" i="248" s="1"/>
  <c r="F24" i="248"/>
  <c r="K8" i="242"/>
  <c r="F31" i="248" l="1"/>
  <c r="M31" i="248"/>
  <c r="H31" i="248"/>
  <c r="E31" i="248"/>
  <c r="N31" i="248"/>
  <c r="K31" i="248"/>
  <c r="G31" i="248"/>
  <c r="O31" i="248"/>
  <c r="J31" i="248"/>
  <c r="I31" i="248"/>
  <c r="L31" i="248"/>
  <c r="K8" i="208"/>
  <c r="O8" i="240" l="1"/>
  <c r="Q22" i="240" l="1"/>
  <c r="R22" i="240" s="1"/>
  <c r="Q23" i="240"/>
  <c r="R23" i="240" s="1"/>
  <c r="P20" i="245"/>
  <c r="A29" i="207"/>
  <c r="P29" i="207"/>
  <c r="H20" i="245" l="1"/>
  <c r="I20" i="245"/>
  <c r="J20" i="245"/>
  <c r="K20" i="245"/>
  <c r="L20" i="245"/>
  <c r="E20" i="245"/>
  <c r="M20" i="245"/>
  <c r="O20" i="245"/>
  <c r="F20" i="245"/>
  <c r="N20" i="245"/>
  <c r="G20" i="245"/>
  <c r="I29" i="207"/>
  <c r="H29" i="207"/>
  <c r="O29" i="207"/>
  <c r="G29" i="207"/>
  <c r="N29" i="207"/>
  <c r="F29" i="207"/>
  <c r="M29" i="207"/>
  <c r="E29" i="207"/>
  <c r="L29" i="207"/>
  <c r="K29" i="207"/>
  <c r="J29" i="207"/>
  <c r="P21" i="245"/>
  <c r="F21" i="245" l="1"/>
  <c r="N21" i="245"/>
  <c r="G21" i="245"/>
  <c r="O21" i="245"/>
  <c r="H21" i="245"/>
  <c r="I21" i="245"/>
  <c r="J21" i="245"/>
  <c r="M21" i="245"/>
  <c r="K21" i="245"/>
  <c r="E21" i="245"/>
  <c r="L21" i="245"/>
  <c r="P14" i="241"/>
  <c r="P15" i="241"/>
  <c r="F15" i="241" l="1"/>
  <c r="N15" i="241"/>
  <c r="G15" i="241"/>
  <c r="O15" i="241"/>
  <c r="H15" i="241"/>
  <c r="M15" i="241"/>
  <c r="I15" i="241"/>
  <c r="E15" i="241"/>
  <c r="J15" i="241"/>
  <c r="K15" i="241"/>
  <c r="L15" i="241"/>
  <c r="I14" i="241"/>
  <c r="J14" i="241"/>
  <c r="K14" i="241"/>
  <c r="L14" i="241"/>
  <c r="H14" i="241"/>
  <c r="E14" i="241"/>
  <c r="M14" i="241"/>
  <c r="F14" i="241"/>
  <c r="N14" i="241"/>
  <c r="G14" i="241"/>
  <c r="O14" i="241"/>
  <c r="P26" i="247"/>
  <c r="A26" i="247"/>
  <c r="P46" i="246"/>
  <c r="A46" i="246"/>
  <c r="P45" i="246"/>
  <c r="A45" i="246"/>
  <c r="P44" i="246"/>
  <c r="A44" i="246"/>
  <c r="P43" i="246"/>
  <c r="A43" i="246"/>
  <c r="P42" i="246"/>
  <c r="A42" i="246"/>
  <c r="P41" i="246"/>
  <c r="A41" i="246"/>
  <c r="G26" i="247" l="1"/>
  <c r="O26" i="247"/>
  <c r="H26" i="247"/>
  <c r="I26" i="247"/>
  <c r="J26" i="247"/>
  <c r="K26" i="247"/>
  <c r="F26" i="247"/>
  <c r="L26" i="247"/>
  <c r="N26" i="247"/>
  <c r="E26" i="247"/>
  <c r="M26" i="247"/>
  <c r="J41" i="246"/>
  <c r="I41" i="246"/>
  <c r="K41" i="246"/>
  <c r="L41" i="246"/>
  <c r="E41" i="246"/>
  <c r="M41" i="246"/>
  <c r="F41" i="246"/>
  <c r="N41" i="246"/>
  <c r="G41" i="246"/>
  <c r="O41" i="246"/>
  <c r="H41" i="246"/>
  <c r="G42" i="246"/>
  <c r="O42" i="246"/>
  <c r="H42" i="246"/>
  <c r="N42" i="246"/>
  <c r="I42" i="246"/>
  <c r="J42" i="246"/>
  <c r="K42" i="246"/>
  <c r="F42" i="246"/>
  <c r="L42" i="246"/>
  <c r="E42" i="246"/>
  <c r="M42" i="246"/>
  <c r="L43" i="246"/>
  <c r="E43" i="246"/>
  <c r="M43" i="246"/>
  <c r="F43" i="246"/>
  <c r="N43" i="246"/>
  <c r="G43" i="246"/>
  <c r="O43" i="246"/>
  <c r="H43" i="246"/>
  <c r="I43" i="246"/>
  <c r="J43" i="246"/>
  <c r="K43" i="246"/>
  <c r="F45" i="246"/>
  <c r="N45" i="246"/>
  <c r="M45" i="246"/>
  <c r="G45" i="246"/>
  <c r="O45" i="246"/>
  <c r="H45" i="246"/>
  <c r="I45" i="246"/>
  <c r="J45" i="246"/>
  <c r="K45" i="246"/>
  <c r="E45" i="246"/>
  <c r="L45" i="246"/>
  <c r="K46" i="246"/>
  <c r="L46" i="246"/>
  <c r="E46" i="246"/>
  <c r="M46" i="246"/>
  <c r="F46" i="246"/>
  <c r="N46" i="246"/>
  <c r="G46" i="246"/>
  <c r="O46" i="246"/>
  <c r="J46" i="246"/>
  <c r="H46" i="246"/>
  <c r="I46" i="246"/>
  <c r="I44" i="246"/>
  <c r="J44" i="246"/>
  <c r="K44" i="246"/>
  <c r="L44" i="246"/>
  <c r="H44" i="246"/>
  <c r="E44" i="246"/>
  <c r="M44" i="246"/>
  <c r="F44" i="246"/>
  <c r="N44" i="246"/>
  <c r="G44" i="246"/>
  <c r="O44" i="246"/>
  <c r="P52" i="246"/>
  <c r="R53" i="246"/>
  <c r="S54" i="246"/>
  <c r="R56" i="246"/>
  <c r="P50" i="246"/>
  <c r="A50" i="246"/>
  <c r="P49" i="246"/>
  <c r="A49" i="246"/>
  <c r="P48" i="246"/>
  <c r="A48" i="246"/>
  <c r="P47" i="246"/>
  <c r="A47" i="246"/>
  <c r="P30" i="243"/>
  <c r="A30" i="243"/>
  <c r="P12" i="243"/>
  <c r="A12" i="243"/>
  <c r="A33" i="242"/>
  <c r="A32" i="242"/>
  <c r="P31" i="242"/>
  <c r="A31" i="242"/>
  <c r="P30" i="242"/>
  <c r="A30" i="242"/>
  <c r="P29" i="242"/>
  <c r="A29" i="242"/>
  <c r="P28" i="242"/>
  <c r="A28" i="242"/>
  <c r="P12" i="242"/>
  <c r="A12" i="242"/>
  <c r="P36" i="242"/>
  <c r="R37" i="242"/>
  <c r="P30" i="241"/>
  <c r="P34" i="241"/>
  <c r="P33" i="241"/>
  <c r="P32" i="241"/>
  <c r="P31" i="241"/>
  <c r="P28" i="227"/>
  <c r="A28" i="227"/>
  <c r="P25" i="227"/>
  <c r="A25" i="227"/>
  <c r="P24" i="227"/>
  <c r="A24" i="227"/>
  <c r="G50" i="246" l="1"/>
  <c r="O50" i="246"/>
  <c r="N50" i="246"/>
  <c r="H50" i="246"/>
  <c r="F50" i="246"/>
  <c r="I50" i="246"/>
  <c r="J50" i="246"/>
  <c r="K50" i="246"/>
  <c r="L50" i="246"/>
  <c r="E50" i="246"/>
  <c r="M50" i="246"/>
  <c r="H47" i="246"/>
  <c r="I47" i="246"/>
  <c r="G47" i="246"/>
  <c r="J47" i="246"/>
  <c r="K47" i="246"/>
  <c r="L47" i="246"/>
  <c r="E47" i="246"/>
  <c r="M47" i="246"/>
  <c r="F47" i="246"/>
  <c r="N47" i="246"/>
  <c r="O47" i="246"/>
  <c r="E48" i="246"/>
  <c r="M48" i="246"/>
  <c r="F48" i="246"/>
  <c r="N48" i="246"/>
  <c r="G48" i="246"/>
  <c r="O48" i="246"/>
  <c r="H48" i="246"/>
  <c r="L48" i="246"/>
  <c r="I48" i="246"/>
  <c r="J48" i="246"/>
  <c r="K48" i="246"/>
  <c r="J49" i="246"/>
  <c r="K49" i="246"/>
  <c r="L49" i="246"/>
  <c r="E49" i="246"/>
  <c r="M49" i="246"/>
  <c r="F49" i="246"/>
  <c r="N49" i="246"/>
  <c r="G49" i="246"/>
  <c r="O49" i="246"/>
  <c r="I49" i="246"/>
  <c r="H49" i="246"/>
  <c r="H30" i="243"/>
  <c r="I30" i="243"/>
  <c r="J30" i="243"/>
  <c r="K30" i="243"/>
  <c r="L30" i="243"/>
  <c r="E30" i="243"/>
  <c r="M30" i="243"/>
  <c r="O30" i="243"/>
  <c r="F30" i="243"/>
  <c r="N30" i="243"/>
  <c r="G30" i="243"/>
  <c r="K12" i="243"/>
  <c r="L12" i="243"/>
  <c r="E12" i="243"/>
  <c r="M12" i="243"/>
  <c r="F12" i="243"/>
  <c r="N12" i="243"/>
  <c r="J12" i="243"/>
  <c r="G12" i="243"/>
  <c r="O12" i="243"/>
  <c r="H12" i="243"/>
  <c r="I12" i="243"/>
  <c r="I12" i="242"/>
  <c r="J12" i="242"/>
  <c r="K12" i="242"/>
  <c r="L12" i="242"/>
  <c r="E12" i="242"/>
  <c r="M12" i="242"/>
  <c r="F12" i="242"/>
  <c r="N12" i="242"/>
  <c r="H12" i="242"/>
  <c r="G12" i="242"/>
  <c r="O12" i="242"/>
  <c r="J31" i="242"/>
  <c r="K31" i="242"/>
  <c r="L31" i="242"/>
  <c r="E31" i="242"/>
  <c r="M31" i="242"/>
  <c r="F31" i="242"/>
  <c r="N31" i="242"/>
  <c r="G31" i="242"/>
  <c r="H31" i="242"/>
  <c r="I31" i="242"/>
  <c r="O31" i="242"/>
  <c r="K28" i="242"/>
  <c r="L28" i="242"/>
  <c r="E28" i="242"/>
  <c r="M28" i="242"/>
  <c r="F28" i="242"/>
  <c r="N28" i="242"/>
  <c r="G28" i="242"/>
  <c r="O28" i="242"/>
  <c r="J28" i="242"/>
  <c r="H28" i="242"/>
  <c r="I28" i="242"/>
  <c r="G32" i="242"/>
  <c r="O32" i="242"/>
  <c r="H32" i="242"/>
  <c r="I32" i="242"/>
  <c r="J32" i="242"/>
  <c r="K32" i="242"/>
  <c r="F32" i="242"/>
  <c r="L32" i="242"/>
  <c r="N32" i="242"/>
  <c r="M32" i="242"/>
  <c r="H29" i="242"/>
  <c r="I29" i="242"/>
  <c r="J29" i="242"/>
  <c r="K29" i="242"/>
  <c r="L29" i="242"/>
  <c r="E29" i="242"/>
  <c r="F29" i="242"/>
  <c r="G29" i="242"/>
  <c r="M29" i="242"/>
  <c r="N29" i="242"/>
  <c r="O29" i="242"/>
  <c r="E30" i="242"/>
  <c r="M30" i="242"/>
  <c r="F30" i="242"/>
  <c r="N30" i="242"/>
  <c r="G30" i="242"/>
  <c r="O30" i="242"/>
  <c r="H30" i="242"/>
  <c r="I30" i="242"/>
  <c r="K30" i="242"/>
  <c r="L30" i="242"/>
  <c r="J30" i="242"/>
  <c r="L33" i="242"/>
  <c r="M33" i="242"/>
  <c r="F33" i="242"/>
  <c r="N33" i="242"/>
  <c r="G33" i="242"/>
  <c r="O33" i="242"/>
  <c r="H33" i="242"/>
  <c r="I33" i="242"/>
  <c r="K33" i="242"/>
  <c r="J33" i="242"/>
  <c r="L32" i="241"/>
  <c r="E32" i="241"/>
  <c r="M32" i="241"/>
  <c r="H32" i="241"/>
  <c r="I32" i="241"/>
  <c r="F32" i="241"/>
  <c r="N32" i="241"/>
  <c r="G32" i="241"/>
  <c r="O32" i="241"/>
  <c r="J32" i="241"/>
  <c r="K32" i="241"/>
  <c r="G31" i="241"/>
  <c r="O31" i="241"/>
  <c r="H31" i="241"/>
  <c r="I31" i="241"/>
  <c r="J31" i="241"/>
  <c r="K31" i="241"/>
  <c r="L31" i="241"/>
  <c r="E31" i="241"/>
  <c r="M31" i="241"/>
  <c r="F31" i="241"/>
  <c r="N31" i="241"/>
  <c r="I34" i="241"/>
  <c r="J34" i="241"/>
  <c r="G34" i="241"/>
  <c r="K34" i="241"/>
  <c r="L34" i="241"/>
  <c r="E34" i="241"/>
  <c r="M34" i="241"/>
  <c r="F34" i="241"/>
  <c r="N34" i="241"/>
  <c r="O34" i="241"/>
  <c r="H34" i="241"/>
  <c r="J30" i="241"/>
  <c r="K30" i="241"/>
  <c r="F30" i="241"/>
  <c r="O30" i="241"/>
  <c r="H30" i="241"/>
  <c r="L30" i="241"/>
  <c r="E30" i="241"/>
  <c r="M30" i="241"/>
  <c r="N30" i="241"/>
  <c r="G30" i="241"/>
  <c r="I30" i="241"/>
  <c r="H33" i="241"/>
  <c r="I33" i="241"/>
  <c r="J33" i="241"/>
  <c r="N33" i="241"/>
  <c r="K33" i="241"/>
  <c r="O33" i="241"/>
  <c r="L33" i="241"/>
  <c r="G33" i="241"/>
  <c r="E33" i="241"/>
  <c r="M33" i="241"/>
  <c r="F33" i="241"/>
  <c r="J28" i="227"/>
  <c r="K28" i="227"/>
  <c r="F28" i="227"/>
  <c r="N28" i="227"/>
  <c r="G28" i="227"/>
  <c r="O28" i="227"/>
  <c r="H28" i="227"/>
  <c r="I28" i="227"/>
  <c r="L28" i="227"/>
  <c r="E28" i="227"/>
  <c r="M28" i="227"/>
  <c r="K24" i="227"/>
  <c r="L24" i="227"/>
  <c r="E24" i="227"/>
  <c r="M24" i="227"/>
  <c r="F24" i="227"/>
  <c r="N24" i="227"/>
  <c r="G24" i="227"/>
  <c r="O24" i="227"/>
  <c r="J24" i="227"/>
  <c r="H24" i="227"/>
  <c r="I24" i="227"/>
  <c r="H25" i="227"/>
  <c r="I25" i="227"/>
  <c r="J25" i="227"/>
  <c r="K25" i="227"/>
  <c r="G25" i="227"/>
  <c r="L25" i="227"/>
  <c r="O25" i="227"/>
  <c r="E25" i="227"/>
  <c r="M25" i="227"/>
  <c r="F25" i="227"/>
  <c r="N25" i="227"/>
  <c r="P36" i="207" l="1"/>
  <c r="A36" i="207"/>
  <c r="P31" i="207"/>
  <c r="A31" i="207"/>
  <c r="P30" i="207"/>
  <c r="A30" i="207"/>
  <c r="P28" i="207"/>
  <c r="A28" i="207"/>
  <c r="P27" i="207"/>
  <c r="A27" i="207"/>
  <c r="P26" i="207"/>
  <c r="A26" i="207"/>
  <c r="P25" i="207"/>
  <c r="A25" i="207"/>
  <c r="A32" i="207"/>
  <c r="P32" i="207"/>
  <c r="A33" i="207"/>
  <c r="P33" i="207"/>
  <c r="A34" i="207"/>
  <c r="P34" i="207"/>
  <c r="A35" i="207"/>
  <c r="P35" i="207"/>
  <c r="A37" i="207"/>
  <c r="P37" i="207"/>
  <c r="A38" i="207"/>
  <c r="P38" i="207"/>
  <c r="P33" i="240"/>
  <c r="A33" i="240"/>
  <c r="P32" i="240"/>
  <c r="A32" i="240"/>
  <c r="P31" i="240"/>
  <c r="J31" i="240" s="1"/>
  <c r="A31" i="240"/>
  <c r="P19" i="240"/>
  <c r="A19" i="240"/>
  <c r="P18" i="240"/>
  <c r="A18" i="240"/>
  <c r="P12" i="240"/>
  <c r="A12" i="240"/>
  <c r="P26" i="224"/>
  <c r="A26" i="224"/>
  <c r="P23" i="224"/>
  <c r="A23" i="224"/>
  <c r="P22" i="224"/>
  <c r="A22" i="224"/>
  <c r="P21" i="224"/>
  <c r="A21" i="224"/>
  <c r="P20" i="224"/>
  <c r="A20" i="224"/>
  <c r="P19" i="224"/>
  <c r="A19" i="224"/>
  <c r="P18" i="224"/>
  <c r="A18" i="224"/>
  <c r="P17" i="224"/>
  <c r="A17" i="224"/>
  <c r="L36" i="207" l="1"/>
  <c r="G36" i="207"/>
  <c r="K36" i="207"/>
  <c r="M36" i="207"/>
  <c r="J36" i="207"/>
  <c r="E36" i="207"/>
  <c r="I36" i="207"/>
  <c r="H36" i="207"/>
  <c r="O36" i="207"/>
  <c r="N36" i="207"/>
  <c r="F36" i="207"/>
  <c r="J25" i="207"/>
  <c r="I25" i="207"/>
  <c r="H25" i="207"/>
  <c r="O25" i="207"/>
  <c r="G25" i="207"/>
  <c r="N25" i="207"/>
  <c r="F25" i="207"/>
  <c r="M25" i="207"/>
  <c r="E25" i="207"/>
  <c r="K25" i="207"/>
  <c r="L25" i="207"/>
  <c r="N30" i="207"/>
  <c r="F30" i="207"/>
  <c r="M30" i="207"/>
  <c r="E30" i="207"/>
  <c r="L30" i="207"/>
  <c r="K30" i="207"/>
  <c r="J30" i="207"/>
  <c r="I30" i="207"/>
  <c r="H30" i="207"/>
  <c r="O30" i="207"/>
  <c r="G30" i="207"/>
  <c r="O35" i="207"/>
  <c r="G35" i="207"/>
  <c r="N35" i="207"/>
  <c r="F35" i="207"/>
  <c r="M35" i="207"/>
  <c r="E35" i="207"/>
  <c r="L35" i="207"/>
  <c r="K35" i="207"/>
  <c r="J35" i="207"/>
  <c r="I35" i="207"/>
  <c r="H35" i="207"/>
  <c r="O26" i="207"/>
  <c r="G26" i="207"/>
  <c r="N26" i="207"/>
  <c r="F26" i="207"/>
  <c r="M26" i="207"/>
  <c r="E26" i="207"/>
  <c r="L26" i="207"/>
  <c r="K26" i="207"/>
  <c r="J26" i="207"/>
  <c r="H26" i="207"/>
  <c r="I26" i="207"/>
  <c r="O38" i="207"/>
  <c r="G38" i="207"/>
  <c r="N38" i="207"/>
  <c r="F38" i="207"/>
  <c r="M38" i="207"/>
  <c r="L38" i="207"/>
  <c r="K38" i="207"/>
  <c r="J38" i="207"/>
  <c r="I38" i="207"/>
  <c r="E38" i="207"/>
  <c r="H38" i="207"/>
  <c r="M33" i="207"/>
  <c r="E33" i="207"/>
  <c r="L33" i="207"/>
  <c r="K33" i="207"/>
  <c r="J33" i="207"/>
  <c r="I33" i="207"/>
  <c r="H33" i="207"/>
  <c r="O33" i="207"/>
  <c r="G33" i="207"/>
  <c r="N33" i="207"/>
  <c r="F33" i="207"/>
  <c r="K31" i="207"/>
  <c r="J31" i="207"/>
  <c r="I31" i="207"/>
  <c r="H31" i="207"/>
  <c r="O31" i="207"/>
  <c r="G31" i="207"/>
  <c r="N31" i="207"/>
  <c r="F31" i="207"/>
  <c r="M31" i="207"/>
  <c r="E31" i="207"/>
  <c r="L31" i="207"/>
  <c r="J34" i="207"/>
  <c r="I34" i="207"/>
  <c r="H34" i="207"/>
  <c r="O34" i="207"/>
  <c r="G34" i="207"/>
  <c r="N34" i="207"/>
  <c r="F34" i="207"/>
  <c r="M34" i="207"/>
  <c r="E34" i="207"/>
  <c r="L34" i="207"/>
  <c r="K34" i="207"/>
  <c r="I37" i="207"/>
  <c r="H37" i="207"/>
  <c r="O37" i="207"/>
  <c r="G37" i="207"/>
  <c r="N37" i="207"/>
  <c r="F37" i="207"/>
  <c r="M37" i="207"/>
  <c r="E37" i="207"/>
  <c r="L37" i="207"/>
  <c r="K37" i="207"/>
  <c r="J37" i="207"/>
  <c r="H32" i="207"/>
  <c r="O32" i="207"/>
  <c r="G32" i="207"/>
  <c r="N32" i="207"/>
  <c r="F32" i="207"/>
  <c r="M32" i="207"/>
  <c r="E32" i="207"/>
  <c r="L32" i="207"/>
  <c r="K32" i="207"/>
  <c r="J32" i="207"/>
  <c r="I32" i="207"/>
  <c r="L28" i="207"/>
  <c r="K28" i="207"/>
  <c r="J28" i="207"/>
  <c r="I28" i="207"/>
  <c r="H28" i="207"/>
  <c r="O28" i="207"/>
  <c r="G28" i="207"/>
  <c r="E28" i="207"/>
  <c r="N28" i="207"/>
  <c r="F28" i="207"/>
  <c r="M28" i="207"/>
  <c r="H27" i="207"/>
  <c r="O27" i="207"/>
  <c r="G27" i="207"/>
  <c r="N27" i="207"/>
  <c r="F27" i="207"/>
  <c r="M27" i="207"/>
  <c r="E27" i="207"/>
  <c r="L27" i="207"/>
  <c r="K27" i="207"/>
  <c r="J27" i="207"/>
  <c r="I27" i="207"/>
  <c r="F12" i="240"/>
  <c r="O12" i="240"/>
  <c r="G12" i="240"/>
  <c r="H12" i="240"/>
  <c r="M12" i="240"/>
  <c r="N12" i="240"/>
  <c r="J12" i="240"/>
  <c r="K12" i="240"/>
  <c r="L12" i="240"/>
  <c r="G32" i="240"/>
  <c r="O32" i="240"/>
  <c r="M32" i="240"/>
  <c r="H32" i="240"/>
  <c r="F32" i="240"/>
  <c r="I32" i="240"/>
  <c r="J32" i="240"/>
  <c r="K32" i="240"/>
  <c r="L32" i="240"/>
  <c r="N32" i="240"/>
  <c r="E32" i="240"/>
  <c r="M33" i="240"/>
  <c r="E33" i="240"/>
  <c r="L33" i="240"/>
  <c r="F33" i="240"/>
  <c r="N33" i="240"/>
  <c r="K33" i="240"/>
  <c r="G33" i="240"/>
  <c r="O33" i="240"/>
  <c r="H33" i="240"/>
  <c r="I33" i="240"/>
  <c r="J33" i="240"/>
  <c r="N18" i="240"/>
  <c r="J18" i="240"/>
  <c r="F18" i="240"/>
  <c r="O18" i="240"/>
  <c r="G18" i="240"/>
  <c r="H18" i="240"/>
  <c r="L18" i="240"/>
  <c r="M18" i="240"/>
  <c r="K18" i="240"/>
  <c r="H23" i="224"/>
  <c r="K23" i="224"/>
  <c r="I23" i="224"/>
  <c r="L23" i="224"/>
  <c r="G23" i="224"/>
  <c r="J23" i="224"/>
  <c r="G26" i="224"/>
  <c r="J26" i="224"/>
  <c r="H26" i="224"/>
  <c r="K26" i="224"/>
  <c r="I26" i="224"/>
  <c r="L26" i="224"/>
  <c r="N19" i="224"/>
  <c r="L19" i="224"/>
  <c r="G19" i="224"/>
  <c r="J19" i="224"/>
  <c r="I19" i="224"/>
  <c r="H19" i="224"/>
  <c r="K19" i="224"/>
  <c r="O20" i="224"/>
  <c r="I20" i="224"/>
  <c r="L20" i="224"/>
  <c r="G20" i="224"/>
  <c r="J20" i="224"/>
  <c r="H20" i="224"/>
  <c r="K20" i="224"/>
  <c r="O21" i="224"/>
  <c r="I21" i="224"/>
  <c r="L21" i="224"/>
  <c r="G21" i="224"/>
  <c r="E21" i="224"/>
  <c r="K21" i="224"/>
  <c r="J21" i="224"/>
  <c r="H21" i="224"/>
  <c r="K22" i="224"/>
  <c r="I22" i="224"/>
  <c r="L22" i="224"/>
  <c r="G22" i="224"/>
  <c r="J22" i="224"/>
  <c r="H22" i="224"/>
  <c r="G18" i="224"/>
  <c r="I18" i="224"/>
  <c r="L18" i="224"/>
  <c r="J18" i="224"/>
  <c r="H18" i="224"/>
  <c r="K18" i="224"/>
  <c r="O17" i="224"/>
  <c r="L17" i="224"/>
  <c r="J17" i="224"/>
  <c r="H17" i="224"/>
  <c r="E17" i="224"/>
  <c r="K17" i="224"/>
  <c r="I17" i="224"/>
  <c r="G17" i="224"/>
  <c r="K19" i="240"/>
  <c r="L19" i="240"/>
  <c r="M19" i="240"/>
  <c r="F19" i="240"/>
  <c r="N19" i="240"/>
  <c r="G19" i="240"/>
  <c r="O19" i="240"/>
  <c r="H19" i="240"/>
  <c r="I19" i="240"/>
  <c r="J19" i="240"/>
  <c r="L31" i="240"/>
  <c r="M31" i="240"/>
  <c r="F31" i="240"/>
  <c r="N31" i="240"/>
  <c r="G31" i="240"/>
  <c r="O31" i="240"/>
  <c r="H31" i="240"/>
  <c r="I31" i="240"/>
  <c r="K31" i="240"/>
  <c r="M21" i="224"/>
  <c r="F26" i="224"/>
  <c r="E26" i="224"/>
  <c r="O19" i="224"/>
  <c r="O23" i="224"/>
  <c r="M26" i="224"/>
  <c r="N26" i="224"/>
  <c r="O26" i="224"/>
  <c r="M17" i="224"/>
  <c r="N17" i="224"/>
  <c r="F17" i="224"/>
  <c r="N23" i="224"/>
  <c r="M23" i="224"/>
  <c r="F21" i="224"/>
  <c r="N21" i="224"/>
  <c r="O22" i="224"/>
  <c r="F23" i="224"/>
  <c r="N22" i="224"/>
  <c r="F22" i="224"/>
  <c r="F18" i="224"/>
  <c r="M22" i="224"/>
  <c r="E22" i="224"/>
  <c r="E23" i="224"/>
  <c r="M18" i="224"/>
  <c r="N18" i="224"/>
  <c r="E18" i="224"/>
  <c r="O18" i="224"/>
  <c r="E20" i="224"/>
  <c r="M20" i="224"/>
  <c r="E19" i="224"/>
  <c r="M19" i="224"/>
  <c r="F20" i="224"/>
  <c r="N20" i="224"/>
  <c r="F19" i="224"/>
  <c r="K8" i="224" l="1"/>
  <c r="O8" i="224" s="1"/>
  <c r="K8" i="240"/>
  <c r="K8" i="207"/>
  <c r="O8" i="207" s="1"/>
  <c r="O8" i="208"/>
  <c r="Q17" i="208" s="1"/>
  <c r="R17" i="208" s="1"/>
  <c r="K8" i="230"/>
  <c r="O8" i="230" s="1"/>
  <c r="K8" i="227"/>
  <c r="O8" i="227" s="1"/>
  <c r="K8" i="241"/>
  <c r="O8" i="241" s="1"/>
  <c r="Q35" i="241" s="1"/>
  <c r="O8" i="242"/>
  <c r="K8" i="243"/>
  <c r="K8" i="245"/>
  <c r="O8" i="245" s="1"/>
  <c r="Q20" i="245" s="1"/>
  <c r="K8" i="246"/>
  <c r="O8" i="246" s="1"/>
  <c r="K8" i="247"/>
  <c r="O8" i="247" s="1"/>
  <c r="R39" i="247"/>
  <c r="S37" i="247"/>
  <c r="R36" i="247"/>
  <c r="P35" i="247"/>
  <c r="P34" i="247"/>
  <c r="P33" i="247"/>
  <c r="A33" i="247"/>
  <c r="P32" i="247"/>
  <c r="A32" i="247"/>
  <c r="P29" i="247"/>
  <c r="A29" i="247"/>
  <c r="P28" i="247"/>
  <c r="A28" i="247"/>
  <c r="P25" i="247"/>
  <c r="A25" i="247"/>
  <c r="P24" i="247"/>
  <c r="A24" i="247"/>
  <c r="P23" i="247"/>
  <c r="A23" i="247"/>
  <c r="P22" i="247"/>
  <c r="A22" i="247"/>
  <c r="P20" i="247"/>
  <c r="A20" i="247"/>
  <c r="P19" i="247"/>
  <c r="A19" i="247"/>
  <c r="P17" i="247"/>
  <c r="A17" i="247"/>
  <c r="P14" i="247"/>
  <c r="A14" i="247"/>
  <c r="P13" i="247"/>
  <c r="A13" i="247"/>
  <c r="P12" i="247"/>
  <c r="A12" i="247"/>
  <c r="P11" i="247"/>
  <c r="A11" i="247"/>
  <c r="P40" i="246"/>
  <c r="A40" i="246"/>
  <c r="P39" i="246"/>
  <c r="A39" i="246"/>
  <c r="P38" i="246"/>
  <c r="A38" i="246"/>
  <c r="P36" i="246"/>
  <c r="A36" i="246"/>
  <c r="P29" i="246"/>
  <c r="A29" i="246"/>
  <c r="P25" i="246"/>
  <c r="A25" i="246"/>
  <c r="P24" i="246"/>
  <c r="A24" i="246"/>
  <c r="P23" i="246"/>
  <c r="A23" i="246"/>
  <c r="P11" i="246"/>
  <c r="A11" i="246"/>
  <c r="R34" i="245"/>
  <c r="S32" i="245"/>
  <c r="R31" i="245"/>
  <c r="P30" i="245"/>
  <c r="P29" i="245"/>
  <c r="P28" i="245"/>
  <c r="P24" i="245"/>
  <c r="A24" i="245"/>
  <c r="P23" i="245"/>
  <c r="A23" i="245"/>
  <c r="P22" i="245"/>
  <c r="A22" i="245"/>
  <c r="P19" i="245"/>
  <c r="A19" i="245"/>
  <c r="P18" i="245"/>
  <c r="A18" i="245"/>
  <c r="P17" i="245"/>
  <c r="A17" i="245"/>
  <c r="P16" i="245"/>
  <c r="A16" i="245"/>
  <c r="P15" i="245"/>
  <c r="A15" i="245"/>
  <c r="P14" i="245"/>
  <c r="A14" i="245"/>
  <c r="P13" i="245"/>
  <c r="A13" i="245"/>
  <c r="P12" i="245"/>
  <c r="A12" i="245"/>
  <c r="P11" i="245"/>
  <c r="A11" i="245"/>
  <c r="R35" i="243"/>
  <c r="S33" i="243"/>
  <c r="R32" i="243"/>
  <c r="P31" i="243"/>
  <c r="P29" i="243"/>
  <c r="A29" i="243"/>
  <c r="P28" i="243"/>
  <c r="A28" i="243"/>
  <c r="P27" i="243"/>
  <c r="A27" i="243"/>
  <c r="P24" i="243"/>
  <c r="A24" i="243"/>
  <c r="P23" i="243"/>
  <c r="A23" i="243"/>
  <c r="P20" i="243"/>
  <c r="A20" i="243"/>
  <c r="P19" i="243"/>
  <c r="A19" i="243"/>
  <c r="P18" i="243"/>
  <c r="A18" i="243"/>
  <c r="P17" i="243"/>
  <c r="A17" i="243"/>
  <c r="P16" i="243"/>
  <c r="A16" i="243"/>
  <c r="P15" i="243"/>
  <c r="A15" i="243"/>
  <c r="P14" i="243"/>
  <c r="A14" i="243"/>
  <c r="P13" i="243"/>
  <c r="A13" i="243"/>
  <c r="P11" i="243"/>
  <c r="A11" i="243"/>
  <c r="R40" i="242"/>
  <c r="S38" i="242"/>
  <c r="P27" i="242"/>
  <c r="A27" i="242"/>
  <c r="P26" i="242"/>
  <c r="A26" i="242"/>
  <c r="P25" i="242"/>
  <c r="A25" i="242"/>
  <c r="P24" i="242"/>
  <c r="A24" i="242"/>
  <c r="P23" i="242"/>
  <c r="A23" i="242"/>
  <c r="P22" i="242"/>
  <c r="A22" i="242"/>
  <c r="P21" i="242"/>
  <c r="A21" i="242"/>
  <c r="P18" i="242"/>
  <c r="A18" i="242"/>
  <c r="P17" i="242"/>
  <c r="A17" i="242"/>
  <c r="P16" i="242"/>
  <c r="A16" i="242"/>
  <c r="P15" i="242"/>
  <c r="A15" i="242"/>
  <c r="P14" i="242"/>
  <c r="A14" i="242"/>
  <c r="P13" i="242"/>
  <c r="A13" i="242"/>
  <c r="P11" i="242"/>
  <c r="A11" i="242"/>
  <c r="Q21" i="247" l="1"/>
  <c r="Q31" i="247"/>
  <c r="Q30" i="247"/>
  <c r="Q34" i="246"/>
  <c r="Q35" i="246"/>
  <c r="Q33" i="246"/>
  <c r="Q31" i="246"/>
  <c r="Q29" i="207"/>
  <c r="R29" i="207" s="1"/>
  <c r="Q18" i="207"/>
  <c r="R18" i="207" s="1"/>
  <c r="Q19" i="207"/>
  <c r="R19" i="207" s="1"/>
  <c r="Q18" i="246"/>
  <c r="R18" i="246" s="1"/>
  <c r="Q20" i="246"/>
  <c r="Q12" i="246"/>
  <c r="R12" i="246" s="1"/>
  <c r="Q13" i="246"/>
  <c r="Q14" i="246"/>
  <c r="Q21" i="246"/>
  <c r="F28" i="245"/>
  <c r="N28" i="245"/>
  <c r="G28" i="245"/>
  <c r="O28" i="245"/>
  <c r="I28" i="245"/>
  <c r="J28" i="245"/>
  <c r="K28" i="245"/>
  <c r="L28" i="245"/>
  <c r="E28" i="245"/>
  <c r="M28" i="245"/>
  <c r="H28" i="245"/>
  <c r="G14" i="245"/>
  <c r="O14" i="245"/>
  <c r="H14" i="245"/>
  <c r="I14" i="245"/>
  <c r="J14" i="245"/>
  <c r="K14" i="245"/>
  <c r="L14" i="245"/>
  <c r="F14" i="245"/>
  <c r="N14" i="245"/>
  <c r="E14" i="245"/>
  <c r="M14" i="245"/>
  <c r="H24" i="245"/>
  <c r="I24" i="245"/>
  <c r="J24" i="245"/>
  <c r="K24" i="245"/>
  <c r="L24" i="245"/>
  <c r="E24" i="245"/>
  <c r="M24" i="245"/>
  <c r="G24" i="245"/>
  <c r="O24" i="245"/>
  <c r="F24" i="245"/>
  <c r="N24" i="245"/>
  <c r="E29" i="245"/>
  <c r="K29" i="245"/>
  <c r="L29" i="245"/>
  <c r="M29" i="245"/>
  <c r="F29" i="245"/>
  <c r="N29" i="245"/>
  <c r="G29" i="245"/>
  <c r="O29" i="245"/>
  <c r="H29" i="245"/>
  <c r="I29" i="245"/>
  <c r="J29" i="245"/>
  <c r="K23" i="245"/>
  <c r="L23" i="245"/>
  <c r="E23" i="245"/>
  <c r="M23" i="245"/>
  <c r="F23" i="245"/>
  <c r="N23" i="245"/>
  <c r="G23" i="245"/>
  <c r="O23" i="245"/>
  <c r="H23" i="245"/>
  <c r="J23" i="245"/>
  <c r="I23" i="245"/>
  <c r="J13" i="245"/>
  <c r="K13" i="245"/>
  <c r="L13" i="245"/>
  <c r="E13" i="245"/>
  <c r="M13" i="245"/>
  <c r="F13" i="245"/>
  <c r="N13" i="245"/>
  <c r="G13" i="245"/>
  <c r="O13" i="245"/>
  <c r="I13" i="245"/>
  <c r="H13" i="245"/>
  <c r="L15" i="245"/>
  <c r="E15" i="245"/>
  <c r="M15" i="245"/>
  <c r="F15" i="245"/>
  <c r="N15" i="245"/>
  <c r="G15" i="245"/>
  <c r="O15" i="245"/>
  <c r="H15" i="245"/>
  <c r="I15" i="245"/>
  <c r="K15" i="245"/>
  <c r="J15" i="245"/>
  <c r="I17" i="245"/>
  <c r="J17" i="245"/>
  <c r="K17" i="245"/>
  <c r="L17" i="245"/>
  <c r="E17" i="245"/>
  <c r="M17" i="245"/>
  <c r="F17" i="245"/>
  <c r="N17" i="245"/>
  <c r="H17" i="245"/>
  <c r="G17" i="245"/>
  <c r="O17" i="245"/>
  <c r="E12" i="245"/>
  <c r="M12" i="245"/>
  <c r="F12" i="245"/>
  <c r="N12" i="245"/>
  <c r="G12" i="245"/>
  <c r="O12" i="245"/>
  <c r="H12" i="245"/>
  <c r="I12" i="245"/>
  <c r="J12" i="245"/>
  <c r="L12" i="245"/>
  <c r="K12" i="245"/>
  <c r="F22" i="245"/>
  <c r="N22" i="245"/>
  <c r="G22" i="245"/>
  <c r="O22" i="245"/>
  <c r="H22" i="245"/>
  <c r="I22" i="245"/>
  <c r="J22" i="245"/>
  <c r="K22" i="245"/>
  <c r="E22" i="245"/>
  <c r="M22" i="245"/>
  <c r="L22" i="245"/>
  <c r="F18" i="245"/>
  <c r="N18" i="245"/>
  <c r="G18" i="245"/>
  <c r="O18" i="245"/>
  <c r="H18" i="245"/>
  <c r="I18" i="245"/>
  <c r="J18" i="245"/>
  <c r="K18" i="245"/>
  <c r="M18" i="245"/>
  <c r="L18" i="245"/>
  <c r="E18" i="245"/>
  <c r="K19" i="245"/>
  <c r="L19" i="245"/>
  <c r="J19" i="245"/>
  <c r="E19" i="245"/>
  <c r="M19" i="245"/>
  <c r="F19" i="245"/>
  <c r="N19" i="245"/>
  <c r="G19" i="245"/>
  <c r="O19" i="245"/>
  <c r="H19" i="245"/>
  <c r="I19" i="245"/>
  <c r="Q24" i="230"/>
  <c r="R24" i="230" s="1"/>
  <c r="Q23" i="230"/>
  <c r="Q19" i="208"/>
  <c r="R19" i="208" s="1"/>
  <c r="Q21" i="208"/>
  <c r="R21" i="208" s="1"/>
  <c r="Q20" i="208"/>
  <c r="R20" i="208" s="1"/>
  <c r="Q18" i="208"/>
  <c r="R18" i="208" s="1"/>
  <c r="Q22" i="208"/>
  <c r="R22" i="208" s="1"/>
  <c r="Q27" i="208"/>
  <c r="R27" i="208" s="1"/>
  <c r="Q27" i="247"/>
  <c r="Q18" i="247"/>
  <c r="R18" i="247" s="1"/>
  <c r="Q26" i="247"/>
  <c r="Q16" i="247"/>
  <c r="R16" i="247" s="1"/>
  <c r="Q15" i="247"/>
  <c r="I20" i="247"/>
  <c r="J20" i="247"/>
  <c r="K20" i="247"/>
  <c r="L20" i="247"/>
  <c r="E20" i="247"/>
  <c r="M20" i="247"/>
  <c r="H20" i="247"/>
  <c r="F20" i="247"/>
  <c r="N20" i="247"/>
  <c r="G20" i="247"/>
  <c r="O20" i="247"/>
  <c r="E24" i="247"/>
  <c r="M24" i="247"/>
  <c r="F24" i="247"/>
  <c r="N24" i="247"/>
  <c r="G24" i="247"/>
  <c r="O24" i="247"/>
  <c r="H24" i="247"/>
  <c r="I24" i="247"/>
  <c r="L24" i="247"/>
  <c r="J24" i="247"/>
  <c r="K24" i="247"/>
  <c r="F32" i="247"/>
  <c r="G32" i="247"/>
  <c r="H32" i="247"/>
  <c r="I32" i="247"/>
  <c r="J32" i="247"/>
  <c r="L32" i="247"/>
  <c r="E32" i="247"/>
  <c r="M32" i="247"/>
  <c r="N32" i="247"/>
  <c r="O32" i="247"/>
  <c r="K32" i="247"/>
  <c r="J25" i="247"/>
  <c r="K25" i="247"/>
  <c r="L25" i="247"/>
  <c r="E25" i="247"/>
  <c r="M25" i="247"/>
  <c r="F25" i="247"/>
  <c r="N25" i="247"/>
  <c r="I25" i="247"/>
  <c r="G25" i="247"/>
  <c r="O25" i="247"/>
  <c r="H25" i="247"/>
  <c r="G17" i="247"/>
  <c r="O17" i="247"/>
  <c r="H17" i="247"/>
  <c r="I17" i="247"/>
  <c r="J17" i="247"/>
  <c r="K17" i="247"/>
  <c r="F17" i="247"/>
  <c r="N17" i="247"/>
  <c r="L17" i="247"/>
  <c r="E17" i="247"/>
  <c r="M17" i="247"/>
  <c r="K22" i="247"/>
  <c r="L22" i="247"/>
  <c r="E22" i="247"/>
  <c r="M22" i="247"/>
  <c r="F22" i="247"/>
  <c r="N22" i="247"/>
  <c r="G22" i="247"/>
  <c r="O22" i="247"/>
  <c r="J22" i="247"/>
  <c r="H22" i="247"/>
  <c r="I22" i="247"/>
  <c r="L28" i="247"/>
  <c r="E28" i="247"/>
  <c r="M28" i="247"/>
  <c r="F28" i="247"/>
  <c r="N28" i="247"/>
  <c r="G28" i="247"/>
  <c r="O28" i="247"/>
  <c r="H28" i="247"/>
  <c r="K28" i="247"/>
  <c r="I28" i="247"/>
  <c r="J28" i="247"/>
  <c r="L33" i="247"/>
  <c r="E33" i="247"/>
  <c r="M33" i="247"/>
  <c r="F33" i="247"/>
  <c r="N33" i="247"/>
  <c r="G33" i="247"/>
  <c r="O33" i="247"/>
  <c r="H33" i="247"/>
  <c r="I33" i="247"/>
  <c r="J33" i="247"/>
  <c r="K33" i="247"/>
  <c r="I34" i="247"/>
  <c r="J34" i="247"/>
  <c r="K34" i="247"/>
  <c r="L34" i="247"/>
  <c r="E34" i="247"/>
  <c r="M34" i="247"/>
  <c r="F34" i="247"/>
  <c r="N34" i="247"/>
  <c r="G34" i="247"/>
  <c r="O34" i="247"/>
  <c r="H34" i="247"/>
  <c r="L19" i="247"/>
  <c r="E19" i="247"/>
  <c r="M19" i="247"/>
  <c r="F19" i="247"/>
  <c r="N19" i="247"/>
  <c r="G19" i="247"/>
  <c r="O19" i="247"/>
  <c r="H19" i="247"/>
  <c r="K19" i="247"/>
  <c r="I19" i="247"/>
  <c r="J19" i="247"/>
  <c r="H23" i="247"/>
  <c r="I23" i="247"/>
  <c r="J23" i="247"/>
  <c r="K23" i="247"/>
  <c r="L23" i="247"/>
  <c r="G23" i="247"/>
  <c r="O23" i="247"/>
  <c r="E23" i="247"/>
  <c r="M23" i="247"/>
  <c r="F23" i="247"/>
  <c r="N23" i="247"/>
  <c r="I29" i="247"/>
  <c r="J29" i="247"/>
  <c r="K29" i="247"/>
  <c r="L29" i="247"/>
  <c r="E29" i="247"/>
  <c r="M29" i="247"/>
  <c r="H29" i="247"/>
  <c r="F29" i="247"/>
  <c r="N29" i="247"/>
  <c r="G29" i="247"/>
  <c r="O29" i="247"/>
  <c r="L13" i="247"/>
  <c r="E13" i="247"/>
  <c r="M13" i="247"/>
  <c r="I13" i="247"/>
  <c r="F13" i="247"/>
  <c r="N13" i="247"/>
  <c r="G13" i="247"/>
  <c r="O13" i="247"/>
  <c r="H13" i="247"/>
  <c r="J13" i="247"/>
  <c r="K13" i="247"/>
  <c r="I14" i="247"/>
  <c r="J14" i="247"/>
  <c r="K14" i="247"/>
  <c r="F14" i="247"/>
  <c r="L14" i="247"/>
  <c r="N14" i="247"/>
  <c r="E14" i="247"/>
  <c r="M14" i="247"/>
  <c r="G14" i="247"/>
  <c r="O14" i="247"/>
  <c r="H14" i="247"/>
  <c r="G12" i="247"/>
  <c r="O12" i="247"/>
  <c r="H12" i="247"/>
  <c r="I12" i="247"/>
  <c r="J12" i="247"/>
  <c r="K12" i="247"/>
  <c r="L12" i="247"/>
  <c r="E12" i="247"/>
  <c r="M12" i="247"/>
  <c r="F12" i="247"/>
  <c r="N12" i="247"/>
  <c r="E40" i="246"/>
  <c r="M40" i="246"/>
  <c r="F40" i="246"/>
  <c r="N40" i="246"/>
  <c r="G40" i="246"/>
  <c r="O40" i="246"/>
  <c r="H40" i="246"/>
  <c r="I40" i="246"/>
  <c r="J40" i="246"/>
  <c r="L40" i="246"/>
  <c r="K40" i="246"/>
  <c r="G36" i="246"/>
  <c r="O36" i="246"/>
  <c r="H36" i="246"/>
  <c r="I36" i="246"/>
  <c r="J36" i="246"/>
  <c r="F36" i="246"/>
  <c r="K36" i="246"/>
  <c r="L36" i="246"/>
  <c r="E36" i="246"/>
  <c r="M36" i="246"/>
  <c r="N36" i="246"/>
  <c r="H39" i="246"/>
  <c r="I39" i="246"/>
  <c r="J39" i="246"/>
  <c r="K39" i="246"/>
  <c r="G39" i="246"/>
  <c r="L39" i="246"/>
  <c r="E39" i="246"/>
  <c r="M39" i="246"/>
  <c r="F39" i="246"/>
  <c r="N39" i="246"/>
  <c r="O39" i="246"/>
  <c r="K38" i="246"/>
  <c r="J38" i="246"/>
  <c r="L38" i="246"/>
  <c r="E38" i="246"/>
  <c r="M38" i="246"/>
  <c r="F38" i="246"/>
  <c r="N38" i="246"/>
  <c r="G38" i="246"/>
  <c r="O38" i="246"/>
  <c r="H38" i="246"/>
  <c r="I38" i="246"/>
  <c r="K23" i="246"/>
  <c r="L23" i="246"/>
  <c r="E23" i="246"/>
  <c r="M23" i="246"/>
  <c r="F23" i="246"/>
  <c r="N23" i="246"/>
  <c r="J23" i="246"/>
  <c r="G23" i="246"/>
  <c r="O23" i="246"/>
  <c r="H23" i="246"/>
  <c r="I23" i="246"/>
  <c r="H24" i="246"/>
  <c r="I24" i="246"/>
  <c r="J24" i="246"/>
  <c r="K24" i="246"/>
  <c r="L24" i="246"/>
  <c r="G24" i="246"/>
  <c r="E24" i="246"/>
  <c r="M24" i="246"/>
  <c r="O24" i="246"/>
  <c r="F24" i="246"/>
  <c r="N24" i="246"/>
  <c r="E25" i="246"/>
  <c r="M25" i="246"/>
  <c r="F25" i="246"/>
  <c r="N25" i="246"/>
  <c r="G25" i="246"/>
  <c r="O25" i="246"/>
  <c r="H25" i="246"/>
  <c r="L25" i="246"/>
  <c r="I25" i="246"/>
  <c r="J25" i="246"/>
  <c r="K25" i="246"/>
  <c r="I29" i="246"/>
  <c r="H29" i="246"/>
  <c r="J29" i="246"/>
  <c r="K29" i="246"/>
  <c r="L29" i="246"/>
  <c r="E29" i="246"/>
  <c r="M29" i="246"/>
  <c r="F29" i="246"/>
  <c r="N29" i="246"/>
  <c r="G29" i="246"/>
  <c r="O29" i="246"/>
  <c r="K11" i="246"/>
  <c r="L11" i="246"/>
  <c r="E11" i="246"/>
  <c r="M11" i="246"/>
  <c r="F11" i="246"/>
  <c r="N11" i="246"/>
  <c r="G11" i="246"/>
  <c r="O11" i="246"/>
  <c r="H11" i="246"/>
  <c r="I11" i="246"/>
  <c r="J11" i="246"/>
  <c r="F16" i="245"/>
  <c r="N16" i="245"/>
  <c r="G16" i="245"/>
  <c r="O16" i="245"/>
  <c r="H16" i="245"/>
  <c r="E16" i="245"/>
  <c r="I16" i="245"/>
  <c r="J16" i="245"/>
  <c r="K16" i="245"/>
  <c r="M16" i="245"/>
  <c r="L16" i="245"/>
  <c r="G15" i="243"/>
  <c r="O15" i="243"/>
  <c r="H15" i="243"/>
  <c r="I15" i="243"/>
  <c r="J15" i="243"/>
  <c r="K15" i="243"/>
  <c r="L15" i="243"/>
  <c r="E15" i="243"/>
  <c r="M15" i="243"/>
  <c r="F15" i="243"/>
  <c r="N15" i="243"/>
  <c r="K19" i="243"/>
  <c r="L19" i="243"/>
  <c r="E19" i="243"/>
  <c r="M19" i="243"/>
  <c r="F19" i="243"/>
  <c r="G19" i="243"/>
  <c r="O19" i="243"/>
  <c r="N19" i="243"/>
  <c r="H19" i="243"/>
  <c r="I19" i="243"/>
  <c r="J19" i="243"/>
  <c r="K27" i="243"/>
  <c r="L27" i="243"/>
  <c r="E27" i="243"/>
  <c r="M27" i="243"/>
  <c r="F27" i="243"/>
  <c r="N27" i="243"/>
  <c r="G27" i="243"/>
  <c r="O27" i="243"/>
  <c r="H27" i="243"/>
  <c r="I27" i="243"/>
  <c r="J27" i="243"/>
  <c r="L16" i="243"/>
  <c r="E16" i="243"/>
  <c r="M16" i="243"/>
  <c r="F16" i="243"/>
  <c r="N16" i="243"/>
  <c r="G16" i="243"/>
  <c r="O16" i="243"/>
  <c r="H16" i="243"/>
  <c r="I16" i="243"/>
  <c r="J16" i="243"/>
  <c r="K16" i="243"/>
  <c r="L20" i="243"/>
  <c r="N20" i="243"/>
  <c r="H20" i="243"/>
  <c r="I20" i="243"/>
  <c r="J20" i="243"/>
  <c r="K20" i="243"/>
  <c r="E20" i="243"/>
  <c r="M20" i="243"/>
  <c r="F20" i="243"/>
  <c r="G20" i="243"/>
  <c r="O20" i="243"/>
  <c r="H28" i="243"/>
  <c r="I28" i="243"/>
  <c r="J28" i="243"/>
  <c r="K28" i="243"/>
  <c r="L28" i="243"/>
  <c r="E28" i="243"/>
  <c r="M28" i="243"/>
  <c r="F28" i="243"/>
  <c r="N28" i="243"/>
  <c r="G28" i="243"/>
  <c r="O28" i="243"/>
  <c r="E13" i="243"/>
  <c r="M13" i="243"/>
  <c r="F13" i="243"/>
  <c r="N13" i="243"/>
  <c r="G13" i="243"/>
  <c r="O13" i="243"/>
  <c r="H13" i="243"/>
  <c r="I13" i="243"/>
  <c r="J13" i="243"/>
  <c r="K13" i="243"/>
  <c r="L13" i="243"/>
  <c r="I17" i="243"/>
  <c r="J17" i="243"/>
  <c r="K17" i="243"/>
  <c r="L17" i="243"/>
  <c r="E17" i="243"/>
  <c r="M17" i="243"/>
  <c r="F17" i="243"/>
  <c r="N17" i="243"/>
  <c r="G17" i="243"/>
  <c r="O17" i="243"/>
  <c r="H17" i="243"/>
  <c r="I23" i="243"/>
  <c r="J23" i="243"/>
  <c r="K23" i="243"/>
  <c r="E23" i="243"/>
  <c r="M23" i="243"/>
  <c r="F23" i="243"/>
  <c r="N23" i="243"/>
  <c r="G23" i="243"/>
  <c r="O23" i="243"/>
  <c r="H23" i="243"/>
  <c r="L23" i="243"/>
  <c r="E29" i="243"/>
  <c r="M29" i="243"/>
  <c r="F29" i="243"/>
  <c r="N29" i="243"/>
  <c r="G29" i="243"/>
  <c r="O29" i="243"/>
  <c r="H29" i="243"/>
  <c r="I29" i="243"/>
  <c r="J29" i="243"/>
  <c r="K29" i="243"/>
  <c r="L29" i="243"/>
  <c r="J14" i="243"/>
  <c r="K14" i="243"/>
  <c r="L14" i="243"/>
  <c r="E14" i="243"/>
  <c r="M14" i="243"/>
  <c r="F14" i="243"/>
  <c r="N14" i="243"/>
  <c r="G14" i="243"/>
  <c r="O14" i="243"/>
  <c r="H14" i="243"/>
  <c r="I14" i="243"/>
  <c r="F18" i="243"/>
  <c r="N18" i="243"/>
  <c r="G18" i="243"/>
  <c r="O18" i="243"/>
  <c r="H18" i="243"/>
  <c r="I18" i="243"/>
  <c r="J18" i="243"/>
  <c r="K18" i="243"/>
  <c r="L18" i="243"/>
  <c r="E18" i="243"/>
  <c r="M18" i="243"/>
  <c r="F24" i="243"/>
  <c r="N24" i="243"/>
  <c r="G24" i="243"/>
  <c r="O24" i="243"/>
  <c r="H24" i="243"/>
  <c r="J24" i="243"/>
  <c r="K24" i="243"/>
  <c r="L24" i="243"/>
  <c r="E24" i="243"/>
  <c r="M24" i="243"/>
  <c r="I24" i="243"/>
  <c r="Q19" i="242"/>
  <c r="R19" i="242" s="1"/>
  <c r="Q20" i="242"/>
  <c r="K14" i="242"/>
  <c r="L14" i="242"/>
  <c r="E14" i="242"/>
  <c r="M14" i="242"/>
  <c r="F14" i="242"/>
  <c r="N14" i="242"/>
  <c r="G14" i="242"/>
  <c r="O14" i="242"/>
  <c r="H14" i="242"/>
  <c r="I14" i="242"/>
  <c r="J14" i="242"/>
  <c r="G18" i="242"/>
  <c r="O18" i="242"/>
  <c r="H18" i="242"/>
  <c r="I18" i="242"/>
  <c r="J18" i="242"/>
  <c r="K18" i="242"/>
  <c r="L18" i="242"/>
  <c r="E18" i="242"/>
  <c r="M18" i="242"/>
  <c r="F18" i="242"/>
  <c r="N18" i="242"/>
  <c r="G24" i="242"/>
  <c r="O24" i="242"/>
  <c r="H24" i="242"/>
  <c r="I24" i="242"/>
  <c r="K24" i="242"/>
  <c r="L24" i="242"/>
  <c r="J24" i="242"/>
  <c r="F24" i="242"/>
  <c r="M24" i="242"/>
  <c r="N24" i="242"/>
  <c r="E24" i="242"/>
  <c r="H15" i="242"/>
  <c r="I15" i="242"/>
  <c r="J15" i="242"/>
  <c r="K15" i="242"/>
  <c r="L15" i="242"/>
  <c r="E15" i="242"/>
  <c r="M15" i="242"/>
  <c r="F15" i="242"/>
  <c r="N15" i="242"/>
  <c r="G15" i="242"/>
  <c r="O15" i="242"/>
  <c r="L21" i="242"/>
  <c r="E21" i="242"/>
  <c r="M21" i="242"/>
  <c r="F21" i="242"/>
  <c r="N21" i="242"/>
  <c r="G21" i="242"/>
  <c r="O21" i="242"/>
  <c r="H21" i="242"/>
  <c r="I21" i="242"/>
  <c r="J21" i="242"/>
  <c r="K21" i="242"/>
  <c r="L25" i="242"/>
  <c r="E25" i="242"/>
  <c r="M25" i="242"/>
  <c r="F25" i="242"/>
  <c r="N25" i="242"/>
  <c r="O25" i="242"/>
  <c r="H25" i="242"/>
  <c r="G25" i="242"/>
  <c r="I25" i="242"/>
  <c r="J25" i="242"/>
  <c r="K25" i="242"/>
  <c r="E16" i="242"/>
  <c r="M16" i="242"/>
  <c r="F16" i="242"/>
  <c r="N16" i="242"/>
  <c r="G16" i="242"/>
  <c r="O16" i="242"/>
  <c r="H16" i="242"/>
  <c r="I16" i="242"/>
  <c r="J16" i="242"/>
  <c r="K16" i="242"/>
  <c r="L16" i="242"/>
  <c r="I22" i="242"/>
  <c r="J22" i="242"/>
  <c r="K22" i="242"/>
  <c r="L22" i="242"/>
  <c r="E22" i="242"/>
  <c r="M22" i="242"/>
  <c r="F22" i="242"/>
  <c r="N22" i="242"/>
  <c r="G22" i="242"/>
  <c r="O22" i="242"/>
  <c r="H22" i="242"/>
  <c r="I26" i="242"/>
  <c r="J26" i="242"/>
  <c r="K26" i="242"/>
  <c r="L26" i="242"/>
  <c r="E26" i="242"/>
  <c r="M26" i="242"/>
  <c r="N26" i="242"/>
  <c r="F26" i="242"/>
  <c r="O26" i="242"/>
  <c r="G26" i="242"/>
  <c r="H26" i="242"/>
  <c r="F13" i="242"/>
  <c r="N13" i="242"/>
  <c r="G13" i="242"/>
  <c r="O13" i="242"/>
  <c r="H13" i="242"/>
  <c r="I13" i="242"/>
  <c r="J13" i="242"/>
  <c r="K13" i="242"/>
  <c r="L13" i="242"/>
  <c r="E13" i="242"/>
  <c r="M13" i="242"/>
  <c r="J17" i="242"/>
  <c r="K17" i="242"/>
  <c r="L17" i="242"/>
  <c r="E17" i="242"/>
  <c r="M17" i="242"/>
  <c r="F17" i="242"/>
  <c r="N17" i="242"/>
  <c r="G17" i="242"/>
  <c r="O17" i="242"/>
  <c r="H17" i="242"/>
  <c r="I17" i="242"/>
  <c r="G23" i="242"/>
  <c r="H23" i="242"/>
  <c r="I23" i="242"/>
  <c r="J23" i="242"/>
  <c r="K23" i="242"/>
  <c r="L23" i="242"/>
  <c r="F23" i="242"/>
  <c r="N23" i="242"/>
  <c r="O23" i="242"/>
  <c r="E23" i="242"/>
  <c r="M23" i="242"/>
  <c r="F27" i="242"/>
  <c r="N27" i="242"/>
  <c r="G27" i="242"/>
  <c r="O27" i="242"/>
  <c r="H27" i="242"/>
  <c r="I27" i="242"/>
  <c r="J27" i="242"/>
  <c r="E27" i="242"/>
  <c r="K27" i="242"/>
  <c r="M27" i="242"/>
  <c r="L27" i="242"/>
  <c r="Q25" i="230"/>
  <c r="Q29" i="230"/>
  <c r="Q33" i="230"/>
  <c r="Q30" i="230"/>
  <c r="Q32" i="230"/>
  <c r="Q34" i="230"/>
  <c r="Q31" i="230"/>
  <c r="Q31" i="208"/>
  <c r="R31" i="208" s="1"/>
  <c r="Q30" i="208"/>
  <c r="R30" i="208" s="1"/>
  <c r="Q17" i="241"/>
  <c r="Q36" i="241"/>
  <c r="Q37" i="241"/>
  <c r="Q38" i="241"/>
  <c r="Q26" i="224"/>
  <c r="R26" i="224" s="1"/>
  <c r="Q27" i="224"/>
  <c r="R27" i="224" s="1"/>
  <c r="Q28" i="224"/>
  <c r="R28" i="224" s="1"/>
  <c r="Q30" i="241"/>
  <c r="Q14" i="241"/>
  <c r="Q28" i="227"/>
  <c r="R28" i="227" s="1"/>
  <c r="Q24" i="227"/>
  <c r="R24" i="227" s="1"/>
  <c r="Q25" i="227"/>
  <c r="R25" i="227" s="1"/>
  <c r="Q21" i="245"/>
  <c r="N11" i="247"/>
  <c r="F11" i="247"/>
  <c r="M11" i="247"/>
  <c r="E11" i="247"/>
  <c r="L11" i="247"/>
  <c r="K11" i="247"/>
  <c r="O11" i="247"/>
  <c r="H11" i="247"/>
  <c r="J11" i="247"/>
  <c r="I11" i="247"/>
  <c r="G11" i="247"/>
  <c r="Q42" i="246"/>
  <c r="Q45" i="246"/>
  <c r="Q46" i="246"/>
  <c r="Q41" i="246"/>
  <c r="Q43" i="246"/>
  <c r="Q44" i="246"/>
  <c r="Q52" i="246"/>
  <c r="R52" i="246" s="1"/>
  <c r="Q48" i="246"/>
  <c r="Q47" i="246"/>
  <c r="Q50" i="246"/>
  <c r="Q49" i="246"/>
  <c r="Q29" i="246"/>
  <c r="R29" i="246" s="1"/>
  <c r="H11" i="245"/>
  <c r="O11" i="245"/>
  <c r="G11" i="245"/>
  <c r="F11" i="245"/>
  <c r="N11" i="245"/>
  <c r="M11" i="245"/>
  <c r="E11" i="245"/>
  <c r="L11" i="245"/>
  <c r="K11" i="245"/>
  <c r="J11" i="245"/>
  <c r="I11" i="245"/>
  <c r="I11" i="243"/>
  <c r="O11" i="243"/>
  <c r="H11" i="243"/>
  <c r="E11" i="243"/>
  <c r="G11" i="243"/>
  <c r="N11" i="243"/>
  <c r="F11" i="243"/>
  <c r="M11" i="243"/>
  <c r="L11" i="243"/>
  <c r="K11" i="243"/>
  <c r="J11" i="243"/>
  <c r="Q30" i="242"/>
  <c r="Q33" i="242"/>
  <c r="Q32" i="242"/>
  <c r="Q28" i="242"/>
  <c r="Q29" i="242"/>
  <c r="Q31" i="242"/>
  <c r="Q36" i="242"/>
  <c r="R36" i="242" s="1"/>
  <c r="Q12" i="242"/>
  <c r="R12" i="242" s="1"/>
  <c r="K11" i="242"/>
  <c r="M11" i="242"/>
  <c r="E11" i="242"/>
  <c r="J11" i="242"/>
  <c r="O11" i="242"/>
  <c r="I11" i="242"/>
  <c r="L11" i="242"/>
  <c r="H11" i="242"/>
  <c r="G11" i="242"/>
  <c r="N11" i="242"/>
  <c r="F11" i="242"/>
  <c r="Q32" i="241"/>
  <c r="Q34" i="241"/>
  <c r="Q33" i="241"/>
  <c r="Q31" i="241"/>
  <c r="Q22" i="245"/>
  <c r="Q13" i="245"/>
  <c r="R13" i="245" s="1"/>
  <c r="Q16" i="245"/>
  <c r="R16" i="245" s="1"/>
  <c r="Q18" i="245"/>
  <c r="R18" i="245" s="1"/>
  <c r="Q40" i="246"/>
  <c r="Q20" i="247"/>
  <c r="Q29" i="245"/>
  <c r="Q30" i="245"/>
  <c r="R30" i="245" s="1"/>
  <c r="Q23" i="242"/>
  <c r="Q11" i="245"/>
  <c r="R11" i="245" s="1"/>
  <c r="Q12" i="245"/>
  <c r="R12" i="245" s="1"/>
  <c r="Q23" i="245"/>
  <c r="Q19" i="247"/>
  <c r="R19" i="247" s="1"/>
  <c r="Q17" i="245"/>
  <c r="Q18" i="242"/>
  <c r="Q15" i="245"/>
  <c r="Q27" i="242"/>
  <c r="Q28" i="245"/>
  <c r="Q32" i="247"/>
  <c r="Q19" i="245"/>
  <c r="Q17" i="242"/>
  <c r="R17" i="242" s="1"/>
  <c r="Q14" i="245"/>
  <c r="Q24" i="245"/>
  <c r="Q24" i="247"/>
  <c r="Q17" i="247"/>
  <c r="Q23" i="247"/>
  <c r="Q29" i="247"/>
  <c r="Q14" i="247"/>
  <c r="Q28" i="247"/>
  <c r="Q33" i="247"/>
  <c r="Q22" i="247"/>
  <c r="Q25" i="247"/>
  <c r="Q34" i="247"/>
  <c r="Q35" i="247"/>
  <c r="R35" i="247" s="1"/>
  <c r="Q13" i="247"/>
  <c r="R13" i="247" s="1"/>
  <c r="Q12" i="247"/>
  <c r="R12" i="247" s="1"/>
  <c r="Q11" i="247"/>
  <c r="R11" i="247" s="1"/>
  <c r="Q39" i="246"/>
  <c r="Q25" i="246"/>
  <c r="Q36" i="246"/>
  <c r="Q38" i="246"/>
  <c r="Q24" i="246"/>
  <c r="Q11" i="246"/>
  <c r="R11" i="246" s="1"/>
  <c r="Q23" i="246"/>
  <c r="R23" i="246" s="1"/>
  <c r="Q26" i="242"/>
  <c r="Q15" i="242"/>
  <c r="Q25" i="242"/>
  <c r="Q21" i="242"/>
  <c r="R21" i="242" s="1"/>
  <c r="Q13" i="242"/>
  <c r="R13" i="242" s="1"/>
  <c r="Q24" i="242"/>
  <c r="Q16" i="242"/>
  <c r="Q22" i="242"/>
  <c r="Q14" i="242"/>
  <c r="R14" i="242" s="1"/>
  <c r="Q11" i="242"/>
  <c r="R11" i="242" s="1"/>
  <c r="R43" i="241"/>
  <c r="S41" i="241"/>
  <c r="R40" i="241"/>
  <c r="P39" i="241"/>
  <c r="P29" i="241"/>
  <c r="P28" i="241"/>
  <c r="P27" i="241"/>
  <c r="P26" i="241"/>
  <c r="P25" i="241"/>
  <c r="P24" i="241"/>
  <c r="P23" i="241"/>
  <c r="P22" i="241"/>
  <c r="P21" i="241"/>
  <c r="P20" i="241"/>
  <c r="P19" i="241"/>
  <c r="P18" i="241"/>
  <c r="P16" i="241"/>
  <c r="P13" i="241"/>
  <c r="P12" i="241"/>
  <c r="P11" i="241"/>
  <c r="P17" i="207"/>
  <c r="A17" i="207"/>
  <c r="P16" i="207"/>
  <c r="A16" i="207"/>
  <c r="E35" i="247" l="1"/>
  <c r="N52" i="246"/>
  <c r="E52" i="246"/>
  <c r="E30" i="245"/>
  <c r="G52" i="246"/>
  <c r="I52" i="246"/>
  <c r="K52" i="246"/>
  <c r="O52" i="246"/>
  <c r="J52" i="246"/>
  <c r="H52" i="246"/>
  <c r="L52" i="246"/>
  <c r="M52" i="246"/>
  <c r="F52" i="246"/>
  <c r="E31" i="243"/>
  <c r="Q16" i="243"/>
  <c r="Q22" i="243"/>
  <c r="Q21" i="243"/>
  <c r="L21" i="241"/>
  <c r="E21" i="241"/>
  <c r="M21" i="241"/>
  <c r="F21" i="241"/>
  <c r="N21" i="241"/>
  <c r="G21" i="241"/>
  <c r="O21" i="241"/>
  <c r="H21" i="241"/>
  <c r="K21" i="241"/>
  <c r="I21" i="241"/>
  <c r="J21" i="241"/>
  <c r="I22" i="241"/>
  <c r="J22" i="241"/>
  <c r="K22" i="241"/>
  <c r="L22" i="241"/>
  <c r="H22" i="241"/>
  <c r="E22" i="241"/>
  <c r="M22" i="241"/>
  <c r="F22" i="241"/>
  <c r="N22" i="241"/>
  <c r="G22" i="241"/>
  <c r="O22" i="241"/>
  <c r="L13" i="241"/>
  <c r="E13" i="241"/>
  <c r="M13" i="241"/>
  <c r="F13" i="241"/>
  <c r="N13" i="241"/>
  <c r="K13" i="241"/>
  <c r="G13" i="241"/>
  <c r="O13" i="241"/>
  <c r="H13" i="241"/>
  <c r="I13" i="241"/>
  <c r="J13" i="241"/>
  <c r="K24" i="241"/>
  <c r="L24" i="241"/>
  <c r="E24" i="241"/>
  <c r="M24" i="241"/>
  <c r="F24" i="241"/>
  <c r="N24" i="241"/>
  <c r="O24" i="241"/>
  <c r="G24" i="241"/>
  <c r="J24" i="241"/>
  <c r="H24" i="241"/>
  <c r="I24" i="241"/>
  <c r="K16" i="241"/>
  <c r="L16" i="241"/>
  <c r="E16" i="241"/>
  <c r="M16" i="241"/>
  <c r="F16" i="241"/>
  <c r="N16" i="241"/>
  <c r="J16" i="241"/>
  <c r="G16" i="241"/>
  <c r="O16" i="241"/>
  <c r="H16" i="241"/>
  <c r="I16" i="241"/>
  <c r="E18" i="241"/>
  <c r="M18" i="241"/>
  <c r="F18" i="241"/>
  <c r="N18" i="241"/>
  <c r="G18" i="241"/>
  <c r="O18" i="241"/>
  <c r="H18" i="241"/>
  <c r="I18" i="241"/>
  <c r="L18" i="241"/>
  <c r="J18" i="241"/>
  <c r="K18" i="241"/>
  <c r="E29" i="241"/>
  <c r="M29" i="241"/>
  <c r="F29" i="241"/>
  <c r="N29" i="241"/>
  <c r="G29" i="241"/>
  <c r="O29" i="241"/>
  <c r="H29" i="241"/>
  <c r="I29" i="241"/>
  <c r="J29" i="241"/>
  <c r="K29" i="241"/>
  <c r="L29" i="241"/>
  <c r="F23" i="241"/>
  <c r="N23" i="241"/>
  <c r="G23" i="241"/>
  <c r="O23" i="241"/>
  <c r="H23" i="241"/>
  <c r="E23" i="241"/>
  <c r="I23" i="241"/>
  <c r="M23" i="241"/>
  <c r="J23" i="241"/>
  <c r="K23" i="241"/>
  <c r="L23" i="241"/>
  <c r="I25" i="241"/>
  <c r="J25" i="241"/>
  <c r="N25" i="241"/>
  <c r="G25" i="241"/>
  <c r="H25" i="241"/>
  <c r="K25" i="241"/>
  <c r="L25" i="241"/>
  <c r="E25" i="241"/>
  <c r="M25" i="241"/>
  <c r="F25" i="241"/>
  <c r="O25" i="241"/>
  <c r="K27" i="241"/>
  <c r="L27" i="241"/>
  <c r="H27" i="241"/>
  <c r="J27" i="241"/>
  <c r="E27" i="241"/>
  <c r="M27" i="241"/>
  <c r="F27" i="241"/>
  <c r="N27" i="241"/>
  <c r="G27" i="241"/>
  <c r="O27" i="241"/>
  <c r="I27" i="241"/>
  <c r="F26" i="241"/>
  <c r="N26" i="241"/>
  <c r="G26" i="241"/>
  <c r="O26" i="241"/>
  <c r="H26" i="241"/>
  <c r="I26" i="241"/>
  <c r="J26" i="241"/>
  <c r="K26" i="241"/>
  <c r="M26" i="241"/>
  <c r="L26" i="241"/>
  <c r="E26" i="241"/>
  <c r="J19" i="241"/>
  <c r="K19" i="241"/>
  <c r="L19" i="241"/>
  <c r="E19" i="241"/>
  <c r="M19" i="241"/>
  <c r="I19" i="241"/>
  <c r="F19" i="241"/>
  <c r="N19" i="241"/>
  <c r="G19" i="241"/>
  <c r="O19" i="241"/>
  <c r="H19" i="241"/>
  <c r="G20" i="241"/>
  <c r="O20" i="241"/>
  <c r="H20" i="241"/>
  <c r="I20" i="241"/>
  <c r="F20" i="241"/>
  <c r="J20" i="241"/>
  <c r="N20" i="241"/>
  <c r="K20" i="241"/>
  <c r="L20" i="241"/>
  <c r="E20" i="241"/>
  <c r="M20" i="241"/>
  <c r="H28" i="241"/>
  <c r="I28" i="241"/>
  <c r="M28" i="241"/>
  <c r="F28" i="241"/>
  <c r="J28" i="241"/>
  <c r="K28" i="241"/>
  <c r="L28" i="241"/>
  <c r="E28" i="241"/>
  <c r="N28" i="241"/>
  <c r="O28" i="241"/>
  <c r="G28" i="241"/>
  <c r="L12" i="241"/>
  <c r="E12" i="241"/>
  <c r="M12" i="241"/>
  <c r="F12" i="241"/>
  <c r="N12" i="241"/>
  <c r="G12" i="241"/>
  <c r="O12" i="241"/>
  <c r="H12" i="241"/>
  <c r="K12" i="241"/>
  <c r="I12" i="241"/>
  <c r="J12" i="241"/>
  <c r="H16" i="207"/>
  <c r="K16" i="207"/>
  <c r="I16" i="207"/>
  <c r="O16" i="207"/>
  <c r="G16" i="207"/>
  <c r="N16" i="207"/>
  <c r="F16" i="207"/>
  <c r="J16" i="207"/>
  <c r="M16" i="207"/>
  <c r="E16" i="207"/>
  <c r="L16" i="207"/>
  <c r="M17" i="207"/>
  <c r="E17" i="207"/>
  <c r="G17" i="207"/>
  <c r="L17" i="207"/>
  <c r="K17" i="207"/>
  <c r="F17" i="207"/>
  <c r="J17" i="207"/>
  <c r="I17" i="207"/>
  <c r="H17" i="207"/>
  <c r="O17" i="207"/>
  <c r="N17" i="207"/>
  <c r="Q24" i="243"/>
  <c r="Q23" i="243"/>
  <c r="Q17" i="243"/>
  <c r="R17" i="243" s="1"/>
  <c r="Q28" i="243"/>
  <c r="Q11" i="243"/>
  <c r="R11" i="243" s="1"/>
  <c r="Q15" i="243"/>
  <c r="Q20" i="243"/>
  <c r="Q14" i="243"/>
  <c r="R14" i="243" s="1"/>
  <c r="Q13" i="243"/>
  <c r="R13" i="243" s="1"/>
  <c r="Q31" i="243"/>
  <c r="R31" i="243" s="1"/>
  <c r="Q29" i="243"/>
  <c r="Q27" i="243"/>
  <c r="Q19" i="243"/>
  <c r="R19" i="243" s="1"/>
  <c r="N35" i="247"/>
  <c r="O35" i="247"/>
  <c r="H35" i="247"/>
  <c r="G30" i="245"/>
  <c r="O30" i="245"/>
  <c r="L30" i="245"/>
  <c r="I30" i="245"/>
  <c r="E36" i="242"/>
  <c r="Q30" i="243"/>
  <c r="Q12" i="243"/>
  <c r="R12" i="243" s="1"/>
  <c r="Q18" i="243"/>
  <c r="K36" i="242"/>
  <c r="O36" i="242"/>
  <c r="F36" i="242"/>
  <c r="N36" i="242"/>
  <c r="M36" i="242"/>
  <c r="H36" i="242"/>
  <c r="L36" i="242"/>
  <c r="G36" i="242"/>
  <c r="I36" i="242"/>
  <c r="J36" i="242"/>
  <c r="M11" i="241"/>
  <c r="E11" i="241"/>
  <c r="H11" i="241"/>
  <c r="N11" i="241"/>
  <c r="L11" i="241"/>
  <c r="K11" i="241"/>
  <c r="G11" i="241"/>
  <c r="J11" i="241"/>
  <c r="I11" i="241"/>
  <c r="O11" i="241"/>
  <c r="F11" i="241"/>
  <c r="H31" i="243"/>
  <c r="G31" i="243"/>
  <c r="I31" i="243"/>
  <c r="J35" i="247"/>
  <c r="O31" i="243"/>
  <c r="J30" i="245"/>
  <c r="N31" i="243"/>
  <c r="J31" i="243"/>
  <c r="F30" i="245"/>
  <c r="H30" i="245"/>
  <c r="N30" i="245"/>
  <c r="L31" i="243"/>
  <c r="F35" i="247"/>
  <c r="K30" i="245"/>
  <c r="I35" i="247"/>
  <c r="M35" i="247"/>
  <c r="M31" i="243"/>
  <c r="G35" i="247"/>
  <c r="Q39" i="241"/>
  <c r="R39" i="241" s="1"/>
  <c r="F31" i="243"/>
  <c r="K31" i="243"/>
  <c r="K35" i="247"/>
  <c r="L35" i="247"/>
  <c r="M30" i="245"/>
  <c r="Q13" i="241"/>
  <c r="R13" i="241" s="1"/>
  <c r="Q11" i="241"/>
  <c r="R11" i="241" s="1"/>
  <c r="Q19" i="241"/>
  <c r="Q15" i="241"/>
  <c r="Q18" i="241"/>
  <c r="R18" i="241" s="1"/>
  <c r="Q21" i="241"/>
  <c r="Q23" i="241"/>
  <c r="Q25" i="241"/>
  <c r="Q27" i="241"/>
  <c r="Q29" i="241"/>
  <c r="Q20" i="241"/>
  <c r="R20" i="241" s="1"/>
  <c r="Q12" i="241"/>
  <c r="R12" i="241" s="1"/>
  <c r="Q16" i="241"/>
  <c r="Q22" i="241"/>
  <c r="Q24" i="241"/>
  <c r="Q26" i="241"/>
  <c r="Q28" i="241"/>
  <c r="E39" i="241" l="1"/>
  <c r="H39" i="241"/>
  <c r="M39" i="241"/>
  <c r="N39" i="241"/>
  <c r="O39" i="241"/>
  <c r="K39" i="241"/>
  <c r="L39" i="241"/>
  <c r="I39" i="241"/>
  <c r="G39" i="241"/>
  <c r="J39" i="241"/>
  <c r="F39" i="241"/>
  <c r="P14" i="227"/>
  <c r="A14" i="227"/>
  <c r="P19" i="230"/>
  <c r="P18" i="230"/>
  <c r="P28" i="230"/>
  <c r="P27" i="230"/>
  <c r="P26" i="230"/>
  <c r="P22" i="230"/>
  <c r="P21" i="230"/>
  <c r="P16" i="208"/>
  <c r="A16" i="208"/>
  <c r="A31" i="208"/>
  <c r="P29" i="208"/>
  <c r="A29" i="208"/>
  <c r="P28" i="208"/>
  <c r="A28" i="208"/>
  <c r="P26" i="208"/>
  <c r="A26" i="208"/>
  <c r="P24" i="207"/>
  <c r="A24" i="207"/>
  <c r="P29" i="240"/>
  <c r="A29" i="240"/>
  <c r="P28" i="240"/>
  <c r="A28" i="240"/>
  <c r="P24" i="240"/>
  <c r="A24" i="240"/>
  <c r="P21" i="240"/>
  <c r="A21" i="240"/>
  <c r="P20" i="240"/>
  <c r="A20" i="240"/>
  <c r="P17" i="240"/>
  <c r="A17" i="240"/>
  <c r="P20" i="227"/>
  <c r="A20" i="227"/>
  <c r="P19" i="227"/>
  <c r="A19" i="227"/>
  <c r="P25" i="224"/>
  <c r="A25" i="224"/>
  <c r="P16" i="224"/>
  <c r="A16" i="224"/>
  <c r="I28" i="208" l="1"/>
  <c r="H28" i="208"/>
  <c r="O28" i="208"/>
  <c r="G28" i="208"/>
  <c r="N28" i="208"/>
  <c r="F28" i="208"/>
  <c r="M28" i="208"/>
  <c r="E28" i="208"/>
  <c r="J28" i="208"/>
  <c r="L28" i="208"/>
  <c r="K28" i="208"/>
  <c r="N26" i="208"/>
  <c r="F26" i="208"/>
  <c r="M26" i="208"/>
  <c r="E26" i="208"/>
  <c r="L26" i="208"/>
  <c r="K26" i="208"/>
  <c r="J26" i="208"/>
  <c r="H26" i="208"/>
  <c r="O26" i="208"/>
  <c r="G26" i="208"/>
  <c r="I26" i="208"/>
  <c r="N29" i="208"/>
  <c r="F29" i="208"/>
  <c r="M29" i="208"/>
  <c r="E29" i="208"/>
  <c r="L29" i="208"/>
  <c r="K29" i="208"/>
  <c r="J29" i="208"/>
  <c r="O29" i="208"/>
  <c r="G29" i="208"/>
  <c r="I29" i="208"/>
  <c r="H29" i="208"/>
  <c r="K16" i="208"/>
  <c r="J16" i="208"/>
  <c r="I16" i="208"/>
  <c r="O16" i="208"/>
  <c r="G16" i="208"/>
  <c r="N16" i="208"/>
  <c r="F16" i="208"/>
  <c r="M16" i="208"/>
  <c r="E16" i="208"/>
  <c r="L16" i="208"/>
  <c r="H16" i="208"/>
  <c r="H14" i="227"/>
  <c r="I14" i="227"/>
  <c r="J14" i="227"/>
  <c r="K14" i="227"/>
  <c r="L14" i="227"/>
  <c r="E14" i="227"/>
  <c r="M14" i="227"/>
  <c r="G14" i="227"/>
  <c r="O14" i="227"/>
  <c r="F14" i="227"/>
  <c r="N14" i="227"/>
  <c r="G20" i="227"/>
  <c r="O20" i="227"/>
  <c r="H20" i="227"/>
  <c r="I20" i="227"/>
  <c r="J20" i="227"/>
  <c r="F20" i="227"/>
  <c r="N20" i="227"/>
  <c r="K20" i="227"/>
  <c r="L20" i="227"/>
  <c r="E20" i="227"/>
  <c r="M20" i="227"/>
  <c r="G19" i="227"/>
  <c r="O19" i="227"/>
  <c r="H19" i="227"/>
  <c r="I19" i="227"/>
  <c r="F19" i="227"/>
  <c r="J19" i="227"/>
  <c r="N19" i="227"/>
  <c r="K19" i="227"/>
  <c r="L19" i="227"/>
  <c r="E19" i="227"/>
  <c r="M19" i="227"/>
  <c r="J26" i="230"/>
  <c r="I26" i="230"/>
  <c r="H26" i="230"/>
  <c r="O26" i="230"/>
  <c r="G26" i="230"/>
  <c r="K26" i="230"/>
  <c r="N26" i="230"/>
  <c r="F26" i="230"/>
  <c r="M26" i="230"/>
  <c r="E26" i="230"/>
  <c r="L26" i="230"/>
  <c r="O27" i="230"/>
  <c r="G27" i="230"/>
  <c r="H27" i="230"/>
  <c r="N27" i="230"/>
  <c r="F27" i="230"/>
  <c r="M27" i="230"/>
  <c r="E27" i="230"/>
  <c r="L27" i="230"/>
  <c r="K27" i="230"/>
  <c r="J27" i="230"/>
  <c r="I27" i="230"/>
  <c r="N19" i="230"/>
  <c r="F19" i="230"/>
  <c r="O19" i="230"/>
  <c r="M19" i="230"/>
  <c r="E19" i="230"/>
  <c r="L19" i="230"/>
  <c r="G19" i="230"/>
  <c r="K19" i="230"/>
  <c r="J19" i="230"/>
  <c r="I19" i="230"/>
  <c r="H19" i="230"/>
  <c r="M22" i="230"/>
  <c r="E22" i="230"/>
  <c r="F22" i="230"/>
  <c r="L22" i="230"/>
  <c r="K22" i="230"/>
  <c r="N22" i="230"/>
  <c r="J22" i="230"/>
  <c r="I22" i="230"/>
  <c r="H22" i="230"/>
  <c r="O22" i="230"/>
  <c r="G22" i="230"/>
  <c r="L28" i="230"/>
  <c r="K28" i="230"/>
  <c r="J28" i="230"/>
  <c r="E28" i="230"/>
  <c r="I28" i="230"/>
  <c r="M28" i="230"/>
  <c r="H28" i="230"/>
  <c r="O28" i="230"/>
  <c r="G28" i="230"/>
  <c r="N28" i="230"/>
  <c r="F28" i="230"/>
  <c r="H21" i="230"/>
  <c r="O21" i="230"/>
  <c r="G21" i="230"/>
  <c r="N21" i="230"/>
  <c r="F21" i="230"/>
  <c r="M21" i="230"/>
  <c r="E21" i="230"/>
  <c r="I21" i="230"/>
  <c r="L21" i="230"/>
  <c r="K21" i="230"/>
  <c r="J21" i="230"/>
  <c r="I18" i="230"/>
  <c r="H18" i="230"/>
  <c r="G18" i="230"/>
  <c r="O18" i="230"/>
  <c r="N18" i="230"/>
  <c r="F18" i="230"/>
  <c r="E18" i="230"/>
  <c r="J18" i="230"/>
  <c r="M18" i="230"/>
  <c r="L18" i="230"/>
  <c r="K18" i="230"/>
  <c r="M24" i="207"/>
  <c r="E24" i="207"/>
  <c r="L24" i="207"/>
  <c r="K24" i="207"/>
  <c r="J24" i="207"/>
  <c r="N24" i="207"/>
  <c r="I24" i="207"/>
  <c r="H24" i="207"/>
  <c r="F24" i="207"/>
  <c r="O24" i="207"/>
  <c r="G24" i="207"/>
  <c r="L24" i="240"/>
  <c r="K24" i="240"/>
  <c r="M24" i="240"/>
  <c r="J24" i="240"/>
  <c r="F24" i="240"/>
  <c r="N24" i="240"/>
  <c r="G24" i="240"/>
  <c r="O24" i="240"/>
  <c r="H24" i="240"/>
  <c r="I24" i="240"/>
  <c r="J25" i="224"/>
  <c r="H25" i="224"/>
  <c r="K25" i="224"/>
  <c r="G25" i="224"/>
  <c r="I25" i="224"/>
  <c r="L25" i="224"/>
  <c r="N16" i="224"/>
  <c r="L16" i="224"/>
  <c r="J16" i="224"/>
  <c r="H16" i="224"/>
  <c r="K16" i="224"/>
  <c r="I16" i="224"/>
  <c r="G16" i="224"/>
  <c r="F17" i="240"/>
  <c r="N17" i="240"/>
  <c r="G17" i="240"/>
  <c r="O17" i="240"/>
  <c r="H17" i="240"/>
  <c r="L17" i="240"/>
  <c r="M17" i="240"/>
  <c r="I17" i="240"/>
  <c r="J17" i="240"/>
  <c r="K17" i="240"/>
  <c r="M21" i="240"/>
  <c r="O21" i="240"/>
  <c r="F21" i="240"/>
  <c r="N21" i="240"/>
  <c r="E21" i="240"/>
  <c r="G21" i="240"/>
  <c r="H21" i="240"/>
  <c r="I21" i="240"/>
  <c r="J21" i="240"/>
  <c r="L21" i="240"/>
  <c r="K21" i="240"/>
  <c r="L20" i="240"/>
  <c r="M20" i="240"/>
  <c r="E20" i="240"/>
  <c r="F20" i="240"/>
  <c r="G20" i="240"/>
  <c r="O20" i="240"/>
  <c r="H20" i="240"/>
  <c r="J20" i="240"/>
  <c r="N20" i="240"/>
  <c r="K20" i="240"/>
  <c r="J29" i="240"/>
  <c r="K29" i="240"/>
  <c r="L29" i="240"/>
  <c r="M29" i="240"/>
  <c r="F29" i="240"/>
  <c r="N29" i="240"/>
  <c r="G29" i="240"/>
  <c r="O29" i="240"/>
  <c r="H29" i="240"/>
  <c r="I29" i="240"/>
  <c r="J28" i="240"/>
  <c r="K28" i="240"/>
  <c r="L28" i="240"/>
  <c r="H28" i="240"/>
  <c r="M28" i="240"/>
  <c r="F28" i="240"/>
  <c r="N28" i="240"/>
  <c r="G28" i="240"/>
  <c r="O28" i="240"/>
  <c r="M25" i="224"/>
  <c r="E25" i="224"/>
  <c r="F25" i="224"/>
  <c r="N25" i="224"/>
  <c r="O25" i="224"/>
  <c r="O16" i="224"/>
  <c r="E16" i="224"/>
  <c r="M16" i="224"/>
  <c r="F16" i="224"/>
  <c r="O822" i="30" l="1"/>
  <c r="P20" i="230" l="1"/>
  <c r="P11" i="230"/>
  <c r="P17" i="230"/>
  <c r="P16" i="230"/>
  <c r="P15" i="230"/>
  <c r="P32" i="208"/>
  <c r="P25" i="240"/>
  <c r="A25" i="240"/>
  <c r="P16" i="240"/>
  <c r="A16" i="240"/>
  <c r="P30" i="240"/>
  <c r="A30" i="240"/>
  <c r="P27" i="240"/>
  <c r="A27" i="240"/>
  <c r="P26" i="240"/>
  <c r="A26" i="240"/>
  <c r="P15" i="240"/>
  <c r="A15" i="240"/>
  <c r="P14" i="240"/>
  <c r="A14" i="240"/>
  <c r="P13" i="240"/>
  <c r="A13" i="240"/>
  <c r="P22" i="227"/>
  <c r="A22" i="227"/>
  <c r="P24" i="224"/>
  <c r="A24" i="224"/>
  <c r="I22" i="227" l="1"/>
  <c r="J22" i="227"/>
  <c r="K22" i="227"/>
  <c r="L22" i="227"/>
  <c r="E22" i="227"/>
  <c r="M22" i="227"/>
  <c r="H22" i="227"/>
  <c r="F22" i="227"/>
  <c r="N22" i="227"/>
  <c r="G22" i="227"/>
  <c r="O22" i="227"/>
  <c r="K20" i="230"/>
  <c r="J20" i="230"/>
  <c r="I20" i="230"/>
  <c r="L20" i="230"/>
  <c r="H20" i="230"/>
  <c r="O20" i="230"/>
  <c r="G20" i="230"/>
  <c r="N20" i="230"/>
  <c r="F20" i="230"/>
  <c r="M20" i="230"/>
  <c r="E20" i="230"/>
  <c r="J15" i="230"/>
  <c r="I15" i="230"/>
  <c r="H15" i="230"/>
  <c r="E15" i="230"/>
  <c r="K15" i="230"/>
  <c r="O15" i="230"/>
  <c r="G15" i="230"/>
  <c r="N15" i="230"/>
  <c r="F15" i="230"/>
  <c r="M15" i="230"/>
  <c r="L15" i="230"/>
  <c r="O16" i="230"/>
  <c r="G16" i="230"/>
  <c r="N16" i="230"/>
  <c r="F16" i="230"/>
  <c r="M16" i="230"/>
  <c r="E16" i="230"/>
  <c r="J16" i="230"/>
  <c r="I16" i="230"/>
  <c r="L16" i="230"/>
  <c r="K16" i="230"/>
  <c r="H16" i="230"/>
  <c r="L17" i="230"/>
  <c r="K17" i="230"/>
  <c r="J17" i="230"/>
  <c r="G17" i="230"/>
  <c r="M17" i="230"/>
  <c r="F17" i="230"/>
  <c r="E17" i="230"/>
  <c r="I17" i="230"/>
  <c r="H17" i="230"/>
  <c r="O17" i="230"/>
  <c r="N17" i="230"/>
  <c r="I11" i="230"/>
  <c r="H11" i="230"/>
  <c r="O11" i="230"/>
  <c r="G11" i="230"/>
  <c r="E11" i="230"/>
  <c r="L11" i="230"/>
  <c r="N11" i="230"/>
  <c r="F11" i="230"/>
  <c r="M11" i="230"/>
  <c r="K11" i="230"/>
  <c r="J11" i="230"/>
  <c r="I26" i="240"/>
  <c r="F26" i="240"/>
  <c r="J26" i="240"/>
  <c r="K26" i="240"/>
  <c r="G26" i="240"/>
  <c r="H26" i="240"/>
  <c r="L26" i="240"/>
  <c r="M26" i="240"/>
  <c r="N26" i="240"/>
  <c r="O26" i="240"/>
  <c r="E26" i="240"/>
  <c r="K25" i="240"/>
  <c r="H25" i="240"/>
  <c r="L25" i="240"/>
  <c r="J25" i="240"/>
  <c r="M25" i="240"/>
  <c r="F25" i="240"/>
  <c r="E25" i="240"/>
  <c r="N25" i="240"/>
  <c r="O25" i="240"/>
  <c r="G25" i="240"/>
  <c r="H24" i="224"/>
  <c r="K24" i="224"/>
  <c r="I24" i="224"/>
  <c r="L24" i="224"/>
  <c r="G24" i="224"/>
  <c r="J24" i="224"/>
  <c r="M16" i="240"/>
  <c r="F16" i="240"/>
  <c r="N16" i="240"/>
  <c r="G16" i="240"/>
  <c r="O16" i="240"/>
  <c r="H16" i="240"/>
  <c r="I16" i="240"/>
  <c r="J16" i="240"/>
  <c r="E16" i="240"/>
  <c r="L16" i="240"/>
  <c r="K16" i="240"/>
  <c r="H27" i="240"/>
  <c r="G27" i="240"/>
  <c r="J27" i="240"/>
  <c r="K27" i="240"/>
  <c r="L27" i="240"/>
  <c r="M27" i="240"/>
  <c r="O27" i="240"/>
  <c r="F27" i="240"/>
  <c r="N27" i="240"/>
  <c r="K30" i="240"/>
  <c r="E30" i="240"/>
  <c r="L30" i="240"/>
  <c r="M30" i="240"/>
  <c r="F30" i="240"/>
  <c r="N30" i="240"/>
  <c r="G30" i="240"/>
  <c r="O30" i="240"/>
  <c r="H30" i="240"/>
  <c r="J30" i="240"/>
  <c r="L13" i="240"/>
  <c r="M13" i="240"/>
  <c r="F13" i="240"/>
  <c r="N13" i="240"/>
  <c r="G13" i="240"/>
  <c r="O13" i="240"/>
  <c r="H13" i="240"/>
  <c r="J13" i="240"/>
  <c r="K13" i="240"/>
  <c r="J15" i="240"/>
  <c r="K15" i="240"/>
  <c r="H15" i="240"/>
  <c r="L15" i="240"/>
  <c r="M15" i="240"/>
  <c r="F15" i="240"/>
  <c r="N15" i="240"/>
  <c r="G15" i="240"/>
  <c r="O15" i="240"/>
  <c r="H14" i="240"/>
  <c r="I14" i="240"/>
  <c r="O14" i="240"/>
  <c r="J14" i="240"/>
  <c r="K14" i="240"/>
  <c r="L14" i="240"/>
  <c r="G14" i="240"/>
  <c r="M14" i="240"/>
  <c r="F14" i="240"/>
  <c r="N14" i="240"/>
  <c r="E24" i="224"/>
  <c r="M24" i="224"/>
  <c r="F24" i="224"/>
  <c r="N24" i="224"/>
  <c r="O24" i="224"/>
  <c r="Q19" i="230" l="1"/>
  <c r="Q18" i="230"/>
  <c r="Q27" i="230"/>
  <c r="Q22" i="230"/>
  <c r="Q28" i="230"/>
  <c r="Q26" i="230"/>
  <c r="Q21" i="230"/>
  <c r="Q20" i="230"/>
  <c r="Q17" i="230"/>
  <c r="Q15" i="230"/>
  <c r="R15" i="230" s="1"/>
  <c r="Q16" i="230"/>
  <c r="Q11" i="230"/>
  <c r="R11" i="230" s="1"/>
  <c r="P23" i="208"/>
  <c r="A23" i="208"/>
  <c r="P25" i="208"/>
  <c r="A25" i="208"/>
  <c r="P12" i="227"/>
  <c r="A12" i="227"/>
  <c r="P23" i="227"/>
  <c r="A23" i="227"/>
  <c r="P21" i="227"/>
  <c r="A21" i="227"/>
  <c r="P14" i="224"/>
  <c r="A14" i="224"/>
  <c r="P13" i="224"/>
  <c r="A13" i="224"/>
  <c r="I25" i="208" l="1"/>
  <c r="H25" i="208"/>
  <c r="O25" i="208"/>
  <c r="N25" i="208"/>
  <c r="F25" i="208"/>
  <c r="M25" i="208"/>
  <c r="E25" i="208"/>
  <c r="K25" i="208"/>
  <c r="J25" i="208"/>
  <c r="G25" i="208"/>
  <c r="L25" i="208"/>
  <c r="N23" i="208"/>
  <c r="M23" i="208"/>
  <c r="L23" i="208"/>
  <c r="K23" i="208"/>
  <c r="I23" i="208"/>
  <c r="O23" i="208"/>
  <c r="G23" i="208"/>
  <c r="F23" i="208"/>
  <c r="E23" i="208"/>
  <c r="H23" i="208"/>
  <c r="J23" i="208"/>
  <c r="F12" i="227"/>
  <c r="N12" i="227"/>
  <c r="G12" i="227"/>
  <c r="O12" i="227"/>
  <c r="H12" i="227"/>
  <c r="I12" i="227"/>
  <c r="J12" i="227"/>
  <c r="K12" i="227"/>
  <c r="M12" i="227"/>
  <c r="L12" i="227"/>
  <c r="E12" i="227"/>
  <c r="L21" i="227"/>
  <c r="E21" i="227"/>
  <c r="M21" i="227"/>
  <c r="F21" i="227"/>
  <c r="N21" i="227"/>
  <c r="G21" i="227"/>
  <c r="O21" i="227"/>
  <c r="K21" i="227"/>
  <c r="H21" i="227"/>
  <c r="I21" i="227"/>
  <c r="J21" i="227"/>
  <c r="F23" i="227"/>
  <c r="N23" i="227"/>
  <c r="G23" i="227"/>
  <c r="O23" i="227"/>
  <c r="H23" i="227"/>
  <c r="I23" i="227"/>
  <c r="E23" i="227"/>
  <c r="M23" i="227"/>
  <c r="J23" i="227"/>
  <c r="K23" i="227"/>
  <c r="L23" i="227"/>
  <c r="M13" i="224"/>
  <c r="J13" i="224"/>
  <c r="G13" i="224"/>
  <c r="H13" i="224"/>
  <c r="K13" i="224"/>
  <c r="I13" i="224"/>
  <c r="L13" i="224"/>
  <c r="N14" i="224"/>
  <c r="G14" i="224"/>
  <c r="J14" i="224"/>
  <c r="L14" i="224"/>
  <c r="H14" i="224"/>
  <c r="K14" i="224"/>
  <c r="I14" i="224"/>
  <c r="O13" i="224"/>
  <c r="F13" i="224"/>
  <c r="F14" i="224"/>
  <c r="N13" i="224"/>
  <c r="E14" i="224"/>
  <c r="O14" i="224"/>
  <c r="M14" i="224"/>
  <c r="E13" i="224"/>
  <c r="Q14" i="227" l="1"/>
  <c r="R14" i="227" s="1"/>
  <c r="Q36" i="207" l="1"/>
  <c r="R36" i="207" s="1"/>
  <c r="Q26" i="207"/>
  <c r="R26" i="207" s="1"/>
  <c r="Q25" i="207"/>
  <c r="R25" i="207" s="1"/>
  <c r="Q27" i="207"/>
  <c r="R27" i="207" s="1"/>
  <c r="Q31" i="207"/>
  <c r="R31" i="207" s="1"/>
  <c r="Q28" i="207"/>
  <c r="R28" i="207" s="1"/>
  <c r="Q30" i="207"/>
  <c r="R30" i="207" s="1"/>
  <c r="Q38" i="207"/>
  <c r="R38" i="207" s="1"/>
  <c r="Q34" i="207"/>
  <c r="R34" i="207" s="1"/>
  <c r="Q37" i="207"/>
  <c r="R37" i="207" s="1"/>
  <c r="Q33" i="207"/>
  <c r="R33" i="207" s="1"/>
  <c r="Q32" i="207"/>
  <c r="R32" i="207" s="1"/>
  <c r="Q35" i="207"/>
  <c r="R35" i="207" s="1"/>
  <c r="Q31" i="240"/>
  <c r="R31" i="240" s="1"/>
  <c r="Q32" i="240"/>
  <c r="R32" i="240" s="1"/>
  <c r="Q33" i="240"/>
  <c r="R33" i="240" s="1"/>
  <c r="Q19" i="240"/>
  <c r="R19" i="240" s="1"/>
  <c r="Q18" i="240"/>
  <c r="R18" i="240" s="1"/>
  <c r="Q12" i="240"/>
  <c r="R12" i="240" s="1"/>
  <c r="Q21" i="224"/>
  <c r="R21" i="224" s="1"/>
  <c r="Q22" i="224"/>
  <c r="R22" i="224" s="1"/>
  <c r="Q18" i="224"/>
  <c r="R18" i="224" s="1"/>
  <c r="Q23" i="224"/>
  <c r="R23" i="224" s="1"/>
  <c r="Q19" i="224"/>
  <c r="R19" i="224" s="1"/>
  <c r="Q17" i="224"/>
  <c r="R17" i="224" s="1"/>
  <c r="Q20" i="224"/>
  <c r="R20" i="224" s="1"/>
  <c r="Q24" i="207"/>
  <c r="R24" i="207" s="1"/>
  <c r="Q16" i="207"/>
  <c r="R16" i="207" s="1"/>
  <c r="Q17" i="207"/>
  <c r="R17" i="207" s="1"/>
  <c r="Q16" i="208"/>
  <c r="R16" i="208" s="1"/>
  <c r="Q26" i="208"/>
  <c r="R26" i="208" s="1"/>
  <c r="Q28" i="208"/>
  <c r="R28" i="208" s="1"/>
  <c r="Q29" i="208"/>
  <c r="R29" i="208" s="1"/>
  <c r="Q28" i="240"/>
  <c r="R28" i="240" s="1"/>
  <c r="Q29" i="240"/>
  <c r="R29" i="240" s="1"/>
  <c r="Q20" i="240"/>
  <c r="R20" i="240" s="1"/>
  <c r="Q24" i="240"/>
  <c r="R24" i="240" s="1"/>
  <c r="Q17" i="240"/>
  <c r="R17" i="240" s="1"/>
  <c r="Q21" i="240"/>
  <c r="R21" i="240" s="1"/>
  <c r="Q19" i="227"/>
  <c r="R19" i="227" s="1"/>
  <c r="Q20" i="227"/>
  <c r="R20" i="227" s="1"/>
  <c r="Q16" i="224"/>
  <c r="R16" i="224" s="1"/>
  <c r="Q25" i="224"/>
  <c r="R25" i="224" s="1"/>
  <c r="Q32" i="208"/>
  <c r="R32" i="208" s="1"/>
  <c r="Q25" i="208"/>
  <c r="Q23" i="208"/>
  <c r="R23" i="208" s="1"/>
  <c r="Q16" i="240"/>
  <c r="R16" i="240" s="1"/>
  <c r="Q25" i="240"/>
  <c r="R25" i="240" s="1"/>
  <c r="Q27" i="240"/>
  <c r="R27" i="240" s="1"/>
  <c r="Q15" i="240"/>
  <c r="R15" i="240" s="1"/>
  <c r="Q30" i="240"/>
  <c r="R30" i="240" s="1"/>
  <c r="Q26" i="240"/>
  <c r="R26" i="240" s="1"/>
  <c r="Q13" i="240"/>
  <c r="R13" i="240" s="1"/>
  <c r="Q14" i="240"/>
  <c r="R14" i="240" s="1"/>
  <c r="Q22" i="227"/>
  <c r="R22" i="227" s="1"/>
  <c r="Q12" i="227"/>
  <c r="R12" i="227" s="1"/>
  <c r="Q24" i="224"/>
  <c r="R24" i="224" s="1"/>
  <c r="Q21" i="227"/>
  <c r="R21" i="227" s="1"/>
  <c r="Q23" i="227"/>
  <c r="R23" i="227" s="1"/>
  <c r="Q13" i="224"/>
  <c r="R13" i="224" s="1"/>
  <c r="Q14" i="224"/>
  <c r="R14" i="224" s="1"/>
  <c r="A24" i="208" l="1"/>
  <c r="P24" i="208"/>
  <c r="A20" i="207"/>
  <c r="A21" i="207"/>
  <c r="A22" i="207"/>
  <c r="A23" i="207"/>
  <c r="P21" i="207"/>
  <c r="A17" i="227"/>
  <c r="A18" i="227"/>
  <c r="P18" i="227"/>
  <c r="P17" i="227"/>
  <c r="M24" i="208" l="1"/>
  <c r="E24" i="208"/>
  <c r="L24" i="208"/>
  <c r="K24" i="208"/>
  <c r="J24" i="208"/>
  <c r="I24" i="208"/>
  <c r="H24" i="208"/>
  <c r="N24" i="208"/>
  <c r="F24" i="208"/>
  <c r="O24" i="208"/>
  <c r="G24" i="208"/>
  <c r="J18" i="227"/>
  <c r="K18" i="227"/>
  <c r="L18" i="227"/>
  <c r="E18" i="227"/>
  <c r="M18" i="227"/>
  <c r="F18" i="227"/>
  <c r="N18" i="227"/>
  <c r="I18" i="227"/>
  <c r="G18" i="227"/>
  <c r="O18" i="227"/>
  <c r="H18" i="227"/>
  <c r="J17" i="227"/>
  <c r="K17" i="227"/>
  <c r="L17" i="227"/>
  <c r="E17" i="227"/>
  <c r="M17" i="227"/>
  <c r="F17" i="227"/>
  <c r="N17" i="227"/>
  <c r="G17" i="227"/>
  <c r="O17" i="227"/>
  <c r="H17" i="227"/>
  <c r="I17" i="227"/>
  <c r="N21" i="207"/>
  <c r="F21" i="207"/>
  <c r="M21" i="207"/>
  <c r="E21" i="207"/>
  <c r="L21" i="207"/>
  <c r="K21" i="207"/>
  <c r="O21" i="207"/>
  <c r="J21" i="207"/>
  <c r="I21" i="207"/>
  <c r="G21" i="207"/>
  <c r="H21" i="207"/>
  <c r="R38" i="240"/>
  <c r="S36" i="240"/>
  <c r="R35" i="240"/>
  <c r="P34" i="240"/>
  <c r="P11" i="240"/>
  <c r="A11" i="240"/>
  <c r="O11" i="240" l="1"/>
  <c r="G11" i="240"/>
  <c r="N11" i="240"/>
  <c r="F11" i="240"/>
  <c r="M11" i="240"/>
  <c r="E11" i="240"/>
  <c r="E34" i="240" s="1"/>
  <c r="L11" i="240"/>
  <c r="K11" i="240"/>
  <c r="J11" i="240"/>
  <c r="I11" i="240"/>
  <c r="H11" i="240"/>
  <c r="Q34" i="240"/>
  <c r="R34" i="240" s="1"/>
  <c r="Q11" i="240"/>
  <c r="R11" i="240" s="1"/>
  <c r="H34" i="240" l="1"/>
  <c r="F34" i="240"/>
  <c r="J34" i="240"/>
  <c r="O34" i="240"/>
  <c r="K34" i="240"/>
  <c r="N34" i="240"/>
  <c r="G34" i="240"/>
  <c r="I34" i="240"/>
  <c r="M34" i="240"/>
  <c r="L34" i="240"/>
  <c r="P13" i="230" l="1"/>
  <c r="P14" i="230"/>
  <c r="P35" i="230"/>
  <c r="J35" i="230" l="1"/>
  <c r="K35" i="230"/>
  <c r="L35" i="230"/>
  <c r="E35" i="230"/>
  <c r="M35" i="230"/>
  <c r="F35" i="230"/>
  <c r="N35" i="230"/>
  <c r="I35" i="230"/>
  <c r="G35" i="230"/>
  <c r="O35" i="230"/>
  <c r="H35" i="230"/>
  <c r="M14" i="230"/>
  <c r="E14" i="230"/>
  <c r="L14" i="230"/>
  <c r="K14" i="230"/>
  <c r="O14" i="230"/>
  <c r="G14" i="230"/>
  <c r="N14" i="230"/>
  <c r="J14" i="230"/>
  <c r="I14" i="230"/>
  <c r="H14" i="230"/>
  <c r="F14" i="230"/>
  <c r="H13" i="230"/>
  <c r="O13" i="230"/>
  <c r="G13" i="230"/>
  <c r="N13" i="230"/>
  <c r="F13" i="230"/>
  <c r="J13" i="230"/>
  <c r="I13" i="230"/>
  <c r="M13" i="230"/>
  <c r="E13" i="230"/>
  <c r="L13" i="230"/>
  <c r="K13" i="230"/>
  <c r="Q35" i="230"/>
  <c r="Q14" i="230"/>
  <c r="Q13" i="230"/>
  <c r="P20" i="207" l="1"/>
  <c r="I20" i="207" l="1"/>
  <c r="H20" i="207"/>
  <c r="O20" i="207"/>
  <c r="G20" i="207"/>
  <c r="N20" i="207"/>
  <c r="F20" i="207"/>
  <c r="J20" i="207"/>
  <c r="M20" i="207"/>
  <c r="E20" i="207"/>
  <c r="L20" i="207"/>
  <c r="K20" i="207"/>
  <c r="A29" i="227"/>
  <c r="P29" i="227"/>
  <c r="G29" i="227" l="1"/>
  <c r="O29" i="227"/>
  <c r="H29" i="227"/>
  <c r="K29" i="227"/>
  <c r="L29" i="227"/>
  <c r="E29" i="227"/>
  <c r="M29" i="227"/>
  <c r="F29" i="227"/>
  <c r="N29" i="227"/>
  <c r="I29" i="227"/>
  <c r="J29" i="227"/>
  <c r="R40" i="230"/>
  <c r="S38" i="230"/>
  <c r="R37" i="230"/>
  <c r="P36" i="230"/>
  <c r="Q36" i="230" s="1"/>
  <c r="P12" i="230"/>
  <c r="K12" i="230" l="1"/>
  <c r="J12" i="230"/>
  <c r="J36" i="230" s="1"/>
  <c r="I12" i="230"/>
  <c r="I36" i="230" s="1"/>
  <c r="G12" i="230"/>
  <c r="G36" i="230" s="1"/>
  <c r="N12" i="230"/>
  <c r="N36" i="230" s="1"/>
  <c r="F12" i="230"/>
  <c r="F36" i="230" s="1"/>
  <c r="E12" i="230"/>
  <c r="E36" i="230" s="1"/>
  <c r="L12" i="230"/>
  <c r="L36" i="230" s="1"/>
  <c r="H12" i="230"/>
  <c r="H36" i="230" s="1"/>
  <c r="O12" i="230"/>
  <c r="O36" i="230" s="1"/>
  <c r="M12" i="230"/>
  <c r="M36" i="230" s="1"/>
  <c r="Q12" i="230"/>
  <c r="R12" i="230" s="1"/>
  <c r="K36" i="230"/>
  <c r="R36" i="230"/>
  <c r="R35" i="230"/>
  <c r="R14" i="230"/>
  <c r="A12" i="208" l="1"/>
  <c r="A13" i="208"/>
  <c r="A14" i="208"/>
  <c r="A15" i="208"/>
  <c r="A11" i="208"/>
  <c r="A12" i="207"/>
  <c r="A13" i="207"/>
  <c r="A14" i="207"/>
  <c r="A15" i="207"/>
  <c r="A11" i="207"/>
  <c r="A27" i="227" l="1"/>
  <c r="A26" i="227"/>
  <c r="A16" i="227"/>
  <c r="A15" i="227"/>
  <c r="A13" i="227"/>
  <c r="A11" i="227"/>
  <c r="A15" i="224"/>
  <c r="A12" i="224"/>
  <c r="A11" i="224"/>
  <c r="P27" i="227"/>
  <c r="P26" i="227"/>
  <c r="P16" i="227"/>
  <c r="E26" i="227" l="1"/>
  <c r="M26" i="227"/>
  <c r="F26" i="227"/>
  <c r="N26" i="227"/>
  <c r="G26" i="227"/>
  <c r="O26" i="227"/>
  <c r="H26" i="227"/>
  <c r="L26" i="227"/>
  <c r="I26" i="227"/>
  <c r="J26" i="227"/>
  <c r="K26" i="227"/>
  <c r="E27" i="227"/>
  <c r="M27" i="227"/>
  <c r="F27" i="227"/>
  <c r="N27" i="227"/>
  <c r="I27" i="227"/>
  <c r="J27" i="227"/>
  <c r="K27" i="227"/>
  <c r="L27" i="227"/>
  <c r="G27" i="227"/>
  <c r="O27" i="227"/>
  <c r="H27" i="227"/>
  <c r="J16" i="227"/>
  <c r="K16" i="227"/>
  <c r="L16" i="227"/>
  <c r="E16" i="227"/>
  <c r="M16" i="227"/>
  <c r="F16" i="227"/>
  <c r="N16" i="227"/>
  <c r="I16" i="227"/>
  <c r="G16" i="227"/>
  <c r="O16" i="227"/>
  <c r="H16" i="227"/>
  <c r="R34" i="227"/>
  <c r="S32" i="227"/>
  <c r="R31" i="227"/>
  <c r="P30" i="227"/>
  <c r="P15" i="227"/>
  <c r="P13" i="227"/>
  <c r="P11" i="227"/>
  <c r="O11" i="227" s="1"/>
  <c r="R33" i="224"/>
  <c r="S31" i="224"/>
  <c r="R30" i="224"/>
  <c r="P29" i="224"/>
  <c r="P15" i="224"/>
  <c r="P12" i="224"/>
  <c r="P11" i="224"/>
  <c r="Q11" i="224" s="1"/>
  <c r="K13" i="227" l="1"/>
  <c r="L13" i="227"/>
  <c r="E13" i="227"/>
  <c r="M13" i="227"/>
  <c r="F13" i="227"/>
  <c r="N13" i="227"/>
  <c r="G13" i="227"/>
  <c r="O13" i="227"/>
  <c r="H13" i="227"/>
  <c r="I13" i="227"/>
  <c r="J13" i="227"/>
  <c r="E15" i="227"/>
  <c r="M15" i="227"/>
  <c r="F15" i="227"/>
  <c r="N15" i="227"/>
  <c r="G15" i="227"/>
  <c r="O15" i="227"/>
  <c r="H15" i="227"/>
  <c r="L15" i="227"/>
  <c r="I15" i="227"/>
  <c r="J15" i="227"/>
  <c r="K15" i="227"/>
  <c r="H12" i="224"/>
  <c r="K12" i="224"/>
  <c r="I12" i="224"/>
  <c r="L12" i="224"/>
  <c r="J12" i="224"/>
  <c r="G12" i="224"/>
  <c r="L15" i="224"/>
  <c r="J15" i="224"/>
  <c r="H15" i="224"/>
  <c r="K15" i="224"/>
  <c r="I15" i="224"/>
  <c r="G15" i="224"/>
  <c r="Q18" i="227"/>
  <c r="R18" i="227" s="1"/>
  <c r="Q17" i="227"/>
  <c r="R17" i="227" s="1"/>
  <c r="Q29" i="227"/>
  <c r="R29" i="227" s="1"/>
  <c r="N11" i="224"/>
  <c r="J11" i="224"/>
  <c r="F11" i="224"/>
  <c r="G11" i="224"/>
  <c r="M11" i="224"/>
  <c r="I11" i="224"/>
  <c r="E11" i="224"/>
  <c r="K11" i="224"/>
  <c r="L11" i="224"/>
  <c r="H11" i="224"/>
  <c r="O11" i="224"/>
  <c r="E12" i="224"/>
  <c r="M12" i="224"/>
  <c r="F12" i="224"/>
  <c r="N12" i="224"/>
  <c r="O12" i="224"/>
  <c r="E15" i="224"/>
  <c r="M15" i="224"/>
  <c r="F15" i="224"/>
  <c r="N15" i="224"/>
  <c r="O15" i="224"/>
  <c r="Q27" i="227"/>
  <c r="R27" i="227" s="1"/>
  <c r="Q16" i="227"/>
  <c r="R16" i="227" s="1"/>
  <c r="Q26" i="227"/>
  <c r="R26" i="227" s="1"/>
  <c r="J11" i="227"/>
  <c r="K11" i="227"/>
  <c r="F11" i="227"/>
  <c r="N11" i="227"/>
  <c r="H11" i="227"/>
  <c r="H30" i="227" s="1"/>
  <c r="Q30" i="227"/>
  <c r="R30" i="227" s="1"/>
  <c r="Q11" i="227"/>
  <c r="R11" i="227" s="1"/>
  <c r="Q13" i="227"/>
  <c r="R13" i="227" s="1"/>
  <c r="Q15" i="227"/>
  <c r="R15" i="227" s="1"/>
  <c r="M11" i="227"/>
  <c r="I11" i="227"/>
  <c r="I30" i="227" s="1"/>
  <c r="E11" i="227"/>
  <c r="G11" i="227"/>
  <c r="L11" i="227"/>
  <c r="Q12" i="224"/>
  <c r="R12" i="224" s="1"/>
  <c r="R11" i="224"/>
  <c r="Q29" i="224"/>
  <c r="R29" i="224" s="1"/>
  <c r="Q15" i="224"/>
  <c r="R15" i="224" s="1"/>
  <c r="G30" i="227" l="1"/>
  <c r="G29" i="224"/>
  <c r="E29" i="224"/>
  <c r="F29" i="224"/>
  <c r="E30" i="227"/>
  <c r="K29" i="224"/>
  <c r="O30" i="227"/>
  <c r="L30" i="227"/>
  <c r="N30" i="227"/>
  <c r="M30" i="227"/>
  <c r="F30" i="227"/>
  <c r="J30" i="227"/>
  <c r="K30" i="227"/>
  <c r="M29" i="224"/>
  <c r="N29" i="224"/>
  <c r="O29" i="224"/>
  <c r="J29" i="224"/>
  <c r="L29" i="224"/>
  <c r="I29" i="224"/>
  <c r="H29" i="224"/>
  <c r="R36" i="208" l="1"/>
  <c r="S34" i="208"/>
  <c r="R33" i="208"/>
  <c r="P15" i="208"/>
  <c r="P14" i="208"/>
  <c r="P13" i="208"/>
  <c r="P12" i="208"/>
  <c r="P11" i="208"/>
  <c r="P22" i="207"/>
  <c r="P15" i="207"/>
  <c r="P11" i="207"/>
  <c r="R43" i="207"/>
  <c r="S41" i="207"/>
  <c r="R40" i="207"/>
  <c r="P23" i="207"/>
  <c r="P14" i="207"/>
  <c r="P13" i="207"/>
  <c r="P12" i="207"/>
  <c r="O12" i="208" l="1"/>
  <c r="G12" i="208"/>
  <c r="N12" i="208"/>
  <c r="F12" i="208"/>
  <c r="M12" i="208"/>
  <c r="E12" i="208"/>
  <c r="K12" i="208"/>
  <c r="J12" i="208"/>
  <c r="I12" i="208"/>
  <c r="H12" i="208"/>
  <c r="L12" i="208"/>
  <c r="J11" i="208"/>
  <c r="I11" i="208"/>
  <c r="H11" i="208"/>
  <c r="N11" i="208"/>
  <c r="F11" i="208"/>
  <c r="M11" i="208"/>
  <c r="E11" i="208"/>
  <c r="L11" i="208"/>
  <c r="K11" i="208"/>
  <c r="O11" i="208"/>
  <c r="G11" i="208"/>
  <c r="I14" i="208"/>
  <c r="H14" i="208"/>
  <c r="O14" i="208"/>
  <c r="G14" i="208"/>
  <c r="M14" i="208"/>
  <c r="E14" i="208"/>
  <c r="L14" i="208"/>
  <c r="K14" i="208"/>
  <c r="J14" i="208"/>
  <c r="N14" i="208"/>
  <c r="F14" i="208"/>
  <c r="L13" i="208"/>
  <c r="K13" i="208"/>
  <c r="J13" i="208"/>
  <c r="H13" i="208"/>
  <c r="O13" i="208"/>
  <c r="G13" i="208"/>
  <c r="N13" i="208"/>
  <c r="F13" i="208"/>
  <c r="M13" i="208"/>
  <c r="E13" i="208"/>
  <c r="I13" i="208"/>
  <c r="N15" i="208"/>
  <c r="F15" i="208"/>
  <c r="M15" i="208"/>
  <c r="E15" i="208"/>
  <c r="E32" i="208" s="1"/>
  <c r="L15" i="208"/>
  <c r="J15" i="208"/>
  <c r="I15" i="208"/>
  <c r="H15" i="208"/>
  <c r="O15" i="208"/>
  <c r="G15" i="208"/>
  <c r="K15" i="208"/>
  <c r="O11" i="207"/>
  <c r="G11" i="207"/>
  <c r="H11" i="207"/>
  <c r="N11" i="207"/>
  <c r="F11" i="207"/>
  <c r="M11" i="207"/>
  <c r="E11" i="207"/>
  <c r="J11" i="207"/>
  <c r="L11" i="207"/>
  <c r="I11" i="207"/>
  <c r="K11" i="207"/>
  <c r="L15" i="207"/>
  <c r="K15" i="207"/>
  <c r="E15" i="207"/>
  <c r="J15" i="207"/>
  <c r="I15" i="207"/>
  <c r="N15" i="207"/>
  <c r="H15" i="207"/>
  <c r="O15" i="207"/>
  <c r="G15" i="207"/>
  <c r="F15" i="207"/>
  <c r="M15" i="207"/>
  <c r="H23" i="207"/>
  <c r="O23" i="207"/>
  <c r="G23" i="207"/>
  <c r="N23" i="207"/>
  <c r="F23" i="207"/>
  <c r="M23" i="207"/>
  <c r="E23" i="207"/>
  <c r="I23" i="207"/>
  <c r="L23" i="207"/>
  <c r="K23" i="207"/>
  <c r="J23" i="207"/>
  <c r="K22" i="207"/>
  <c r="J22" i="207"/>
  <c r="I22" i="207"/>
  <c r="H22" i="207"/>
  <c r="O22" i="207"/>
  <c r="G22" i="207"/>
  <c r="N22" i="207"/>
  <c r="F22" i="207"/>
  <c r="L22" i="207"/>
  <c r="M22" i="207"/>
  <c r="E22" i="207"/>
  <c r="N12" i="207"/>
  <c r="M12" i="207"/>
  <c r="L12" i="207"/>
  <c r="G12" i="207"/>
  <c r="F12" i="207"/>
  <c r="K12" i="207"/>
  <c r="J12" i="207"/>
  <c r="I12" i="207"/>
  <c r="H12" i="207"/>
  <c r="O12" i="207"/>
  <c r="E12" i="207"/>
  <c r="I13" i="207"/>
  <c r="H13" i="207"/>
  <c r="O13" i="207"/>
  <c r="G13" i="207"/>
  <c r="L13" i="207"/>
  <c r="J13" i="207"/>
  <c r="N13" i="207"/>
  <c r="F13" i="207"/>
  <c r="M13" i="207"/>
  <c r="E13" i="207"/>
  <c r="K13" i="207"/>
  <c r="N14" i="207"/>
  <c r="F14" i="207"/>
  <c r="I14" i="207"/>
  <c r="G14" i="207"/>
  <c r="M14" i="207"/>
  <c r="E14" i="207"/>
  <c r="L14" i="207"/>
  <c r="H14" i="207"/>
  <c r="K14" i="207"/>
  <c r="J14" i="207"/>
  <c r="O14" i="207"/>
  <c r="Q24" i="208"/>
  <c r="R24" i="208" s="1"/>
  <c r="Q11" i="208"/>
  <c r="R11" i="208" s="1"/>
  <c r="Q15" i="208"/>
  <c r="R15" i="208" s="1"/>
  <c r="Q13" i="208"/>
  <c r="R13" i="208" s="1"/>
  <c r="Q14" i="208"/>
  <c r="R14" i="208" s="1"/>
  <c r="Q12" i="208"/>
  <c r="R12" i="208" s="1"/>
  <c r="G39" i="207" l="1"/>
  <c r="E39" i="207"/>
  <c r="F39" i="207"/>
  <c r="M39" i="207"/>
  <c r="O39" i="207"/>
  <c r="J39" i="207"/>
  <c r="H39" i="207"/>
  <c r="I39" i="207"/>
  <c r="L39" i="207"/>
  <c r="K39" i="207"/>
  <c r="L32" i="208"/>
  <c r="H32" i="208"/>
  <c r="I32" i="208"/>
  <c r="F32" i="208"/>
  <c r="M32" i="208"/>
  <c r="J32" i="208"/>
  <c r="G32" i="208"/>
  <c r="K32" i="208"/>
  <c r="N32" i="208"/>
  <c r="O32" i="208"/>
  <c r="Q22" i="207"/>
  <c r="R22" i="207" s="1"/>
  <c r="Q12" i="207"/>
  <c r="R12" i="207" s="1"/>
  <c r="Q11" i="207"/>
  <c r="R11" i="207" s="1"/>
  <c r="Q21" i="207"/>
  <c r="R21" i="207" s="1"/>
  <c r="Q23" i="207"/>
  <c r="R23" i="207" s="1"/>
  <c r="Q14" i="207"/>
  <c r="R14" i="207" s="1"/>
  <c r="Q39" i="207"/>
  <c r="R39" i="207" s="1"/>
  <c r="Q15" i="207"/>
  <c r="R15" i="207" s="1"/>
  <c r="Q13" i="207"/>
  <c r="R13" i="207" s="1"/>
  <c r="Q20" i="207"/>
  <c r="R20" i="207" s="1"/>
  <c r="N39" i="207"/>
</calcChain>
</file>

<file path=xl/sharedStrings.xml><?xml version="1.0" encoding="utf-8"?>
<sst xmlns="http://schemas.openxmlformats.org/spreadsheetml/2006/main" count="5849" uniqueCount="2552">
  <si>
    <t>식  단</t>
    <phoneticPr fontId="7" type="noConversion"/>
  </si>
  <si>
    <t>쌀</t>
    <phoneticPr fontId="7" type="noConversion"/>
  </si>
  <si>
    <t>상추</t>
    <phoneticPr fontId="7" type="noConversion"/>
  </si>
  <si>
    <t>포기김치</t>
    <phoneticPr fontId="7" type="noConversion"/>
  </si>
  <si>
    <t>돈잡뼈</t>
    <phoneticPr fontId="7" type="noConversion"/>
  </si>
  <si>
    <t>1인 급식비</t>
    <phoneticPr fontId="7" type="noConversion"/>
  </si>
  <si>
    <t>1인 식품비</t>
    <phoneticPr fontId="7" type="noConversion"/>
  </si>
  <si>
    <t>돈불고기</t>
    <phoneticPr fontId="7" type="noConversion"/>
  </si>
  <si>
    <t>교자만두</t>
    <phoneticPr fontId="7" type="noConversion"/>
  </si>
  <si>
    <t>우동면</t>
    <phoneticPr fontId="7" type="noConversion"/>
  </si>
  <si>
    <t>무</t>
    <phoneticPr fontId="7" type="noConversion"/>
  </si>
  <si>
    <t>또띠아</t>
    <phoneticPr fontId="7" type="noConversion"/>
  </si>
  <si>
    <t>치킨텐더</t>
    <phoneticPr fontId="7" type="noConversion"/>
  </si>
  <si>
    <t>조랭이떡</t>
    <phoneticPr fontId="7" type="noConversion"/>
  </si>
  <si>
    <t>당근</t>
    <phoneticPr fontId="7" type="noConversion"/>
  </si>
  <si>
    <t>짜요짜요</t>
    <phoneticPr fontId="7" type="noConversion"/>
  </si>
  <si>
    <t>돈등뼈</t>
    <phoneticPr fontId="7" type="noConversion"/>
  </si>
  <si>
    <t>돈장조림</t>
    <phoneticPr fontId="7" type="noConversion"/>
  </si>
  <si>
    <t>호박</t>
    <phoneticPr fontId="7" type="noConversion"/>
  </si>
  <si>
    <t>오징어</t>
    <phoneticPr fontId="7" type="noConversion"/>
  </si>
  <si>
    <t>숙주</t>
    <phoneticPr fontId="7" type="noConversion"/>
  </si>
  <si>
    <t>돈채</t>
    <phoneticPr fontId="7" type="noConversion"/>
  </si>
  <si>
    <t>스위트콘</t>
    <phoneticPr fontId="7" type="noConversion"/>
  </si>
  <si>
    <t>근대</t>
    <phoneticPr fontId="7" type="noConversion"/>
  </si>
  <si>
    <t>청양고추</t>
    <phoneticPr fontId="7" type="noConversion"/>
  </si>
  <si>
    <t>떡갈비</t>
    <phoneticPr fontId="7" type="noConversion"/>
  </si>
  <si>
    <t>우유</t>
    <phoneticPr fontId="7" type="noConversion"/>
  </si>
  <si>
    <t>김치메밀전병</t>
    <phoneticPr fontId="7" type="noConversion"/>
  </si>
  <si>
    <t>쥬시쿨</t>
    <phoneticPr fontId="7" type="noConversion"/>
  </si>
  <si>
    <t>적채</t>
    <phoneticPr fontId="7" type="noConversion"/>
  </si>
  <si>
    <t>우거지</t>
    <phoneticPr fontId="7" type="noConversion"/>
  </si>
  <si>
    <t>오이고추</t>
    <phoneticPr fontId="7" type="noConversion"/>
  </si>
  <si>
    <t>분류</t>
  </si>
  <si>
    <t>식 품 명</t>
  </si>
  <si>
    <t>비고</t>
  </si>
  <si>
    <t xml:space="preserve">열 량 </t>
  </si>
  <si>
    <t>단백질</t>
  </si>
  <si>
    <t>탄수화물</t>
    <phoneticPr fontId="7" type="noConversion"/>
  </si>
  <si>
    <t>지방</t>
    <phoneticPr fontId="7" type="noConversion"/>
  </si>
  <si>
    <t>칼슘</t>
    <phoneticPr fontId="7" type="noConversion"/>
  </si>
  <si>
    <t>철</t>
  </si>
  <si>
    <t>VIT-A</t>
  </si>
  <si>
    <t>VIT-B1</t>
  </si>
  <si>
    <t>VIT-B2</t>
  </si>
  <si>
    <t>NIACIN</t>
  </si>
  <si>
    <t>VIT-C</t>
  </si>
  <si>
    <t>폐기율</t>
  </si>
  <si>
    <t>출처</t>
  </si>
  <si>
    <t>감자류</t>
  </si>
  <si>
    <t>감자샐러드</t>
  </si>
  <si>
    <t>감자,샐러드</t>
  </si>
  <si>
    <t>한국영양학회7차개정판(2000/10/31)</t>
  </si>
  <si>
    <t>깐감자</t>
    <phoneticPr fontId="7" type="noConversion"/>
  </si>
  <si>
    <t>감자,폐기율0%</t>
  </si>
  <si>
    <t>감자</t>
    <phoneticPr fontId="7" type="noConversion"/>
  </si>
  <si>
    <t>감자,생것</t>
    <phoneticPr fontId="7" type="noConversion"/>
  </si>
  <si>
    <t>스마일감자</t>
    <phoneticPr fontId="7" type="noConversion"/>
  </si>
  <si>
    <t>감자튀긴것,패스트푸드</t>
  </si>
  <si>
    <t>맛감자</t>
    <phoneticPr fontId="7" type="noConversion"/>
  </si>
  <si>
    <t>한국영양학회7차개정판(2000/10/32)</t>
  </si>
  <si>
    <t>감자반</t>
    <phoneticPr fontId="7" type="noConversion"/>
  </si>
  <si>
    <t>해시브라운</t>
    <phoneticPr fontId="7" type="noConversion"/>
  </si>
  <si>
    <t>고구마</t>
  </si>
  <si>
    <t>고구마,생것</t>
  </si>
  <si>
    <t>곤약</t>
  </si>
  <si>
    <t>곤약생것, 국수형</t>
  </si>
  <si>
    <t>알감자</t>
  </si>
  <si>
    <t>돼지감자</t>
  </si>
  <si>
    <t>감자녹말</t>
  </si>
  <si>
    <t>전분</t>
  </si>
  <si>
    <t>당면</t>
  </si>
  <si>
    <t>전분,당면</t>
    <phoneticPr fontId="7" type="noConversion"/>
  </si>
  <si>
    <t>납작당면</t>
    <phoneticPr fontId="7" type="noConversion"/>
  </si>
  <si>
    <t>밀녹말</t>
  </si>
  <si>
    <t>쌀녹말</t>
  </si>
  <si>
    <t>옥수수녹말</t>
  </si>
  <si>
    <t>고구마녹말</t>
  </si>
  <si>
    <t>전분,고구마</t>
  </si>
  <si>
    <t>삶은토란</t>
  </si>
  <si>
    <t>토란삶은것</t>
  </si>
  <si>
    <t>토란</t>
  </si>
  <si>
    <t>토란생것</t>
  </si>
  <si>
    <t>후렌치후라이</t>
  </si>
  <si>
    <t>패스트푸드</t>
  </si>
  <si>
    <t>페스츄리</t>
    <phoneticPr fontId="7" type="noConversion"/>
  </si>
  <si>
    <t>마늘빵</t>
    <phoneticPr fontId="7" type="noConversion"/>
  </si>
  <si>
    <t>빵류</t>
    <phoneticPr fontId="7" type="noConversion"/>
  </si>
  <si>
    <t>바게트</t>
    <phoneticPr fontId="7" type="noConversion"/>
  </si>
  <si>
    <t>곡류</t>
  </si>
  <si>
    <t>소보루빵</t>
    <phoneticPr fontId="7" type="noConversion"/>
  </si>
  <si>
    <t>빵류</t>
  </si>
  <si>
    <t>미니롤</t>
    <phoneticPr fontId="7" type="noConversion"/>
  </si>
  <si>
    <t>빵</t>
  </si>
  <si>
    <t>메밀</t>
  </si>
  <si>
    <t>가루,도정곡</t>
  </si>
  <si>
    <t>국수</t>
  </si>
  <si>
    <t>국수,마른것</t>
  </si>
  <si>
    <t>시루떡</t>
  </si>
  <si>
    <t>떡</t>
  </si>
  <si>
    <t>찹쌀떡</t>
  </si>
  <si>
    <t>찹쌀경단</t>
  </si>
  <si>
    <t>떡,</t>
  </si>
  <si>
    <t>곡류</t>
    <phoneticPr fontId="7" type="noConversion"/>
  </si>
  <si>
    <t>찹쌀가루</t>
    <phoneticPr fontId="7" type="noConversion"/>
  </si>
  <si>
    <t>한국영양학회7차개정판(2000/10/31)</t>
    <phoneticPr fontId="7" type="noConversion"/>
  </si>
  <si>
    <t>팥인절미</t>
  </si>
  <si>
    <t>송편검정콩속</t>
  </si>
  <si>
    <t>떡,검정콩속</t>
  </si>
  <si>
    <t>떡볶이떡</t>
  </si>
  <si>
    <t>떡,멥쌀</t>
  </si>
  <si>
    <t>치즈떡</t>
    <phoneticPr fontId="7" type="noConversion"/>
  </si>
  <si>
    <t>컵떡볶이떡</t>
    <phoneticPr fontId="7" type="noConversion"/>
  </si>
  <si>
    <t>백설기</t>
  </si>
  <si>
    <t>떡,백설기</t>
  </si>
  <si>
    <t>약과</t>
  </si>
  <si>
    <t>떡,약과</t>
  </si>
  <si>
    <t>절편</t>
  </si>
  <si>
    <t>떡,절편</t>
  </si>
  <si>
    <t>증편</t>
  </si>
  <si>
    <t>떡,증편</t>
  </si>
  <si>
    <t>찹쌀약식</t>
  </si>
  <si>
    <t>떡,찹쌀약식</t>
  </si>
  <si>
    <t>송편</t>
  </si>
  <si>
    <t>떡,팥고물속</t>
  </si>
  <si>
    <t>깨송편</t>
  </si>
  <si>
    <t>떡류,깨송편</t>
  </si>
  <si>
    <t>라면사리</t>
    <phoneticPr fontId="7" type="noConversion"/>
  </si>
  <si>
    <t>라면</t>
  </si>
  <si>
    <t>라면,인스턴트</t>
  </si>
  <si>
    <t>롤케익</t>
    <phoneticPr fontId="7" type="noConversion"/>
  </si>
  <si>
    <t>롤케이크</t>
  </si>
  <si>
    <t>마카로니</t>
  </si>
  <si>
    <t>마른것</t>
  </si>
  <si>
    <t>후실리</t>
    <phoneticPr fontId="7" type="noConversion"/>
  </si>
  <si>
    <t>막국수</t>
  </si>
  <si>
    <t>해조류</t>
  </si>
  <si>
    <t>김밥</t>
    <phoneticPr fontId="7" type="noConversion"/>
  </si>
  <si>
    <t>김, 김밥용김</t>
  </si>
  <si>
    <t>멥쌀</t>
    <phoneticPr fontId="7" type="noConversion"/>
  </si>
  <si>
    <t>맵쌀</t>
  </si>
  <si>
    <t>쌀</t>
  </si>
  <si>
    <t>콘후레이크</t>
    <phoneticPr fontId="7" type="noConversion"/>
  </si>
  <si>
    <t>누룽지</t>
    <phoneticPr fontId="7" type="noConversion"/>
  </si>
  <si>
    <t>스파게티</t>
  </si>
  <si>
    <t>면,마른것</t>
  </si>
  <si>
    <t>메밀국수</t>
  </si>
  <si>
    <t>면,샘초롱</t>
  </si>
  <si>
    <t>청정식품연구소,샘초롱,(2001/3/15)</t>
  </si>
  <si>
    <t>쫄면</t>
  </si>
  <si>
    <t>면,샘초롱,수분21%,냉동</t>
  </si>
  <si>
    <t>면,수분33%생것</t>
  </si>
  <si>
    <t>우동</t>
    <phoneticPr fontId="7" type="noConversion"/>
  </si>
  <si>
    <t>메밀냉면</t>
  </si>
  <si>
    <t>면,인스턴트</t>
  </si>
  <si>
    <t>짜장면</t>
  </si>
  <si>
    <t>칼국수</t>
  </si>
  <si>
    <t>면,인스턴트,수분63%생것</t>
  </si>
  <si>
    <t>마른소면</t>
  </si>
  <si>
    <t>면.마른것</t>
  </si>
  <si>
    <t>소면</t>
  </si>
  <si>
    <t>메밀묵</t>
  </si>
  <si>
    <t>묵,샘초롱</t>
  </si>
  <si>
    <t>강력분</t>
  </si>
  <si>
    <t>밀가루강력분</t>
  </si>
  <si>
    <t>박력분</t>
  </si>
  <si>
    <t>밀가루박력분</t>
  </si>
  <si>
    <t>밀가루중력분,40g</t>
    <phoneticPr fontId="7" type="noConversion"/>
  </si>
  <si>
    <t>밀가루</t>
    <phoneticPr fontId="7" type="noConversion"/>
  </si>
  <si>
    <t>밀가루중력분</t>
  </si>
  <si>
    <t>미숫가루</t>
  </si>
  <si>
    <t>보리미숫가루</t>
  </si>
  <si>
    <t>쨈빵</t>
  </si>
  <si>
    <t>카스텔라</t>
    <phoneticPr fontId="7" type="noConversion"/>
  </si>
  <si>
    <t>마늘토스트</t>
    <phoneticPr fontId="7" type="noConversion"/>
  </si>
  <si>
    <t>토스트</t>
  </si>
  <si>
    <t>팥도우넛</t>
  </si>
  <si>
    <t>팥빵</t>
  </si>
  <si>
    <t>모닝빵</t>
  </si>
  <si>
    <t>빵,모닝빵</t>
  </si>
  <si>
    <t>펀칭도우넛</t>
  </si>
  <si>
    <t>빵,샘초롱</t>
  </si>
  <si>
    <t>옥수수빵</t>
  </si>
  <si>
    <t>빵,옥수수빵</t>
  </si>
  <si>
    <t>호빵고기속</t>
  </si>
  <si>
    <t>빵,호빵</t>
  </si>
  <si>
    <t>미니꿀호떡</t>
    <phoneticPr fontId="7" type="noConversion"/>
  </si>
  <si>
    <t>아이스경단</t>
    <phoneticPr fontId="7" type="noConversion"/>
  </si>
  <si>
    <t>아이스슈</t>
    <phoneticPr fontId="7" type="noConversion"/>
  </si>
  <si>
    <t>빵</t>
    <phoneticPr fontId="7" type="noConversion"/>
  </si>
  <si>
    <t>설레임</t>
    <phoneticPr fontId="7" type="noConversion"/>
  </si>
  <si>
    <t>아이스케익</t>
    <phoneticPr fontId="7" type="noConversion"/>
  </si>
  <si>
    <t>곰보빵</t>
  </si>
  <si>
    <t>수제초코파이</t>
    <phoneticPr fontId="7" type="noConversion"/>
  </si>
  <si>
    <t>크림빵</t>
  </si>
  <si>
    <t>피자</t>
  </si>
  <si>
    <t>쵸코케익</t>
  </si>
  <si>
    <t>빵류,샘초롱</t>
  </si>
  <si>
    <t>화이트케익</t>
  </si>
  <si>
    <t>청정식품연구소,샘초롱,(2001/3/16)</t>
  </si>
  <si>
    <t>식빵</t>
  </si>
  <si>
    <t>빵류,식빵</t>
    <phoneticPr fontId="7" type="noConversion"/>
  </si>
  <si>
    <t>타코야끼</t>
    <phoneticPr fontId="7" type="noConversion"/>
  </si>
  <si>
    <t>감자수제비</t>
  </si>
  <si>
    <t>수제비,샘초롱</t>
  </si>
  <si>
    <t>삼색수제비</t>
    <phoneticPr fontId="7" type="noConversion"/>
  </si>
  <si>
    <t xml:space="preserve">수제비 </t>
    <phoneticPr fontId="7" type="noConversion"/>
  </si>
  <si>
    <t>생수제비</t>
    <phoneticPr fontId="7" type="noConversion"/>
  </si>
  <si>
    <t>찹쌀수제비</t>
  </si>
  <si>
    <t>엿기름</t>
  </si>
  <si>
    <t>찰옥수수</t>
  </si>
  <si>
    <t>옥수수,생것</t>
  </si>
  <si>
    <t>현미쑥쌀</t>
  </si>
  <si>
    <t>잡곡,</t>
  </si>
  <si>
    <t>잡곡</t>
    <phoneticPr fontId="7" type="noConversion"/>
  </si>
  <si>
    <t>할맥</t>
  </si>
  <si>
    <t>잡곡,겉보리</t>
  </si>
  <si>
    <t>고량미</t>
  </si>
  <si>
    <t>잡곡,고량미</t>
  </si>
  <si>
    <t>귀리</t>
  </si>
  <si>
    <t>잡곡,도정곡</t>
  </si>
  <si>
    <t>기장</t>
  </si>
  <si>
    <t>수수</t>
  </si>
  <si>
    <t>조</t>
  </si>
  <si>
    <t>멥쌀, 밭벼,백미</t>
    <phoneticPr fontId="7" type="noConversion"/>
  </si>
  <si>
    <t>찹쌀</t>
  </si>
  <si>
    <t>잡곡,멥쌀</t>
  </si>
  <si>
    <t>현미</t>
  </si>
  <si>
    <t>압맥</t>
  </si>
  <si>
    <t>잡곡,보리,납작보리,겉보리</t>
  </si>
  <si>
    <t>율무</t>
  </si>
  <si>
    <t>잡곡,율무쌀</t>
  </si>
  <si>
    <t>청차조</t>
    <phoneticPr fontId="7" type="noConversion"/>
  </si>
  <si>
    <t>잡곡,차조</t>
    <phoneticPr fontId="7" type="noConversion"/>
  </si>
  <si>
    <t>차수수</t>
  </si>
  <si>
    <t>잡곡,차수수</t>
  </si>
  <si>
    <t>차조</t>
  </si>
  <si>
    <t>잡곡,차조</t>
  </si>
  <si>
    <t>흑미</t>
  </si>
  <si>
    <t>잡곡,흑미멥쌀</t>
    <phoneticPr fontId="7" type="noConversion"/>
  </si>
  <si>
    <t>찹쌀흑미</t>
  </si>
  <si>
    <t>잡곡,흑미찹쌀</t>
  </si>
  <si>
    <t>보리</t>
    <phoneticPr fontId="7" type="noConversion"/>
  </si>
  <si>
    <t>잡곡보리쌀</t>
  </si>
  <si>
    <t>닭튀김가루</t>
  </si>
  <si>
    <t>치킨가루</t>
  </si>
  <si>
    <t>전분</t>
    <phoneticPr fontId="7" type="noConversion"/>
  </si>
  <si>
    <t>메밀부침가루</t>
  </si>
  <si>
    <t>전분,메밀</t>
  </si>
  <si>
    <t>도우넛가루</t>
  </si>
  <si>
    <t>전분,밀가공식품</t>
  </si>
  <si>
    <t>튀김가루</t>
  </si>
  <si>
    <t>핫케익가루</t>
  </si>
  <si>
    <t>부침가루</t>
  </si>
  <si>
    <t>전분,부침</t>
  </si>
  <si>
    <t>빵가루</t>
  </si>
  <si>
    <t>전분,빵가루</t>
  </si>
  <si>
    <t>쌀가루</t>
  </si>
  <si>
    <t>전분,쌀가루</t>
  </si>
  <si>
    <t>전분,옥수수</t>
  </si>
  <si>
    <t>밤콩</t>
  </si>
  <si>
    <t>콩,말린것</t>
  </si>
  <si>
    <t>콩인절미</t>
  </si>
  <si>
    <t>과일류</t>
  </si>
  <si>
    <t>곶감</t>
  </si>
  <si>
    <t>감,곶감</t>
  </si>
  <si>
    <t>단감</t>
  </si>
  <si>
    <t>감,단감</t>
  </si>
  <si>
    <t>귤,과일쥬스,무가당쥬스</t>
  </si>
  <si>
    <t>귤</t>
  </si>
  <si>
    <t>귤,보통귤</t>
  </si>
  <si>
    <t>조생귤</t>
  </si>
  <si>
    <t>귤,생과,조생</t>
  </si>
  <si>
    <t>귤잼</t>
  </si>
  <si>
    <t>금귤</t>
  </si>
  <si>
    <t>금귤,생과</t>
  </si>
  <si>
    <t>건대추</t>
  </si>
  <si>
    <t>대추,말린것</t>
  </si>
  <si>
    <t>대추</t>
  </si>
  <si>
    <t>대추,풋대추</t>
  </si>
  <si>
    <t>델라웨어</t>
  </si>
  <si>
    <t>딸기</t>
  </si>
  <si>
    <t>딸기,생과,개량종</t>
  </si>
  <si>
    <t>딸기잼</t>
  </si>
  <si>
    <t>딸기,쨈</t>
  </si>
  <si>
    <t>레몬에이드</t>
    <phoneticPr fontId="7" type="noConversion"/>
  </si>
  <si>
    <t>레몬,생과</t>
  </si>
  <si>
    <t>레몬</t>
  </si>
  <si>
    <t>레몬과즙</t>
  </si>
  <si>
    <t>바나나</t>
  </si>
  <si>
    <t>바나나,생과</t>
  </si>
  <si>
    <t>배</t>
  </si>
  <si>
    <t>배,생과,국내산</t>
  </si>
  <si>
    <t>백도통조림</t>
  </si>
  <si>
    <t>복숭아,백도통조림</t>
  </si>
  <si>
    <t>복숭아</t>
  </si>
  <si>
    <t>복숭아,생과,백도</t>
  </si>
  <si>
    <t>천도복숭아</t>
  </si>
  <si>
    <t>복숭아,생과,천도</t>
  </si>
  <si>
    <t>황도캔</t>
    <phoneticPr fontId="7" type="noConversion"/>
  </si>
  <si>
    <t>복숭아, 황도통조림</t>
    <phoneticPr fontId="7" type="noConversion"/>
  </si>
  <si>
    <t>황도복숭아</t>
  </si>
  <si>
    <t>복숭아,생과,황도</t>
  </si>
  <si>
    <t>복숭아잼</t>
  </si>
  <si>
    <t>사과쥬스</t>
  </si>
  <si>
    <t>사과,무가당쥬스</t>
  </si>
  <si>
    <t>사과</t>
  </si>
  <si>
    <t>사과,생과,아오리</t>
  </si>
  <si>
    <t>사과잼</t>
  </si>
  <si>
    <t>사과,잼</t>
  </si>
  <si>
    <t>사과캔쥬스</t>
  </si>
  <si>
    <t>살구넥타</t>
  </si>
  <si>
    <t>살구,넥타</t>
  </si>
  <si>
    <t>살구</t>
  </si>
  <si>
    <t>살구,생과</t>
  </si>
  <si>
    <t>살구잼</t>
  </si>
  <si>
    <t>살구,잼</t>
  </si>
  <si>
    <t>살구통조림</t>
  </si>
  <si>
    <t>살구,통조림</t>
  </si>
  <si>
    <t>수박</t>
  </si>
  <si>
    <t>수박,생과,적육질</t>
  </si>
  <si>
    <t>감귤주스</t>
    <phoneticPr fontId="7" type="noConversion"/>
  </si>
  <si>
    <t>오렌지,주스</t>
  </si>
  <si>
    <t>아이스티</t>
    <phoneticPr fontId="7" type="noConversion"/>
  </si>
  <si>
    <t>레몬가루</t>
    <phoneticPr fontId="7" type="noConversion"/>
  </si>
  <si>
    <t>복숭아주스</t>
    <phoneticPr fontId="7" type="noConversion"/>
  </si>
  <si>
    <t>카톤</t>
    <phoneticPr fontId="7" type="noConversion"/>
  </si>
  <si>
    <t>레몬</t>
    <phoneticPr fontId="7" type="noConversion"/>
  </si>
  <si>
    <t>오렌지</t>
  </si>
  <si>
    <t>오렌지생과,</t>
  </si>
  <si>
    <t>자두</t>
  </si>
  <si>
    <t>자몽무가당쥬스</t>
  </si>
  <si>
    <t>자몽천연쥬스</t>
  </si>
  <si>
    <t>참외</t>
  </si>
  <si>
    <t>참외,생과</t>
  </si>
  <si>
    <t>키위</t>
  </si>
  <si>
    <t>키위,생육</t>
  </si>
  <si>
    <t>파인애플</t>
  </si>
  <si>
    <t>파인애플,생과</t>
  </si>
  <si>
    <t>파인애플쥬스</t>
  </si>
  <si>
    <t>파인애플,캔쥬스</t>
  </si>
  <si>
    <t>파인애플청크</t>
    <phoneticPr fontId="7" type="noConversion"/>
  </si>
  <si>
    <t>파인애플캔</t>
  </si>
  <si>
    <t>파인애플통조림</t>
  </si>
  <si>
    <t>포도</t>
  </si>
  <si>
    <t>레드글러브</t>
    <phoneticPr fontId="7" type="noConversion"/>
  </si>
  <si>
    <t>포도,거봉</t>
  </si>
  <si>
    <t>건포도</t>
  </si>
  <si>
    <t>포도,건포도</t>
  </si>
  <si>
    <t>내사랑웅진</t>
    <phoneticPr fontId="7" type="noConversion"/>
  </si>
  <si>
    <t>포도쥬스</t>
  </si>
  <si>
    <t>포도,과즙쥬스</t>
  </si>
  <si>
    <t>청포도</t>
  </si>
  <si>
    <t>포도,청포도</t>
  </si>
  <si>
    <t>후르츠캔</t>
  </si>
  <si>
    <t>후르츠샐러드,통조림</t>
  </si>
  <si>
    <t>난류</t>
  </si>
  <si>
    <t>계란후라이</t>
  </si>
  <si>
    <t>계란</t>
  </si>
  <si>
    <t>액상계란</t>
  </si>
  <si>
    <t>난백</t>
  </si>
  <si>
    <t>계란,난백,생것</t>
  </si>
  <si>
    <t>난황</t>
  </si>
  <si>
    <t>계란,난황,생것</t>
  </si>
  <si>
    <t>삶은계란</t>
  </si>
  <si>
    <t>계란,삶은것</t>
  </si>
  <si>
    <t>계란,전란,생것</t>
  </si>
  <si>
    <t>메추리알</t>
  </si>
  <si>
    <t>메추리알,삶은것</t>
  </si>
  <si>
    <t>깐메추리알</t>
  </si>
  <si>
    <t>메추리알,삶은것,깐것</t>
  </si>
  <si>
    <t>메추리알,생것</t>
  </si>
  <si>
    <t>당류</t>
  </si>
  <si>
    <t>꿀</t>
  </si>
  <si>
    <t>물엿</t>
  </si>
  <si>
    <t>백설탕</t>
  </si>
  <si>
    <t>젤리</t>
  </si>
  <si>
    <t>뉴젤리뽀</t>
    <phoneticPr fontId="7" type="noConversion"/>
  </si>
  <si>
    <t>황설탕</t>
  </si>
  <si>
    <t>흑설탕</t>
  </si>
  <si>
    <t>두류</t>
  </si>
  <si>
    <t>콩가루</t>
  </si>
  <si>
    <t>가루,볶은것</t>
  </si>
  <si>
    <t>강낭콩</t>
  </si>
  <si>
    <t>강낭콩,생것</t>
  </si>
  <si>
    <t>검정콩</t>
  </si>
  <si>
    <t>검정콩,생것, 가루</t>
  </si>
  <si>
    <t>녹두</t>
  </si>
  <si>
    <t>녹두,말린것, 국내산</t>
  </si>
  <si>
    <t>녹두묵</t>
  </si>
  <si>
    <t>녹두,묵</t>
  </si>
  <si>
    <t>백태</t>
    <phoneticPr fontId="7" type="noConversion"/>
  </si>
  <si>
    <t>대두,말린것, 국내산</t>
  </si>
  <si>
    <t>노란콩</t>
  </si>
  <si>
    <t>속청콩</t>
  </si>
  <si>
    <t>대두,서리태</t>
  </si>
  <si>
    <t>두부</t>
  </si>
  <si>
    <t>순두부</t>
  </si>
  <si>
    <t>꼬마연두부</t>
    <phoneticPr fontId="7" type="noConversion"/>
  </si>
  <si>
    <t>연두부</t>
  </si>
  <si>
    <t>산골두부</t>
  </si>
  <si>
    <t>두부,국산콩</t>
  </si>
  <si>
    <t>청정식품연구소,샘초롱(2001/3/15)</t>
  </si>
  <si>
    <t>샘초롱순두부</t>
  </si>
  <si>
    <t>두부,샘초롱,1KG</t>
  </si>
  <si>
    <t>두부사랑</t>
  </si>
  <si>
    <t>두부,샘초롱두부</t>
  </si>
  <si>
    <t>비지</t>
  </si>
  <si>
    <t>두부비지</t>
  </si>
  <si>
    <t>두부튀김</t>
  </si>
  <si>
    <t>두유</t>
  </si>
  <si>
    <t>베지밀</t>
  </si>
  <si>
    <t>두유음료</t>
  </si>
  <si>
    <t>라이마빈스</t>
  </si>
  <si>
    <t>라이마빈스,생것</t>
  </si>
  <si>
    <t>청포묵</t>
  </si>
  <si>
    <t>묵,녹두,수입산,샘초롱</t>
  </si>
  <si>
    <t>동부묵</t>
    <phoneticPr fontId="7" type="noConversion"/>
  </si>
  <si>
    <t>묵,동부콩,수입산,샘초롱</t>
  </si>
  <si>
    <t>건완두콩</t>
  </si>
  <si>
    <t>완두콩,말린것</t>
  </si>
  <si>
    <t>완두콩</t>
  </si>
  <si>
    <t>완두콩생것</t>
  </si>
  <si>
    <t>콩자반</t>
  </si>
  <si>
    <t>검정팥</t>
  </si>
  <si>
    <t>팥,검정팥</t>
  </si>
  <si>
    <t>팥</t>
  </si>
  <si>
    <t>팥,붉은팥</t>
  </si>
  <si>
    <t>버섯류</t>
  </si>
  <si>
    <t>느타리버섯</t>
  </si>
  <si>
    <t>느타리버섯,생것</t>
    <phoneticPr fontId="7" type="noConversion"/>
  </si>
  <si>
    <t>밤버섯생것</t>
  </si>
  <si>
    <t>애느타리버섯</t>
  </si>
  <si>
    <t>버섯</t>
  </si>
  <si>
    <t>팽이버섯</t>
  </si>
  <si>
    <t>버섯,생것</t>
  </si>
  <si>
    <t>건표고버섯</t>
  </si>
  <si>
    <t>버섯말린것</t>
  </si>
  <si>
    <t>표고</t>
    <phoneticPr fontId="7" type="noConversion"/>
  </si>
  <si>
    <t>버섯생것</t>
  </si>
  <si>
    <t>송이버섯통조림</t>
  </si>
  <si>
    <t>버섯통조림</t>
  </si>
  <si>
    <t>석이버섯</t>
  </si>
  <si>
    <t>석이버섯,말린것</t>
  </si>
  <si>
    <t>엄지새송이</t>
    <phoneticPr fontId="7" type="noConversion"/>
  </si>
  <si>
    <t>송이버섯</t>
  </si>
  <si>
    <t>새송이버섯</t>
    <phoneticPr fontId="7" type="noConversion"/>
  </si>
  <si>
    <t>싸리버섯</t>
  </si>
  <si>
    <t>싸리버섯생것</t>
  </si>
  <si>
    <t>양송이</t>
  </si>
  <si>
    <t>양송이통조림</t>
  </si>
  <si>
    <t>수산가공품</t>
  </si>
  <si>
    <t>맛살</t>
  </si>
  <si>
    <t>어묵찜</t>
  </si>
  <si>
    <t>어묵,찜</t>
  </si>
  <si>
    <t>죽봉어묵</t>
    <phoneticPr fontId="7" type="noConversion"/>
  </si>
  <si>
    <t>어묵,튀김</t>
  </si>
  <si>
    <t>맛살어묵</t>
    <phoneticPr fontId="7" type="noConversion"/>
  </si>
  <si>
    <t>종합어묵</t>
    <phoneticPr fontId="7" type="noConversion"/>
  </si>
  <si>
    <t>볼어묵</t>
    <phoneticPr fontId="7" type="noConversion"/>
  </si>
  <si>
    <t>어류</t>
  </si>
  <si>
    <t>가다랭이</t>
  </si>
  <si>
    <t>가다랭이,생것</t>
  </si>
  <si>
    <t>가다랭이튀김</t>
  </si>
  <si>
    <t>가다랭이,튀긴것</t>
  </si>
  <si>
    <t>가다랭이반건품</t>
  </si>
  <si>
    <t>가다랭이.반건품</t>
  </si>
  <si>
    <t>가물치</t>
  </si>
  <si>
    <t>가오리</t>
  </si>
  <si>
    <t>가오리,생것,나비가오리</t>
  </si>
  <si>
    <t>순살가자미</t>
    <phoneticPr fontId="7" type="noConversion"/>
  </si>
  <si>
    <t>가지미,생것</t>
  </si>
  <si>
    <t>가자미토막</t>
    <phoneticPr fontId="7" type="noConversion"/>
  </si>
  <si>
    <t>갈치</t>
  </si>
  <si>
    <t>갈치,생것</t>
  </si>
  <si>
    <t>흰살생선탕수어</t>
    <phoneticPr fontId="7" type="noConversion"/>
  </si>
  <si>
    <t>냉동갈치</t>
  </si>
  <si>
    <t>갈치,얼간품</t>
  </si>
  <si>
    <t>자반고등어</t>
  </si>
  <si>
    <t>고등어, 염장품</t>
  </si>
  <si>
    <t>고등어생것</t>
  </si>
  <si>
    <t>고등어통조림</t>
  </si>
  <si>
    <t>꽁치</t>
    <phoneticPr fontId="7" type="noConversion"/>
  </si>
  <si>
    <t>꽁치,구운것</t>
  </si>
  <si>
    <t>꽁치통조림</t>
  </si>
  <si>
    <t>꽁치.통조림</t>
  </si>
  <si>
    <t>꽁치</t>
  </si>
  <si>
    <t>꽁치생것</t>
  </si>
  <si>
    <t>넙치</t>
  </si>
  <si>
    <t>넙치,생것</t>
  </si>
  <si>
    <t>대구냉동품</t>
  </si>
  <si>
    <t>명태곤</t>
    <phoneticPr fontId="7" type="noConversion"/>
  </si>
  <si>
    <t>건대구</t>
  </si>
  <si>
    <t>대구말린것</t>
  </si>
  <si>
    <t>대구</t>
  </si>
  <si>
    <t>대구생것</t>
  </si>
  <si>
    <t>아가미젓</t>
  </si>
  <si>
    <t>대구아가미젓</t>
  </si>
  <si>
    <t>대구알</t>
  </si>
  <si>
    <t>대구젓</t>
  </si>
  <si>
    <t>대구튀김</t>
  </si>
  <si>
    <t>대구튀김냉동</t>
  </si>
  <si>
    <t>대구포</t>
  </si>
  <si>
    <t>도다리</t>
  </si>
  <si>
    <t>말린꽁치</t>
  </si>
  <si>
    <t>메기</t>
  </si>
  <si>
    <t>생멸치</t>
  </si>
  <si>
    <t>멸치,생것</t>
  </si>
  <si>
    <t>잔멸치</t>
  </si>
  <si>
    <t>멸치,소</t>
  </si>
  <si>
    <t>어류</t>
    <phoneticPr fontId="7" type="noConversion"/>
  </si>
  <si>
    <t>실치</t>
    <phoneticPr fontId="7" type="noConversion"/>
  </si>
  <si>
    <t>중멸치</t>
  </si>
  <si>
    <t>멸치,중것,가이리</t>
  </si>
  <si>
    <t>다시멸치</t>
  </si>
  <si>
    <t>멸치,큰멸치</t>
  </si>
  <si>
    <t>까나리액젓</t>
    <phoneticPr fontId="7" type="noConversion"/>
  </si>
  <si>
    <t>멸치액젓생것</t>
  </si>
  <si>
    <t>멸치액젓</t>
  </si>
  <si>
    <t>명란알</t>
  </si>
  <si>
    <t>북어</t>
  </si>
  <si>
    <t>명태,말린것</t>
  </si>
  <si>
    <t>북어채</t>
  </si>
  <si>
    <t>명태,말린것,북어채</t>
  </si>
  <si>
    <t>황태</t>
  </si>
  <si>
    <t>명태,황태</t>
  </si>
  <si>
    <t>황태채</t>
  </si>
  <si>
    <t>명태,황태채</t>
  </si>
  <si>
    <t>명태</t>
  </si>
  <si>
    <t>명태생것</t>
  </si>
  <si>
    <t>명태조미포</t>
  </si>
  <si>
    <t>명태코다리</t>
  </si>
  <si>
    <t>명태포</t>
  </si>
  <si>
    <t>미꾸라지</t>
  </si>
  <si>
    <t>민물빙어</t>
  </si>
  <si>
    <t>민어</t>
  </si>
  <si>
    <t>민어생것</t>
  </si>
  <si>
    <t>밴댕이</t>
  </si>
  <si>
    <t>밴댕이생것</t>
  </si>
  <si>
    <t>밴댕이자건품</t>
  </si>
  <si>
    <t>뱅어</t>
  </si>
  <si>
    <t>뱅어생것</t>
  </si>
  <si>
    <t>뱅어포</t>
  </si>
  <si>
    <t>병어</t>
  </si>
  <si>
    <t>붕장어</t>
    <phoneticPr fontId="7" type="noConversion"/>
  </si>
  <si>
    <t>붕장어생것</t>
  </si>
  <si>
    <t>삼치</t>
  </si>
  <si>
    <t>삼치,생것</t>
  </si>
  <si>
    <t>붕어</t>
  </si>
  <si>
    <t>생것</t>
  </si>
  <si>
    <t>송어</t>
  </si>
  <si>
    <t>송어생것</t>
  </si>
  <si>
    <t>아귀</t>
  </si>
  <si>
    <t>건양미리</t>
  </si>
  <si>
    <t>양미리,말린것</t>
  </si>
  <si>
    <t>양미리</t>
  </si>
  <si>
    <t>양미리말린것</t>
  </si>
  <si>
    <t>방어</t>
  </si>
  <si>
    <t>양식</t>
  </si>
  <si>
    <t>연어</t>
  </si>
  <si>
    <t>연어생것</t>
  </si>
  <si>
    <t>열기</t>
  </si>
  <si>
    <t>염장꽁치</t>
  </si>
  <si>
    <t>옥돔</t>
  </si>
  <si>
    <t>분홍소세지  276 12.5 15 1.2 0 0.1 0.07 0.07 10 0  0</t>
  </si>
  <si>
    <t>임연수어</t>
  </si>
  <si>
    <t>임연수어,생것</t>
  </si>
  <si>
    <t xml:space="preserve">고구마맛탕  137 0.9 25.7 1.13 440 0.02 0.04 0.4 6.7 0  0 </t>
  </si>
  <si>
    <t>전어</t>
  </si>
  <si>
    <t>전어생것</t>
  </si>
  <si>
    <t>갈치젓</t>
  </si>
  <si>
    <t>젓</t>
  </si>
  <si>
    <t>오징어실채  3 0.64 0.03 0 0 0 0 0 0.35 0  0</t>
  </si>
  <si>
    <t>멸치젓</t>
  </si>
  <si>
    <t>명란젓</t>
  </si>
  <si>
    <t>밴댕이젓</t>
  </si>
  <si>
    <t>조기젓</t>
  </si>
  <si>
    <t>창란젓</t>
  </si>
  <si>
    <t>정어리</t>
  </si>
  <si>
    <t>정어리생것</t>
  </si>
  <si>
    <t>정어리통조림</t>
  </si>
  <si>
    <t>조기</t>
  </si>
  <si>
    <t>조기생것</t>
  </si>
  <si>
    <t>조기연건품</t>
  </si>
  <si>
    <t>조기연건품.굴비</t>
  </si>
  <si>
    <t>쥐어채</t>
  </si>
  <si>
    <t>쥐어채,명태말린것</t>
  </si>
  <si>
    <t>쥐포구이채</t>
    <phoneticPr fontId="7" type="noConversion"/>
  </si>
  <si>
    <t>쥐포구이채,명태말린것</t>
    <phoneticPr fontId="7" type="noConversion"/>
  </si>
  <si>
    <t>사각쥐포</t>
    <phoneticPr fontId="7" type="noConversion"/>
  </si>
  <si>
    <t>새끼쥐포</t>
    <phoneticPr fontId="7" type="noConversion"/>
  </si>
  <si>
    <t>동전쥐포</t>
    <phoneticPr fontId="7" type="noConversion"/>
  </si>
  <si>
    <t>쥐치포</t>
  </si>
  <si>
    <t>다랑어</t>
  </si>
  <si>
    <t>참다랑어</t>
  </si>
  <si>
    <t>다랑어치어</t>
  </si>
  <si>
    <t>참다랑어.어린것</t>
    <phoneticPr fontId="7" type="noConversion"/>
  </si>
  <si>
    <t>참다랑어통조림</t>
  </si>
  <si>
    <t>청어</t>
  </si>
  <si>
    <t>청어생것</t>
  </si>
  <si>
    <t>동태</t>
  </si>
  <si>
    <t>어류기타</t>
  </si>
  <si>
    <t>갑오징어생것</t>
  </si>
  <si>
    <t>닭게</t>
  </si>
  <si>
    <t>게.닭게.생것</t>
  </si>
  <si>
    <t>닭게젓</t>
  </si>
  <si>
    <t>게.닭게젓</t>
  </si>
  <si>
    <t>건게살</t>
  </si>
  <si>
    <t>게살,자건품</t>
  </si>
  <si>
    <t>게알젓</t>
  </si>
  <si>
    <t>게알,젓</t>
  </si>
  <si>
    <t>꼴뚜기</t>
  </si>
  <si>
    <t>꼴뚜기생것</t>
  </si>
  <si>
    <t>꼴뚜기젓</t>
  </si>
  <si>
    <t>꽃게삶은것</t>
  </si>
  <si>
    <t>꽃게.삶은것</t>
  </si>
  <si>
    <t>꽃게</t>
  </si>
  <si>
    <t>꽃게.생것</t>
  </si>
  <si>
    <t>낙지</t>
  </si>
  <si>
    <t>대게</t>
  </si>
  <si>
    <t>대게생것</t>
  </si>
  <si>
    <t>참치캔</t>
  </si>
  <si>
    <t>동원산업, 참치덕용스텐다드</t>
  </si>
  <si>
    <t>멍게</t>
  </si>
  <si>
    <t>문어</t>
  </si>
  <si>
    <t>문어생것</t>
  </si>
  <si>
    <t>미더덕</t>
  </si>
  <si>
    <t>방게</t>
  </si>
  <si>
    <t>보리새우</t>
  </si>
  <si>
    <t>보리새우생것</t>
  </si>
  <si>
    <t>새우까스,백설</t>
  </si>
  <si>
    <t>새우버거</t>
    <phoneticPr fontId="7" type="noConversion"/>
  </si>
  <si>
    <t>새우</t>
  </si>
  <si>
    <t>새우대하생것</t>
  </si>
  <si>
    <t>새우후라이</t>
    <phoneticPr fontId="7" type="noConversion"/>
  </si>
  <si>
    <t>삶은오징어</t>
  </si>
  <si>
    <t>오징어,삶은것</t>
  </si>
  <si>
    <t>모듬해물</t>
    <phoneticPr fontId="7" type="noConversion"/>
  </si>
  <si>
    <t>오징어.생것</t>
  </si>
  <si>
    <t>오징어젓</t>
  </si>
  <si>
    <t>오징어.젓.양념</t>
  </si>
  <si>
    <t>진미채</t>
    <phoneticPr fontId="7" type="noConversion"/>
  </si>
  <si>
    <t>오징어포조미한것</t>
  </si>
  <si>
    <t>건새우</t>
  </si>
  <si>
    <t>잔새우말린것</t>
  </si>
  <si>
    <t>잔새우</t>
  </si>
  <si>
    <t>잔새우생것</t>
  </si>
  <si>
    <t>새우육젓</t>
  </si>
  <si>
    <t>젓.육젓</t>
  </si>
  <si>
    <t>새우젓</t>
  </si>
  <si>
    <t>젓.추젓</t>
  </si>
  <si>
    <t>새우너겟</t>
    <phoneticPr fontId="7" type="noConversion"/>
  </si>
  <si>
    <t>주꾸미</t>
  </si>
  <si>
    <t>주꾸미.생것</t>
  </si>
  <si>
    <t>오징어튀김</t>
  </si>
  <si>
    <t>냉동,튀김</t>
    <phoneticPr fontId="7" type="noConversion"/>
  </si>
  <si>
    <t>오징어링</t>
    <phoneticPr fontId="7" type="noConversion"/>
  </si>
  <si>
    <t>한치</t>
  </si>
  <si>
    <t>한치생것</t>
  </si>
  <si>
    <t>해삼</t>
  </si>
  <si>
    <t>해삼, 생것</t>
  </si>
  <si>
    <t xml:space="preserve">해파리 </t>
  </si>
  <si>
    <t>해파리.비염장</t>
  </si>
  <si>
    <t xml:space="preserve">염장해파리 </t>
  </si>
  <si>
    <t>해파리.염장픔</t>
  </si>
  <si>
    <t>유류</t>
  </si>
  <si>
    <t>보통우유</t>
  </si>
  <si>
    <t>전지분유</t>
  </si>
  <si>
    <t>분유</t>
  </si>
  <si>
    <t>탈지분유</t>
  </si>
  <si>
    <t>조제분유</t>
  </si>
  <si>
    <t>분유,조제유</t>
  </si>
  <si>
    <t>아이스크림</t>
  </si>
  <si>
    <t>아이스크림,12% 유지방</t>
  </si>
  <si>
    <t>가당연유</t>
  </si>
  <si>
    <t>연유, 가당</t>
  </si>
  <si>
    <t>연유</t>
  </si>
  <si>
    <t>연유, 무가당</t>
  </si>
  <si>
    <t>요구르트, 매일</t>
    <phoneticPr fontId="7" type="noConversion"/>
  </si>
  <si>
    <t>요구르트</t>
    <phoneticPr fontId="7" type="noConversion"/>
  </si>
  <si>
    <t>비타민짱</t>
    <phoneticPr fontId="7" type="noConversion"/>
  </si>
  <si>
    <t>요구르트, 롯데</t>
    <phoneticPr fontId="7" type="noConversion"/>
  </si>
  <si>
    <t>플러스오</t>
    <phoneticPr fontId="7" type="noConversion"/>
  </si>
  <si>
    <t>엔요</t>
    <phoneticPr fontId="7" type="noConversion"/>
  </si>
  <si>
    <r>
      <t>요구르트,</t>
    </r>
    <r>
      <rPr>
        <sz val="11"/>
        <rFont val="돋움"/>
        <family val="3"/>
        <charset val="129"/>
      </rPr>
      <t>GG</t>
    </r>
    <phoneticPr fontId="7" type="noConversion"/>
  </si>
  <si>
    <t>요구르트,GG</t>
    <phoneticPr fontId="7" type="noConversion"/>
  </si>
  <si>
    <r>
      <t>m</t>
    </r>
    <r>
      <rPr>
        <sz val="11"/>
        <rFont val="돋움"/>
        <family val="3"/>
        <charset val="129"/>
      </rPr>
      <t>bp요구르트</t>
    </r>
    <phoneticPr fontId="7" type="noConversion"/>
  </si>
  <si>
    <t>요구르트, 서울</t>
    <phoneticPr fontId="7" type="noConversion"/>
  </si>
  <si>
    <t>딸기요구르트</t>
  </si>
  <si>
    <t>요구르트, 호상, 딸기</t>
  </si>
  <si>
    <t>유루</t>
    <phoneticPr fontId="7" type="noConversion"/>
  </si>
  <si>
    <t>후레쉬</t>
    <phoneticPr fontId="7" type="noConversion"/>
  </si>
  <si>
    <t>요구르트,호상,복숭아</t>
    <phoneticPr fontId="7" type="noConversion"/>
  </si>
  <si>
    <t>초코우유</t>
  </si>
  <si>
    <t>우유</t>
  </si>
  <si>
    <t>크런치초코바</t>
    <phoneticPr fontId="7" type="noConversion"/>
  </si>
  <si>
    <t>스낵류</t>
    <phoneticPr fontId="7" type="noConversion"/>
  </si>
  <si>
    <t>저지방우유</t>
  </si>
  <si>
    <t>우유,저지방가공유</t>
  </si>
  <si>
    <t>탈지우유</t>
  </si>
  <si>
    <t>우유,탈지유</t>
  </si>
  <si>
    <t>가공치즈</t>
  </si>
  <si>
    <t>치즈</t>
  </si>
  <si>
    <t>치즈</t>
    <phoneticPr fontId="7" type="noConversion"/>
  </si>
  <si>
    <t>파마산치즈</t>
    <phoneticPr fontId="7" type="noConversion"/>
  </si>
  <si>
    <t>체다치즈</t>
  </si>
  <si>
    <t>모짜렐라치즈</t>
  </si>
  <si>
    <t>치즈,피자치즈</t>
  </si>
  <si>
    <t>경휘핑크림</t>
  </si>
  <si>
    <t>크림,경휘핑크림</t>
  </si>
  <si>
    <t>휘핑크림</t>
  </si>
  <si>
    <t>크림,중휘핑크림</t>
  </si>
  <si>
    <t>유지류</t>
  </si>
  <si>
    <t>들기름</t>
  </si>
  <si>
    <t>땅콩기름</t>
  </si>
  <si>
    <t>땅콩버터</t>
  </si>
  <si>
    <t>면실유</t>
  </si>
  <si>
    <t>버터</t>
  </si>
  <si>
    <t>버터,서울우유</t>
    <phoneticPr fontId="7" type="noConversion"/>
  </si>
  <si>
    <t>쇼트닝</t>
  </si>
  <si>
    <t>마가린</t>
  </si>
  <si>
    <t>식물성마가린</t>
  </si>
  <si>
    <t>옥수수기름</t>
  </si>
  <si>
    <t>올리브유</t>
  </si>
  <si>
    <t>유채기름</t>
  </si>
  <si>
    <t>참기름</t>
  </si>
  <si>
    <t>식용유</t>
  </si>
  <si>
    <t>콩기름</t>
  </si>
  <si>
    <t>팜유</t>
  </si>
  <si>
    <t>고추기름</t>
    <phoneticPr fontId="7" type="noConversion"/>
  </si>
  <si>
    <t>육류</t>
  </si>
  <si>
    <t>닭</t>
  </si>
  <si>
    <t>닭고기,날것</t>
  </si>
  <si>
    <t>닭고기너겟</t>
    <phoneticPr fontId="7" type="noConversion"/>
  </si>
  <si>
    <t>닭고기,너겟</t>
  </si>
  <si>
    <t>닭가슴튀김</t>
  </si>
  <si>
    <t>닭고기,닭가슴튀김옷입혀튀김</t>
  </si>
  <si>
    <t>핫윙</t>
  </si>
  <si>
    <t>닭고기,닭날개튀김옷입혀튀김</t>
  </si>
  <si>
    <t>텐드너겟</t>
  </si>
  <si>
    <t>닭고기,닭다리살튀김옷입혀튀김,뼈제거</t>
  </si>
  <si>
    <t>닭튀김</t>
  </si>
  <si>
    <t>닭고기,티김옷입혀튀김</t>
  </si>
  <si>
    <t>후라이드치킨</t>
  </si>
  <si>
    <t>닭고기,후라이드치킨</t>
  </si>
  <si>
    <t>돈갈비</t>
    <phoneticPr fontId="7" type="noConversion"/>
  </si>
  <si>
    <t>돼지고기,갈비날것</t>
  </si>
  <si>
    <t>돼지간</t>
  </si>
  <si>
    <t>돼지고기,부산물,간,날것</t>
  </si>
  <si>
    <t>양념불고기</t>
  </si>
  <si>
    <t>돼지고기,불고기,양념</t>
  </si>
  <si>
    <t>돼지고기가공품</t>
  </si>
  <si>
    <t>후랑크</t>
    <phoneticPr fontId="7" type="noConversion"/>
  </si>
  <si>
    <t>돼지고기가공품,로스,햄</t>
  </si>
  <si>
    <t>스팸</t>
    <phoneticPr fontId="7" type="noConversion"/>
  </si>
  <si>
    <t>바베큐</t>
  </si>
  <si>
    <t>돼지고기가공품,바베규</t>
  </si>
  <si>
    <t>돼지고기가공품,소시지</t>
  </si>
  <si>
    <t>핫도그</t>
  </si>
  <si>
    <t>핫도그,냉동</t>
    <phoneticPr fontId="7" type="noConversion"/>
  </si>
  <si>
    <t>부대찌개햄</t>
    <phoneticPr fontId="7" type="noConversion"/>
  </si>
  <si>
    <t>돼지고기가공품,축협,햄</t>
  </si>
  <si>
    <t>런천미트</t>
  </si>
  <si>
    <t>돼지고기가공품,통조림,런천미트</t>
  </si>
  <si>
    <t>베이컨</t>
  </si>
  <si>
    <t>돼지고기가공품베이컨</t>
  </si>
  <si>
    <t>돼지고기등심</t>
  </si>
  <si>
    <t>돼지고기등심,날것</t>
  </si>
  <si>
    <t>돼지사태</t>
  </si>
  <si>
    <t>돼지고기사태날것</t>
  </si>
  <si>
    <t>돼지삼겹살</t>
  </si>
  <si>
    <t>돼지고기삼겹살</t>
  </si>
  <si>
    <t>돼지고기안심</t>
  </si>
  <si>
    <t>돼지고기안심날것</t>
  </si>
  <si>
    <t>돈민찌</t>
    <phoneticPr fontId="7" type="noConversion"/>
  </si>
  <si>
    <t>갈릭탕수육</t>
    <phoneticPr fontId="7" type="noConversion"/>
  </si>
  <si>
    <t>돈탕수육</t>
    <phoneticPr fontId="7" type="noConversion"/>
  </si>
  <si>
    <t>돼지고기전지</t>
  </si>
  <si>
    <t>돼지고기후지</t>
  </si>
  <si>
    <t>소고기</t>
    <phoneticPr fontId="7" type="noConversion"/>
  </si>
  <si>
    <t>돈국거리</t>
    <phoneticPr fontId="7" type="noConversion"/>
  </si>
  <si>
    <t>소간</t>
  </si>
  <si>
    <t>쇠고기,부산물,간</t>
  </si>
  <si>
    <t>소꼬리</t>
  </si>
  <si>
    <t>쇠고기,부산물,꼬리</t>
  </si>
  <si>
    <t>소신장</t>
  </si>
  <si>
    <t>쇠고기,부산물,신장</t>
  </si>
  <si>
    <t>소심장</t>
  </si>
  <si>
    <t>쇠고기,부산물,심장,날것</t>
  </si>
  <si>
    <t>소양</t>
  </si>
  <si>
    <t>쇠고기,부산물,위</t>
  </si>
  <si>
    <t>소천엽</t>
  </si>
  <si>
    <t>쇠고기,부산물,천엽</t>
  </si>
  <si>
    <t>소피</t>
  </si>
  <si>
    <t>쇠고기,부산물,피</t>
  </si>
  <si>
    <t>수입소갈비</t>
  </si>
  <si>
    <t>쇠고기,수입,갈비,날것</t>
  </si>
  <si>
    <t>수입소등심</t>
  </si>
  <si>
    <t>쇠고기,수입우,등심</t>
  </si>
  <si>
    <t>수입소사태</t>
  </si>
  <si>
    <t>쇠고기,수입우,사태</t>
  </si>
  <si>
    <t>수입소설도</t>
    <phoneticPr fontId="7" type="noConversion"/>
  </si>
  <si>
    <t>쇠고기,수입우,설도</t>
  </si>
  <si>
    <t>수입소안심</t>
  </si>
  <si>
    <t>쇠고기,수입우,안심</t>
  </si>
  <si>
    <t>우민찌</t>
    <phoneticPr fontId="7" type="noConversion"/>
  </si>
  <si>
    <t>수입소양지</t>
  </si>
  <si>
    <t>쇠고기,수입우,양지,날것</t>
  </si>
  <si>
    <t>수입소우둔</t>
  </si>
  <si>
    <t>쇠고기,수입우,우둔</t>
  </si>
  <si>
    <t>수입우장정</t>
  </si>
  <si>
    <t>쇠고기,수입우,장정,날것</t>
  </si>
  <si>
    <t>우채</t>
    <phoneticPr fontId="7" type="noConversion"/>
  </si>
  <si>
    <t>쇠고기,수입우,채끝</t>
  </si>
  <si>
    <t>한우등심</t>
  </si>
  <si>
    <t>쇠고기,한우,등심</t>
  </si>
  <si>
    <t>한우불고기</t>
  </si>
  <si>
    <t>쇠고기,한우,불고기양념포함</t>
  </si>
  <si>
    <t>우사태</t>
    <phoneticPr fontId="7" type="noConversion"/>
  </si>
  <si>
    <t>쇠고기,한우,사태</t>
  </si>
  <si>
    <t>한우안심</t>
  </si>
  <si>
    <t>쇠고기,한우,안심</t>
  </si>
  <si>
    <t>한우양지</t>
  </si>
  <si>
    <t>쇠고기,한우,양지</t>
  </si>
  <si>
    <t>한우우둔</t>
  </si>
  <si>
    <t>쇠고기,한우,우둔</t>
  </si>
  <si>
    <t>하이스</t>
  </si>
  <si>
    <t>한우갈비</t>
  </si>
  <si>
    <t>우사골</t>
    <phoneticPr fontId="7" type="noConversion"/>
  </si>
  <si>
    <t>한우사골</t>
  </si>
  <si>
    <t>한우사태</t>
  </si>
  <si>
    <t>한우설도</t>
  </si>
  <si>
    <t>한우육포</t>
  </si>
  <si>
    <t>한우장정</t>
  </si>
  <si>
    <t>한우전지</t>
  </si>
  <si>
    <t>음료및주류</t>
  </si>
  <si>
    <t>과일탄산음료</t>
  </si>
  <si>
    <t>당근캔쥬스</t>
  </si>
  <si>
    <t>레몬소다</t>
  </si>
  <si>
    <t>사이다</t>
  </si>
  <si>
    <t>식혜</t>
  </si>
  <si>
    <t>식혜캔</t>
  </si>
  <si>
    <t>식혜,캔</t>
  </si>
  <si>
    <t>오렌지소다</t>
  </si>
  <si>
    <t>청주</t>
  </si>
  <si>
    <t>코코아</t>
  </si>
  <si>
    <t>음료및주류</t>
    <phoneticPr fontId="7" type="noConversion"/>
  </si>
  <si>
    <t>코코아우유</t>
    <phoneticPr fontId="7" type="noConversion"/>
  </si>
  <si>
    <t>코코아,우유</t>
    <phoneticPr fontId="7" type="noConversion"/>
  </si>
  <si>
    <t>콜라</t>
  </si>
  <si>
    <t>단포도주</t>
  </si>
  <si>
    <t>포도주</t>
  </si>
  <si>
    <t>백포도주</t>
  </si>
  <si>
    <t>적포도주</t>
  </si>
  <si>
    <t>조리가공품</t>
  </si>
  <si>
    <t>감자,냉동,튀김</t>
  </si>
  <si>
    <t>감자튀김</t>
  </si>
  <si>
    <t>냉동돈까스</t>
  </si>
  <si>
    <t>냉동</t>
  </si>
  <si>
    <t>미트볼</t>
    <phoneticPr fontId="7" type="noConversion"/>
  </si>
  <si>
    <t>치즈미트볼</t>
    <phoneticPr fontId="7" type="noConversion"/>
  </si>
  <si>
    <t>오징어볼튀김</t>
  </si>
  <si>
    <t>크로켓</t>
  </si>
  <si>
    <t>동그랑땡</t>
  </si>
  <si>
    <t>대림수산</t>
  </si>
  <si>
    <t>새우동그랑땡</t>
    <phoneticPr fontId="7" type="noConversion"/>
  </si>
  <si>
    <t>동원산업</t>
  </si>
  <si>
    <t>냉동핫도그</t>
  </si>
  <si>
    <t>돼지고기가공품,핫도그냉동</t>
  </si>
  <si>
    <t>된장</t>
    <phoneticPr fontId="7" type="noConversion"/>
  </si>
  <si>
    <t>미소된장</t>
    <phoneticPr fontId="7" type="noConversion"/>
  </si>
  <si>
    <t>풀무원순두부</t>
  </si>
  <si>
    <t>두부,풀무원</t>
  </si>
  <si>
    <t>풀무원연두부</t>
  </si>
  <si>
    <t>두부.풀무원</t>
  </si>
  <si>
    <t>고기물만두</t>
  </si>
  <si>
    <t>만두,고기,냉동,샘초롱</t>
  </si>
  <si>
    <t>꼬마만두</t>
  </si>
  <si>
    <t>만두</t>
  </si>
  <si>
    <t>만두,냉동</t>
  </si>
  <si>
    <t>고추잡채만두</t>
  </si>
  <si>
    <t>손만두</t>
    <phoneticPr fontId="7" type="noConversion"/>
  </si>
  <si>
    <t>만두,냉동</t>
    <phoneticPr fontId="7" type="noConversion"/>
  </si>
  <si>
    <t>고기만두</t>
  </si>
  <si>
    <t>만두,냉동,샘초롱</t>
  </si>
  <si>
    <t>동원고기만두</t>
  </si>
  <si>
    <t>만두,동원산업</t>
  </si>
  <si>
    <t>쇠고기스프</t>
  </si>
  <si>
    <t>분말</t>
  </si>
  <si>
    <t>쇠고기야채스프</t>
  </si>
  <si>
    <t>양송이스프</t>
  </si>
  <si>
    <t>옥수수스프</t>
    <phoneticPr fontId="7" type="noConversion"/>
  </si>
  <si>
    <t>크림스프</t>
  </si>
  <si>
    <t>냉동피자</t>
  </si>
  <si>
    <t>빵, 피자냉동</t>
  </si>
  <si>
    <t>핫도그빵</t>
    <phoneticPr fontId="7" type="noConversion"/>
  </si>
  <si>
    <t>빵, 보통햄버거</t>
    <phoneticPr fontId="7" type="noConversion"/>
  </si>
  <si>
    <t>햄버거빵</t>
    <phoneticPr fontId="7" type="noConversion"/>
  </si>
  <si>
    <t>조각피자</t>
  </si>
  <si>
    <t>삼각피자, 샘초롱</t>
  </si>
  <si>
    <t>새우튀김</t>
  </si>
  <si>
    <t>새우튀김,냉동</t>
  </si>
  <si>
    <t>깐쇼새우</t>
    <phoneticPr fontId="7" type="noConversion"/>
  </si>
  <si>
    <t>새우크런치</t>
    <phoneticPr fontId="7" type="noConversion"/>
  </si>
  <si>
    <t>마른것</t>
    <phoneticPr fontId="7" type="noConversion"/>
  </si>
  <si>
    <t>생선까스</t>
  </si>
  <si>
    <t>생선까스,동원어업</t>
  </si>
  <si>
    <t>파인완자</t>
    <phoneticPr fontId="7" type="noConversion"/>
  </si>
  <si>
    <t>쇠고기,냉동</t>
  </si>
  <si>
    <t>쇠고기완자</t>
  </si>
  <si>
    <t>수제비</t>
  </si>
  <si>
    <t>불고기햄</t>
    <phoneticPr fontId="7" type="noConversion"/>
  </si>
  <si>
    <t>스모크햄,한성</t>
    <phoneticPr fontId="7" type="noConversion"/>
  </si>
  <si>
    <t>햄야채튀김</t>
    <phoneticPr fontId="7" type="noConversion"/>
  </si>
  <si>
    <t>스모크햄,세븐</t>
    <phoneticPr fontId="7" type="noConversion"/>
  </si>
  <si>
    <t>게맛살</t>
  </si>
  <si>
    <t>싱싱맛살, 동원산업</t>
  </si>
  <si>
    <t>알땅콩</t>
  </si>
  <si>
    <t>알땅콩,우성식품</t>
  </si>
  <si>
    <t>한맥탕수육</t>
    <phoneticPr fontId="7" type="noConversion"/>
  </si>
  <si>
    <t>냉동</t>
    <phoneticPr fontId="7" type="noConversion"/>
  </si>
  <si>
    <t>탕수육</t>
  </si>
  <si>
    <t>양파링</t>
  </si>
  <si>
    <t>양파,냉동</t>
  </si>
  <si>
    <t>양파스프</t>
  </si>
  <si>
    <t>양파분말</t>
  </si>
  <si>
    <t>호박죽</t>
  </si>
  <si>
    <t>인스턴트</t>
  </si>
  <si>
    <t>치즈스틱</t>
  </si>
  <si>
    <t>치즈스틱,롯데리아</t>
  </si>
  <si>
    <t>냉동탕수육</t>
  </si>
  <si>
    <t>탕수육,소스포함</t>
  </si>
  <si>
    <t>케찹, 대상</t>
    <phoneticPr fontId="7" type="noConversion"/>
  </si>
  <si>
    <t>조미료류</t>
  </si>
  <si>
    <t>카레,매운맛,대상</t>
    <phoneticPr fontId="7" type="noConversion"/>
  </si>
  <si>
    <t>재래간장</t>
  </si>
  <si>
    <t>간장,샘초롱,메주간장</t>
  </si>
  <si>
    <t>간장</t>
  </si>
  <si>
    <t>간장,양조간장, 샘표식품</t>
  </si>
  <si>
    <t>왜간장</t>
  </si>
  <si>
    <t>간장,왜간장</t>
  </si>
  <si>
    <t>국간장</t>
  </si>
  <si>
    <t>간장,재래간장</t>
  </si>
  <si>
    <t>진간장</t>
  </si>
  <si>
    <t>간장,진간장, 샘표식품</t>
  </si>
  <si>
    <t>겨자가루</t>
  </si>
  <si>
    <t>고추가루</t>
  </si>
  <si>
    <t>고운고추가루</t>
  </si>
  <si>
    <t>고추가루,샘초롱,의성산</t>
  </si>
  <si>
    <t>청정식품연구소,샘초롱,(2001/3/17)</t>
  </si>
  <si>
    <t>굵은고추가루</t>
  </si>
  <si>
    <t>조미용고추가루</t>
  </si>
  <si>
    <t>고추장</t>
  </si>
  <si>
    <t>깨소금</t>
  </si>
  <si>
    <t>스테이크소스</t>
    <phoneticPr fontId="7" type="noConversion"/>
  </si>
  <si>
    <t>돈까스소스</t>
  </si>
  <si>
    <t>된장</t>
  </si>
  <si>
    <t>보리된장</t>
  </si>
  <si>
    <t>쌈장</t>
  </si>
  <si>
    <t>청국장</t>
  </si>
  <si>
    <t>청국장,생것</t>
    <phoneticPr fontId="7" type="noConversion"/>
  </si>
  <si>
    <t>재래된장</t>
  </si>
  <si>
    <t>된장,샘초롱</t>
  </si>
  <si>
    <t>마요네즈</t>
    <phoneticPr fontId="7" type="noConversion"/>
  </si>
  <si>
    <t>마요네즈,대상</t>
    <phoneticPr fontId="7" type="noConversion"/>
  </si>
  <si>
    <t>멸치다시다</t>
  </si>
  <si>
    <t>미림</t>
  </si>
  <si>
    <t>쇠고기다시다</t>
    <phoneticPr fontId="7" type="noConversion"/>
  </si>
  <si>
    <t>감식초</t>
  </si>
  <si>
    <t>식초</t>
  </si>
  <si>
    <t>쌀식초</t>
  </si>
  <si>
    <t>양조식초</t>
  </si>
  <si>
    <t>현미식초</t>
  </si>
  <si>
    <t>요거트드레싱</t>
    <phoneticPr fontId="7" type="noConversion"/>
  </si>
  <si>
    <t>사우전아일랜드</t>
    <phoneticPr fontId="7" type="noConversion"/>
  </si>
  <si>
    <t>아일랜드드레싱</t>
  </si>
  <si>
    <t>크림소스</t>
    <phoneticPr fontId="7" type="noConversion"/>
  </si>
  <si>
    <t>와사비분말</t>
  </si>
  <si>
    <t>와사비페이스트</t>
  </si>
  <si>
    <t>고운소금</t>
  </si>
  <si>
    <t>일반염,제재염</t>
  </si>
  <si>
    <t>굵은소금</t>
  </si>
  <si>
    <t>일반염,천일염,식염</t>
  </si>
  <si>
    <t>왜된장</t>
  </si>
  <si>
    <t>일본된장</t>
  </si>
  <si>
    <t>춘장</t>
    <phoneticPr fontId="7" type="noConversion"/>
  </si>
  <si>
    <t>짜장소스</t>
    <phoneticPr fontId="7" type="noConversion"/>
  </si>
  <si>
    <t>피자소스</t>
    <phoneticPr fontId="7" type="noConversion"/>
  </si>
  <si>
    <t>토마토소스</t>
  </si>
  <si>
    <t>캡사이신</t>
    <phoneticPr fontId="7" type="noConversion"/>
  </si>
  <si>
    <t>핫소스</t>
  </si>
  <si>
    <t>후추가루</t>
  </si>
  <si>
    <t>종실류</t>
  </si>
  <si>
    <t>들깨가루</t>
  </si>
  <si>
    <t>들깨</t>
  </si>
  <si>
    <t>땅콩조각</t>
  </si>
  <si>
    <t>땅콩,볶은것, 조각</t>
  </si>
  <si>
    <t>삶은땅콩</t>
  </si>
  <si>
    <t>땅콩,삶은것</t>
  </si>
  <si>
    <t>땅콩</t>
  </si>
  <si>
    <t>땅콩,생것</t>
  </si>
  <si>
    <t>땅콩가루</t>
    <phoneticPr fontId="7" type="noConversion"/>
  </si>
  <si>
    <t>볶은땅콩</t>
  </si>
  <si>
    <t>땅콩볶은것,껍질제거</t>
  </si>
  <si>
    <t>도토리묵</t>
  </si>
  <si>
    <t>묵</t>
  </si>
  <si>
    <t>삶은밤</t>
  </si>
  <si>
    <t>밤, 삶은것</t>
  </si>
  <si>
    <t>깐밤</t>
  </si>
  <si>
    <t>밤,생것,깐것</t>
  </si>
  <si>
    <t>아몬드</t>
  </si>
  <si>
    <t>아몬드,말린것</t>
  </si>
  <si>
    <t>은행</t>
    <phoneticPr fontId="7" type="noConversion"/>
  </si>
  <si>
    <t>은행,생것</t>
    <phoneticPr fontId="7" type="noConversion"/>
  </si>
  <si>
    <t>해바라기씨</t>
    <phoneticPr fontId="7" type="noConversion"/>
  </si>
  <si>
    <t>말린것, 생것</t>
    <phoneticPr fontId="7" type="noConversion"/>
  </si>
  <si>
    <t>잣</t>
  </si>
  <si>
    <t xml:space="preserve">잣, 말린것. </t>
  </si>
  <si>
    <t>참깨</t>
  </si>
  <si>
    <t>참깨,흰것,말린것</t>
  </si>
  <si>
    <t>통깨</t>
  </si>
  <si>
    <t>참깨,흰깨.볶은것</t>
  </si>
  <si>
    <t>흑깨</t>
  </si>
  <si>
    <t>참깨. 검정깨.볶은것</t>
  </si>
  <si>
    <t>참깨.검정깨 말린것</t>
  </si>
  <si>
    <t>호두</t>
  </si>
  <si>
    <t>호두,말린것</t>
    <phoneticPr fontId="7" type="noConversion"/>
  </si>
  <si>
    <t>차류</t>
  </si>
  <si>
    <t>보리차</t>
  </si>
  <si>
    <t>동서식품</t>
  </si>
  <si>
    <t>옥수수차</t>
  </si>
  <si>
    <t>녹차</t>
    <phoneticPr fontId="7" type="noConversion"/>
  </si>
  <si>
    <t>유자차</t>
  </si>
  <si>
    <t>차</t>
  </si>
  <si>
    <t>인삼차</t>
  </si>
  <si>
    <t>율무차</t>
  </si>
  <si>
    <t>차, 율무분말</t>
  </si>
  <si>
    <t>결명자차</t>
  </si>
  <si>
    <t>차류,결명자차</t>
  </si>
  <si>
    <t>채소류</t>
  </si>
  <si>
    <t>가지</t>
  </si>
  <si>
    <t>가지 생것</t>
  </si>
  <si>
    <t>갓</t>
  </si>
  <si>
    <t>겨울초</t>
  </si>
  <si>
    <t>고구마줄기</t>
  </si>
  <si>
    <t>고구마줄기.생것</t>
  </si>
  <si>
    <t>고들빼기</t>
  </si>
  <si>
    <t>건고비</t>
  </si>
  <si>
    <t>고비. 말린것</t>
  </si>
  <si>
    <t>건고비삶은것</t>
  </si>
  <si>
    <t>고비.삶은것</t>
  </si>
  <si>
    <t>건고사리</t>
  </si>
  <si>
    <t>고사리말린것</t>
  </si>
  <si>
    <t>고사리</t>
  </si>
  <si>
    <t>고사리삶은것</t>
  </si>
  <si>
    <t>풋고추</t>
    <phoneticPr fontId="7" type="noConversion"/>
  </si>
  <si>
    <t>고추</t>
  </si>
  <si>
    <t>채소류</t>
    <phoneticPr fontId="7" type="noConversion"/>
  </si>
  <si>
    <t>고추냉이</t>
    <phoneticPr fontId="7" type="noConversion"/>
  </si>
  <si>
    <t>고추냉이,잎</t>
    <phoneticPr fontId="7" type="noConversion"/>
  </si>
  <si>
    <t>고추냉이,줄기</t>
    <phoneticPr fontId="7" type="noConversion"/>
  </si>
  <si>
    <t>고추장아찌</t>
  </si>
  <si>
    <t>고추,고추장아찌</t>
  </si>
  <si>
    <t>실고추</t>
  </si>
  <si>
    <t>고추,붉은고추,말린것</t>
    <phoneticPr fontId="7" type="noConversion"/>
  </si>
  <si>
    <t>건홍고추</t>
    <phoneticPr fontId="7" type="noConversion"/>
  </si>
  <si>
    <t>홍고추</t>
  </si>
  <si>
    <t>고추,붉은고추.생것</t>
  </si>
  <si>
    <t>청량고추</t>
    <phoneticPr fontId="7" type="noConversion"/>
  </si>
  <si>
    <t>고추,풋고추,개량종</t>
  </si>
  <si>
    <t>청고추</t>
    <phoneticPr fontId="7" type="noConversion"/>
  </si>
  <si>
    <t>고춧잎</t>
  </si>
  <si>
    <t>고춧잎삶은것</t>
  </si>
  <si>
    <t>산채나물</t>
  </si>
  <si>
    <t>곰취,생것</t>
  </si>
  <si>
    <t>근대</t>
  </si>
  <si>
    <t>근대.삶은것</t>
  </si>
  <si>
    <t>근대,생것</t>
    <phoneticPr fontId="7" type="noConversion"/>
  </si>
  <si>
    <t>갓김치</t>
  </si>
  <si>
    <t>김치</t>
  </si>
  <si>
    <t>고들빼기김치</t>
  </si>
  <si>
    <t>깍두기</t>
    <phoneticPr fontId="7" type="noConversion"/>
  </si>
  <si>
    <t>나박김치</t>
  </si>
  <si>
    <t>동치미</t>
  </si>
  <si>
    <t>무청김치</t>
  </si>
  <si>
    <t>배추김치</t>
  </si>
  <si>
    <t>신김치</t>
    <phoneticPr fontId="7" type="noConversion"/>
  </si>
  <si>
    <t>백김치</t>
  </si>
  <si>
    <t>석박지</t>
  </si>
  <si>
    <t>깻잎김치</t>
    <phoneticPr fontId="7" type="noConversion"/>
  </si>
  <si>
    <t>열무김치</t>
  </si>
  <si>
    <t>오이소박이</t>
  </si>
  <si>
    <t>알타리김치</t>
    <phoneticPr fontId="7" type="noConversion"/>
  </si>
  <si>
    <t>파김치</t>
  </si>
  <si>
    <t>깻잎</t>
  </si>
  <si>
    <t>깻잎나물</t>
  </si>
  <si>
    <t>냉이</t>
  </si>
  <si>
    <t>달래</t>
  </si>
  <si>
    <t>당근,생것</t>
    <phoneticPr fontId="7" type="noConversion"/>
  </si>
  <si>
    <t>깐당근</t>
    <phoneticPr fontId="7" type="noConversion"/>
  </si>
  <si>
    <t>당근의 폐기율제거</t>
  </si>
  <si>
    <t>더덕</t>
  </si>
  <si>
    <t>더덕, 생것</t>
  </si>
  <si>
    <t>도라지</t>
  </si>
  <si>
    <t>도라지,생것</t>
    <phoneticPr fontId="7" type="noConversion"/>
  </si>
  <si>
    <t>깐도라지</t>
  </si>
  <si>
    <t>도라지폐기율제거</t>
  </si>
  <si>
    <t>돌나물</t>
  </si>
  <si>
    <t>돌나물, 생것</t>
  </si>
  <si>
    <t>두릅</t>
  </si>
  <si>
    <t>두릅, 생것</t>
  </si>
  <si>
    <t>들깻잎</t>
  </si>
  <si>
    <t>들깻잎,생것</t>
    <phoneticPr fontId="7" type="noConversion"/>
  </si>
  <si>
    <t>데친들깻잎</t>
  </si>
  <si>
    <t>들깻잎,데친것</t>
    <phoneticPr fontId="7" type="noConversion"/>
  </si>
  <si>
    <t>마늘장아찌</t>
  </si>
  <si>
    <t>마늘</t>
  </si>
  <si>
    <t>마늘쫑</t>
  </si>
  <si>
    <t>마늘쫑장아찌</t>
  </si>
  <si>
    <t>다진마늘</t>
    <phoneticPr fontId="7" type="noConversion"/>
  </si>
  <si>
    <t>마늘 폐기율 제거했음</t>
  </si>
  <si>
    <t>김밥단무지</t>
    <phoneticPr fontId="7" type="noConversion"/>
  </si>
  <si>
    <t>무, 단무지</t>
  </si>
  <si>
    <t>무말랭이</t>
  </si>
  <si>
    <t>무, 무말랭이</t>
  </si>
  <si>
    <t>무순</t>
  </si>
  <si>
    <t>무,무순</t>
  </si>
  <si>
    <t>무,무우거지</t>
  </si>
  <si>
    <t>무장아찌</t>
  </si>
  <si>
    <t>무,무장아찌</t>
  </si>
  <si>
    <t>무짠지</t>
  </si>
  <si>
    <t>무,무짠지</t>
  </si>
  <si>
    <t>무쌈</t>
    <phoneticPr fontId="7" type="noConversion"/>
  </si>
  <si>
    <t>무초절이</t>
    <phoneticPr fontId="7" type="noConversion"/>
  </si>
  <si>
    <t>알타리무</t>
  </si>
  <si>
    <t>무,알타리무,뿌리</t>
  </si>
  <si>
    <t>알타리무</t>
    <phoneticPr fontId="7" type="noConversion"/>
  </si>
  <si>
    <t>무,알타리무,잎</t>
  </si>
  <si>
    <t>조선무</t>
  </si>
  <si>
    <t>무,조선무,뿌리</t>
  </si>
  <si>
    <t>조선무청</t>
  </si>
  <si>
    <t>무,조선무,잎</t>
  </si>
  <si>
    <t>삶은미나리</t>
  </si>
  <si>
    <t>미나리,삶은것</t>
  </si>
  <si>
    <t>미나리</t>
  </si>
  <si>
    <t>미나리,생것</t>
  </si>
  <si>
    <t>봄동</t>
    <phoneticPr fontId="7" type="noConversion"/>
  </si>
  <si>
    <t>배추,봄동</t>
  </si>
  <si>
    <t>통배추</t>
    <phoneticPr fontId="7" type="noConversion"/>
  </si>
  <si>
    <t>배추,생것</t>
  </si>
  <si>
    <t>배추</t>
  </si>
  <si>
    <t>단배추</t>
  </si>
  <si>
    <t>배추,얼갈이배추</t>
  </si>
  <si>
    <t>솎음배추</t>
    <phoneticPr fontId="7" type="noConversion"/>
  </si>
  <si>
    <t>부추</t>
  </si>
  <si>
    <t>부추,생것</t>
  </si>
  <si>
    <t>건홍초</t>
    <phoneticPr fontId="7" type="noConversion"/>
  </si>
  <si>
    <t>붉은고추, 말린것</t>
  </si>
  <si>
    <t>붉은양배추</t>
  </si>
  <si>
    <t>상추</t>
  </si>
  <si>
    <t>상추,개량종</t>
  </si>
  <si>
    <t>샐러리</t>
  </si>
  <si>
    <t>생강</t>
  </si>
  <si>
    <t>생강,국산</t>
  </si>
  <si>
    <t>깐생강</t>
  </si>
  <si>
    <t>생강,국산,깐것</t>
  </si>
  <si>
    <t>숙주나물,생것</t>
  </si>
  <si>
    <t>시금치</t>
  </si>
  <si>
    <t>시금치, 생것,하우수</t>
  </si>
  <si>
    <t>실파</t>
    <phoneticPr fontId="7" type="noConversion"/>
  </si>
  <si>
    <t>실파(소파)</t>
  </si>
  <si>
    <t>파채</t>
    <phoneticPr fontId="7" type="noConversion"/>
  </si>
  <si>
    <t>쑥</t>
  </si>
  <si>
    <t>쑥,생것</t>
  </si>
  <si>
    <t>쑥갓</t>
  </si>
  <si>
    <t>쑥갓,생것</t>
  </si>
  <si>
    <t>아욱</t>
  </si>
  <si>
    <t>야콘</t>
  </si>
  <si>
    <t>야콘,잎</t>
    <phoneticPr fontId="7" type="noConversion"/>
  </si>
  <si>
    <t>브로콜리</t>
    <phoneticPr fontId="7" type="noConversion"/>
  </si>
  <si>
    <t>브로콜리,생것</t>
    <phoneticPr fontId="7" type="noConversion"/>
  </si>
  <si>
    <t>비름</t>
    <phoneticPr fontId="7" type="noConversion"/>
  </si>
  <si>
    <t>비름,생것</t>
    <phoneticPr fontId="7" type="noConversion"/>
  </si>
  <si>
    <t>비츠</t>
    <phoneticPr fontId="7" type="noConversion"/>
  </si>
  <si>
    <t>비츠,생것</t>
    <phoneticPr fontId="7" type="noConversion"/>
  </si>
  <si>
    <t>삶은양배추</t>
    <phoneticPr fontId="7" type="noConversion"/>
  </si>
  <si>
    <t>양배추,삶은것</t>
  </si>
  <si>
    <t>양배추</t>
  </si>
  <si>
    <t>양배추,생것</t>
    <phoneticPr fontId="7" type="noConversion"/>
  </si>
  <si>
    <t>양상추</t>
  </si>
  <si>
    <t>상추,개량종</t>
    <phoneticPr fontId="7" type="noConversion"/>
  </si>
  <si>
    <t>양파</t>
  </si>
  <si>
    <t>양파,생것,국내산</t>
  </si>
  <si>
    <t>연근채</t>
    <phoneticPr fontId="7" type="noConversion"/>
  </si>
  <si>
    <t>연근,생것</t>
  </si>
  <si>
    <t>연근</t>
  </si>
  <si>
    <t>오이</t>
  </si>
  <si>
    <t>오이생것, 개량종</t>
  </si>
  <si>
    <t>오이지</t>
  </si>
  <si>
    <t>오이피클</t>
  </si>
  <si>
    <t>콩조림</t>
    <phoneticPr fontId="7" type="noConversion"/>
  </si>
  <si>
    <t>완두콩,통조림</t>
  </si>
  <si>
    <t>완두콩캔</t>
  </si>
  <si>
    <t>삶은우엉</t>
  </si>
  <si>
    <t>우엉,삶은것</t>
  </si>
  <si>
    <t>우엉</t>
  </si>
  <si>
    <t>우엉,생것</t>
  </si>
  <si>
    <t>유채</t>
  </si>
  <si>
    <t>유채, 잎</t>
  </si>
  <si>
    <t>죽순</t>
  </si>
  <si>
    <t>죽순통조림</t>
  </si>
  <si>
    <t>참나물</t>
  </si>
  <si>
    <t>참나물, 산채, 생것</t>
  </si>
  <si>
    <t>청경채</t>
  </si>
  <si>
    <t>청경채,중국채소</t>
  </si>
  <si>
    <t>취나물</t>
  </si>
  <si>
    <t>취나물,생것</t>
  </si>
  <si>
    <t>치커리뿌리</t>
  </si>
  <si>
    <t>치커리</t>
  </si>
  <si>
    <t>치커리잎</t>
  </si>
  <si>
    <t>케일</t>
  </si>
  <si>
    <t>두절콩나물</t>
  </si>
  <si>
    <t>두절콩나물</t>
    <phoneticPr fontId="7" type="noConversion"/>
  </si>
  <si>
    <t>콩나물</t>
  </si>
  <si>
    <t>콩잎</t>
  </si>
  <si>
    <t>건토란대</t>
  </si>
  <si>
    <t>토란대, 말린것</t>
  </si>
  <si>
    <t>삶은토란대</t>
  </si>
  <si>
    <t>토란대, 삶은것</t>
  </si>
  <si>
    <t>토란대</t>
  </si>
  <si>
    <t>토란대, 생것</t>
  </si>
  <si>
    <t>케첩</t>
  </si>
  <si>
    <t>토마토</t>
  </si>
  <si>
    <t>무농약주스</t>
    <phoneticPr fontId="7" type="noConversion"/>
  </si>
  <si>
    <t>토마토생것</t>
  </si>
  <si>
    <t>토마토페이스트</t>
  </si>
  <si>
    <t>토마토페이스트통조림</t>
  </si>
  <si>
    <t>토마토퓨레</t>
  </si>
  <si>
    <t>대파채</t>
    <phoneticPr fontId="7" type="noConversion"/>
  </si>
  <si>
    <t>파</t>
  </si>
  <si>
    <t>대파</t>
  </si>
  <si>
    <t>중파</t>
  </si>
  <si>
    <t>파슬리</t>
  </si>
  <si>
    <t>홍피망</t>
  </si>
  <si>
    <t>피망,붉은것</t>
  </si>
  <si>
    <t>청피망</t>
  </si>
  <si>
    <t>피망,푸른것</t>
  </si>
  <si>
    <t>호박,개량종,생것</t>
    <phoneticPr fontId="7" type="noConversion"/>
  </si>
  <si>
    <t>늙은호박</t>
    <phoneticPr fontId="7" type="noConversion"/>
  </si>
  <si>
    <t>호박,늙은호박,생것</t>
  </si>
  <si>
    <t>단호박</t>
    <phoneticPr fontId="7" type="noConversion"/>
  </si>
  <si>
    <t>호박, 단호박, 손질</t>
    <phoneticPr fontId="7" type="noConversion"/>
  </si>
  <si>
    <t>애호박</t>
  </si>
  <si>
    <t>호박,애호박,생것</t>
  </si>
  <si>
    <t>애호박고지</t>
  </si>
  <si>
    <t>호박,애호박,호박고지</t>
  </si>
  <si>
    <t>호박나물</t>
  </si>
  <si>
    <t>호박,호박나물</t>
  </si>
  <si>
    <t>호박잎</t>
  </si>
  <si>
    <t>호박,호박잎,생것</t>
  </si>
  <si>
    <t>패류</t>
  </si>
  <si>
    <t>가리비</t>
  </si>
  <si>
    <t>가리비 생것</t>
  </si>
  <si>
    <t>골뱅이캔</t>
  </si>
  <si>
    <t>골뱅이,통조림매끈이고둥</t>
  </si>
  <si>
    <t>꼬막</t>
  </si>
  <si>
    <t>대합</t>
    <phoneticPr fontId="7" type="noConversion"/>
  </si>
  <si>
    <t>대합생것</t>
  </si>
  <si>
    <t>바지락</t>
  </si>
  <si>
    <t>바지락생것</t>
  </si>
  <si>
    <t>비단가리비</t>
  </si>
  <si>
    <t>굴</t>
  </si>
  <si>
    <t>석굴생것</t>
  </si>
  <si>
    <t>소라</t>
  </si>
  <si>
    <t>소라생것</t>
  </si>
  <si>
    <t>소라통조림</t>
  </si>
  <si>
    <t>우럭</t>
  </si>
  <si>
    <t>재첩</t>
  </si>
  <si>
    <t>전복</t>
  </si>
  <si>
    <t>전복생것</t>
  </si>
  <si>
    <t>조개젓</t>
  </si>
  <si>
    <t>모시조개</t>
  </si>
  <si>
    <t>조개</t>
  </si>
  <si>
    <t>왕우럭조개</t>
  </si>
  <si>
    <t>진주조개</t>
  </si>
  <si>
    <t>새꼬막</t>
  </si>
  <si>
    <t>조개,새꼬막</t>
  </si>
  <si>
    <t>피조개</t>
  </si>
  <si>
    <t>조개,생것, 양식</t>
  </si>
  <si>
    <t>비단조개</t>
  </si>
  <si>
    <t>조개,접시조개,</t>
  </si>
  <si>
    <t>뻘조개</t>
  </si>
  <si>
    <t>조개,펄조개</t>
  </si>
  <si>
    <t>조개살</t>
  </si>
  <si>
    <t>조개살,생것</t>
  </si>
  <si>
    <t>키조개</t>
  </si>
  <si>
    <t>조개생것, 양식</t>
  </si>
  <si>
    <t>참굴</t>
  </si>
  <si>
    <t>참굴, 양식</t>
  </si>
  <si>
    <t>홍합자건품</t>
  </si>
  <si>
    <t>홍합</t>
  </si>
  <si>
    <t>홍합통조림</t>
  </si>
  <si>
    <t>홍합생것</t>
  </si>
  <si>
    <t>골뱅이</t>
  </si>
  <si>
    <t>돌김</t>
  </si>
  <si>
    <t>김</t>
  </si>
  <si>
    <t>구운김</t>
    <phoneticPr fontId="7" type="noConversion"/>
  </si>
  <si>
    <t>김가루</t>
  </si>
  <si>
    <t>김, 구운김</t>
  </si>
  <si>
    <t>김밥용김</t>
  </si>
  <si>
    <t>양반김</t>
  </si>
  <si>
    <t>김, 동원산업</t>
  </si>
  <si>
    <t>마른김</t>
  </si>
  <si>
    <t>김, 마른김</t>
  </si>
  <si>
    <t>김, 맛김</t>
  </si>
  <si>
    <t>고추맛김</t>
    <phoneticPr fontId="7" type="noConversion"/>
  </si>
  <si>
    <t>김, 샘초롱</t>
  </si>
  <si>
    <t>줄줄이김</t>
  </si>
  <si>
    <t>조선김</t>
  </si>
  <si>
    <t>김, 조선김</t>
  </si>
  <si>
    <t>초밥김</t>
  </si>
  <si>
    <t>김,초밥용</t>
  </si>
  <si>
    <t>꼬시래기</t>
  </si>
  <si>
    <t>건다시마</t>
  </si>
  <si>
    <t>다시마, 말린것</t>
  </si>
  <si>
    <t>쌈다시마</t>
    <phoneticPr fontId="7" type="noConversion"/>
  </si>
  <si>
    <t>다시마</t>
    <phoneticPr fontId="7" type="noConversion"/>
  </si>
  <si>
    <t>다시마, 생것</t>
  </si>
  <si>
    <t>염장다시마</t>
  </si>
  <si>
    <t>다시마,염장</t>
  </si>
  <si>
    <t>다시마튀각</t>
  </si>
  <si>
    <t>다시마튀김</t>
  </si>
  <si>
    <t>물미역</t>
    <phoneticPr fontId="7" type="noConversion"/>
  </si>
  <si>
    <t>미역 생것, 양식</t>
  </si>
  <si>
    <t>김부각</t>
    <phoneticPr fontId="7" type="noConversion"/>
  </si>
  <si>
    <t>미역 튀각</t>
  </si>
  <si>
    <t>건미역</t>
  </si>
  <si>
    <t>미역, 말린것</t>
  </si>
  <si>
    <t>미역줄기</t>
  </si>
  <si>
    <t>미역줄기, 염장품</t>
  </si>
  <si>
    <t>해초</t>
    <phoneticPr fontId="7" type="noConversion"/>
  </si>
  <si>
    <t>염장미역</t>
  </si>
  <si>
    <t>우뭇가사리</t>
  </si>
  <si>
    <t>우뭇가사리, 생것</t>
  </si>
  <si>
    <t>한천</t>
  </si>
  <si>
    <t>우뭇가사리, 한천</t>
  </si>
  <si>
    <t xml:space="preserve">건청각 </t>
  </si>
  <si>
    <t>청각, 말린것</t>
  </si>
  <si>
    <t xml:space="preserve">청각 </t>
  </si>
  <si>
    <t>청각, 생것</t>
  </si>
  <si>
    <t>순대비엔나6</t>
    <phoneticPr fontId="7" type="noConversion"/>
  </si>
  <si>
    <t>톳, 생것</t>
  </si>
  <si>
    <t>일회용머스타드</t>
    <phoneticPr fontId="7" type="noConversion"/>
  </si>
  <si>
    <t>파래</t>
  </si>
  <si>
    <t>파래자반</t>
    <phoneticPr fontId="7" type="noConversion"/>
  </si>
  <si>
    <t>파래, 말린것</t>
  </si>
  <si>
    <t>건파래</t>
  </si>
  <si>
    <t>모듬콩</t>
  </si>
  <si>
    <t>두보식품</t>
  </si>
  <si>
    <t>떡국떡</t>
  </si>
  <si>
    <t>떡, 멥쌀</t>
  </si>
  <si>
    <t>새알</t>
    <phoneticPr fontId="7" type="noConversion"/>
  </si>
  <si>
    <t>떡꼬치</t>
    <phoneticPr fontId="7" type="noConversion"/>
  </si>
  <si>
    <t>야채튀김</t>
  </si>
  <si>
    <t>참맛, 완제품</t>
  </si>
  <si>
    <t>야채고로케</t>
    <phoneticPr fontId="7" type="noConversion"/>
  </si>
  <si>
    <t>리얼그릴크림치즈미트번</t>
    <phoneticPr fontId="7" type="noConversion"/>
  </si>
  <si>
    <t>갯장어</t>
  </si>
  <si>
    <t>젓새우</t>
    <phoneticPr fontId="7" type="noConversion"/>
  </si>
  <si>
    <t>게다리맛살</t>
  </si>
  <si>
    <t>크래미</t>
    <phoneticPr fontId="7" type="noConversion"/>
  </si>
  <si>
    <t>겨자분</t>
  </si>
  <si>
    <t>굴소스</t>
  </si>
  <si>
    <t>김치전</t>
  </si>
  <si>
    <t>깐계란</t>
  </si>
  <si>
    <t>깻잎지</t>
    <phoneticPr fontId="7" type="noConversion"/>
  </si>
  <si>
    <t>돈불</t>
    <phoneticPr fontId="7" type="noConversion"/>
  </si>
  <si>
    <t>닭살</t>
  </si>
  <si>
    <t>닭모래집</t>
    <phoneticPr fontId="7" type="noConversion"/>
  </si>
  <si>
    <t>닭북채</t>
    <phoneticPr fontId="7" type="noConversion"/>
  </si>
  <si>
    <t>닭가슴살</t>
    <phoneticPr fontId="7" type="noConversion"/>
  </si>
  <si>
    <t>닭토막</t>
  </si>
  <si>
    <t>데미그레이스소스</t>
  </si>
  <si>
    <t>머스타드</t>
    <phoneticPr fontId="7" type="noConversion"/>
  </si>
  <si>
    <t>목이버섯</t>
  </si>
  <si>
    <t>목이버섯,말린것</t>
    <phoneticPr fontId="7" type="noConversion"/>
  </si>
  <si>
    <t>느타리버섯</t>
    <phoneticPr fontId="7" type="noConversion"/>
  </si>
  <si>
    <t>방울토마토</t>
  </si>
  <si>
    <t>새우살</t>
  </si>
  <si>
    <t>생크림</t>
  </si>
  <si>
    <t>순대</t>
  </si>
  <si>
    <t>슬라이스순대</t>
    <phoneticPr fontId="7" type="noConversion"/>
  </si>
  <si>
    <t>누드순대</t>
    <phoneticPr fontId="7" type="noConversion"/>
  </si>
  <si>
    <t>삼각떡갈비</t>
    <phoneticPr fontId="7" type="noConversion"/>
  </si>
  <si>
    <t>숯불떡갈비</t>
  </si>
  <si>
    <t>옥수수캔</t>
  </si>
  <si>
    <t>우스타소스</t>
    <phoneticPr fontId="7" type="noConversion"/>
  </si>
  <si>
    <t>우엉채</t>
  </si>
  <si>
    <t>조랑떡</t>
  </si>
  <si>
    <t>치킨파우더</t>
    <phoneticPr fontId="7" type="noConversion"/>
  </si>
  <si>
    <t>초코돈까스</t>
  </si>
  <si>
    <t>치킨볼</t>
    <phoneticPr fontId="7" type="noConversion"/>
  </si>
  <si>
    <t>치킨너겟</t>
  </si>
  <si>
    <t>치키치키</t>
    <phoneticPr fontId="7" type="noConversion"/>
  </si>
  <si>
    <t>미니슈가볼</t>
    <phoneticPr fontId="7" type="noConversion"/>
  </si>
  <si>
    <t>코다리</t>
    <phoneticPr fontId="7" type="noConversion"/>
  </si>
  <si>
    <t>타바스코소스</t>
  </si>
  <si>
    <t>계피가루</t>
    <phoneticPr fontId="7" type="noConversion"/>
  </si>
  <si>
    <t>계피</t>
  </si>
  <si>
    <t>오렌지주스</t>
  </si>
  <si>
    <t>유자주스</t>
    <phoneticPr fontId="7" type="noConversion"/>
  </si>
  <si>
    <t>오렌지자몽주스</t>
    <phoneticPr fontId="7" type="noConversion"/>
  </si>
  <si>
    <t>델몬트</t>
    <phoneticPr fontId="7" type="noConversion"/>
  </si>
  <si>
    <t>머스켓에이드</t>
    <phoneticPr fontId="7" type="noConversion"/>
  </si>
  <si>
    <t>스콜</t>
    <phoneticPr fontId="7" type="noConversion"/>
  </si>
  <si>
    <t>팝콘치킨</t>
    <phoneticPr fontId="7" type="noConversion"/>
  </si>
  <si>
    <t>롯데</t>
  </si>
  <si>
    <t>케이준치킨너겟</t>
    <phoneticPr fontId="7" type="noConversion"/>
  </si>
  <si>
    <t>사각어묵</t>
    <phoneticPr fontId="7" type="noConversion"/>
  </si>
  <si>
    <t>꼬지어묵</t>
    <phoneticPr fontId="7" type="noConversion"/>
  </si>
  <si>
    <t>숯불구이꼬지</t>
    <phoneticPr fontId="7" type="noConversion"/>
  </si>
  <si>
    <t>소이라떼-딸기맛</t>
    <phoneticPr fontId="7" type="noConversion"/>
  </si>
  <si>
    <t>쇠고기</t>
    <phoneticPr fontId="7" type="noConversion"/>
  </si>
  <si>
    <t>하이스분</t>
    <phoneticPr fontId="7" type="noConversion"/>
  </si>
  <si>
    <t>수삼</t>
    <phoneticPr fontId="7" type="noConversion"/>
  </si>
  <si>
    <t>꼬치꼬치</t>
    <phoneticPr fontId="7" type="noConversion"/>
  </si>
  <si>
    <t>왕꼬치구이</t>
    <phoneticPr fontId="7" type="noConversion"/>
  </si>
  <si>
    <t>해물야채튀김</t>
    <phoneticPr fontId="7" type="noConversion"/>
  </si>
  <si>
    <t>햄에그까스</t>
    <phoneticPr fontId="7" type="noConversion"/>
  </si>
  <si>
    <t>해물까스</t>
    <phoneticPr fontId="7" type="noConversion"/>
  </si>
  <si>
    <t>오징어까스</t>
    <phoneticPr fontId="7" type="noConversion"/>
  </si>
  <si>
    <t>두부날치알샌드</t>
    <phoneticPr fontId="7" type="noConversion"/>
  </si>
  <si>
    <t>해물경단</t>
    <phoneticPr fontId="7" type="noConversion"/>
  </si>
  <si>
    <t>한우잡뼈</t>
    <phoneticPr fontId="7" type="noConversion"/>
  </si>
  <si>
    <t>리이브</t>
    <phoneticPr fontId="7" type="noConversion"/>
  </si>
  <si>
    <t>바나나우유</t>
    <phoneticPr fontId="7" type="noConversion"/>
  </si>
  <si>
    <t>새우미니까스</t>
    <phoneticPr fontId="7" type="noConversion"/>
  </si>
  <si>
    <t>양대콩</t>
    <phoneticPr fontId="7" type="noConversion"/>
  </si>
  <si>
    <t>피자맛델리스틱</t>
    <phoneticPr fontId="7" type="noConversion"/>
  </si>
  <si>
    <t>햄버거패티</t>
    <phoneticPr fontId="7" type="noConversion"/>
  </si>
  <si>
    <t>크랩버거까스</t>
    <phoneticPr fontId="7" type="noConversion"/>
  </si>
  <si>
    <t>고등어캔</t>
    <phoneticPr fontId="7" type="noConversion"/>
  </si>
  <si>
    <t>열무</t>
    <phoneticPr fontId="7" type="noConversion"/>
  </si>
  <si>
    <t>봄동배추</t>
    <phoneticPr fontId="7" type="noConversion"/>
  </si>
  <si>
    <t>동초</t>
    <phoneticPr fontId="7" type="noConversion"/>
  </si>
  <si>
    <t>가오리채</t>
    <phoneticPr fontId="7" type="noConversion"/>
  </si>
  <si>
    <t>맥적</t>
    <phoneticPr fontId="7" type="noConversion"/>
  </si>
  <si>
    <t>돼지잡뼈,돼지등뼈</t>
    <phoneticPr fontId="7" type="noConversion"/>
  </si>
  <si>
    <t>국배추</t>
    <phoneticPr fontId="7" type="noConversion"/>
  </si>
  <si>
    <t>가문어살</t>
    <phoneticPr fontId="7" type="noConversion"/>
  </si>
  <si>
    <t>건맛살</t>
    <phoneticPr fontId="7" type="noConversion"/>
  </si>
  <si>
    <t>너비아니</t>
    <phoneticPr fontId="7" type="noConversion"/>
  </si>
  <si>
    <t>새송이가리병</t>
    <phoneticPr fontId="7" type="noConversion"/>
  </si>
  <si>
    <t>부추전</t>
    <phoneticPr fontId="7" type="noConversion"/>
  </si>
  <si>
    <t>화인쿨</t>
    <phoneticPr fontId="7" type="noConversion"/>
  </si>
  <si>
    <t>고기산적</t>
    <phoneticPr fontId="7" type="noConversion"/>
  </si>
  <si>
    <t>고기산적,냉동</t>
    <phoneticPr fontId="7" type="noConversion"/>
  </si>
  <si>
    <t>흑미떡갈비</t>
    <phoneticPr fontId="7" type="noConversion"/>
  </si>
  <si>
    <t>두부까스</t>
    <phoneticPr fontId="7" type="noConversion"/>
  </si>
  <si>
    <t>참파</t>
    <phoneticPr fontId="7" type="noConversion"/>
  </si>
  <si>
    <t>오징어채</t>
    <phoneticPr fontId="7" type="noConversion"/>
  </si>
  <si>
    <t>닭단각</t>
    <phoneticPr fontId="7" type="noConversion"/>
  </si>
  <si>
    <t>닭고기,다리,날것</t>
    <phoneticPr fontId="7" type="noConversion"/>
  </si>
  <si>
    <t>장각</t>
    <phoneticPr fontId="7" type="noConversion"/>
  </si>
  <si>
    <t>닭다리</t>
    <phoneticPr fontId="7" type="noConversion"/>
  </si>
  <si>
    <t>풋고추튀김</t>
    <phoneticPr fontId="7" type="noConversion"/>
  </si>
  <si>
    <t>후랑크소세지</t>
    <phoneticPr fontId="7" type="noConversion"/>
  </si>
  <si>
    <t>캔터키후랑크</t>
    <phoneticPr fontId="7" type="noConversion"/>
  </si>
  <si>
    <t>소시지</t>
    <phoneticPr fontId="7" type="noConversion"/>
  </si>
  <si>
    <t>참치까스</t>
    <phoneticPr fontId="7" type="noConversion"/>
  </si>
  <si>
    <t>치킨까스</t>
    <phoneticPr fontId="7" type="noConversion"/>
  </si>
  <si>
    <t>치킨치즈까스</t>
    <phoneticPr fontId="7" type="noConversion"/>
  </si>
  <si>
    <t>닭도리육</t>
    <phoneticPr fontId="7" type="noConversion"/>
  </si>
  <si>
    <t>훈제오리</t>
    <phoneticPr fontId="7" type="noConversion"/>
  </si>
  <si>
    <t>오리로스</t>
    <phoneticPr fontId="7" type="noConversion"/>
  </si>
  <si>
    <t>비엔나케잌</t>
    <phoneticPr fontId="7" type="noConversion"/>
  </si>
  <si>
    <t>치과어묵</t>
    <phoneticPr fontId="7" type="noConversion"/>
  </si>
  <si>
    <t>명태피</t>
    <phoneticPr fontId="7" type="noConversion"/>
  </si>
  <si>
    <t>고추잡채말이</t>
    <phoneticPr fontId="7" type="noConversion"/>
  </si>
  <si>
    <t>치즈함박</t>
    <phoneticPr fontId="7" type="noConversion"/>
  </si>
  <si>
    <t>과일함박</t>
    <phoneticPr fontId="7" type="noConversion"/>
  </si>
  <si>
    <t>어니언함박스테이크</t>
    <phoneticPr fontId="7" type="noConversion"/>
  </si>
  <si>
    <t>스테이크</t>
    <phoneticPr fontId="7" type="noConversion"/>
  </si>
  <si>
    <t>함박스테이크</t>
    <phoneticPr fontId="7" type="noConversion"/>
  </si>
  <si>
    <t>립스테이크</t>
    <phoneticPr fontId="7" type="noConversion"/>
  </si>
  <si>
    <t>핫스테이크</t>
    <phoneticPr fontId="7" type="noConversion"/>
  </si>
  <si>
    <t>디럭스함박</t>
    <phoneticPr fontId="7" type="noConversion"/>
  </si>
  <si>
    <t>우잡뼈</t>
    <phoneticPr fontId="7" type="noConversion"/>
  </si>
  <si>
    <t>마늘</t>
    <phoneticPr fontId="7" type="noConversion"/>
  </si>
  <si>
    <t>도너츠</t>
    <phoneticPr fontId="7" type="noConversion"/>
  </si>
  <si>
    <t>건빵</t>
    <phoneticPr fontId="7" type="noConversion"/>
  </si>
  <si>
    <t>첵스초코</t>
    <phoneticPr fontId="7" type="noConversion"/>
  </si>
  <si>
    <t>사과주스</t>
    <phoneticPr fontId="7" type="noConversion"/>
  </si>
  <si>
    <t>피크닉</t>
    <phoneticPr fontId="7" type="noConversion"/>
  </si>
  <si>
    <t>엽채</t>
    <phoneticPr fontId="7" type="noConversion"/>
  </si>
  <si>
    <t>버터구이</t>
    <phoneticPr fontId="7" type="noConversion"/>
  </si>
  <si>
    <t>고추부각</t>
    <phoneticPr fontId="7" type="noConversion"/>
  </si>
  <si>
    <t>건고추</t>
    <phoneticPr fontId="7" type="noConversion"/>
  </si>
  <si>
    <t>그린비타민</t>
    <phoneticPr fontId="7" type="noConversion"/>
  </si>
  <si>
    <t>파래생선까스</t>
    <phoneticPr fontId="7" type="noConversion"/>
  </si>
  <si>
    <t>클로렐라생선까스</t>
    <phoneticPr fontId="7" type="noConversion"/>
  </si>
  <si>
    <t>야채춘권</t>
    <phoneticPr fontId="7" type="noConversion"/>
  </si>
  <si>
    <t>사모사춘권</t>
    <phoneticPr fontId="7" type="noConversion"/>
  </si>
  <si>
    <t>카레춘권</t>
    <phoneticPr fontId="7" type="noConversion"/>
  </si>
  <si>
    <t>두부크런치</t>
    <phoneticPr fontId="7" type="noConversion"/>
  </si>
  <si>
    <t>미니돈까스</t>
    <phoneticPr fontId="7" type="noConversion"/>
  </si>
  <si>
    <t>떡볶이맛만두</t>
    <phoneticPr fontId="7" type="noConversion"/>
  </si>
  <si>
    <t>군만두</t>
    <phoneticPr fontId="7" type="noConversion"/>
  </si>
  <si>
    <t>파인스</t>
    <phoneticPr fontId="7" type="noConversion"/>
  </si>
  <si>
    <t>고디</t>
    <phoneticPr fontId="7" type="noConversion"/>
  </si>
  <si>
    <t>오귀</t>
    <phoneticPr fontId="7" type="noConversion"/>
  </si>
  <si>
    <t>닭봉</t>
    <phoneticPr fontId="7" type="noConversion"/>
  </si>
  <si>
    <t>혼식</t>
    <phoneticPr fontId="7" type="noConversion"/>
  </si>
  <si>
    <t>오징어볼</t>
    <phoneticPr fontId="7" type="noConversion"/>
  </si>
  <si>
    <t>깐풍기</t>
    <phoneticPr fontId="7" type="noConversion"/>
  </si>
  <si>
    <t>왕새우</t>
    <phoneticPr fontId="7" type="noConversion"/>
  </si>
  <si>
    <t>샌드위치</t>
    <phoneticPr fontId="7" type="noConversion"/>
  </si>
  <si>
    <t>햄과 치즈</t>
    <phoneticPr fontId="7" type="noConversion"/>
  </si>
  <si>
    <t>황태갈비산적</t>
    <phoneticPr fontId="7" type="noConversion"/>
  </si>
  <si>
    <t>갈비산적</t>
    <phoneticPr fontId="7" type="noConversion"/>
  </si>
  <si>
    <t>김치만두</t>
    <phoneticPr fontId="7" type="noConversion"/>
  </si>
  <si>
    <t>냉동만두</t>
    <phoneticPr fontId="7" type="noConversion"/>
  </si>
  <si>
    <t>찹쌀군만두</t>
    <phoneticPr fontId="7" type="noConversion"/>
  </si>
  <si>
    <t>납작만두</t>
    <phoneticPr fontId="7" type="noConversion"/>
  </si>
  <si>
    <t>김치경단</t>
    <phoneticPr fontId="7" type="noConversion"/>
  </si>
  <si>
    <t>오징어미니까스</t>
    <phoneticPr fontId="7" type="noConversion"/>
  </si>
  <si>
    <t>오징어고로케</t>
    <phoneticPr fontId="7" type="noConversion"/>
  </si>
  <si>
    <t>집게맛살</t>
    <phoneticPr fontId="7" type="noConversion"/>
  </si>
  <si>
    <t>집게맛살,냉동</t>
    <phoneticPr fontId="7" type="noConversion"/>
  </si>
  <si>
    <t>성분!!</t>
    <phoneticPr fontId="7" type="noConversion"/>
  </si>
  <si>
    <t>함박</t>
    <phoneticPr fontId="7" type="noConversion"/>
  </si>
  <si>
    <t>우불고기</t>
    <phoneticPr fontId="7" type="noConversion"/>
  </si>
  <si>
    <t>우국거리</t>
    <phoneticPr fontId="7" type="noConversion"/>
  </si>
  <si>
    <t>사각바</t>
    <phoneticPr fontId="7" type="noConversion"/>
  </si>
  <si>
    <t>오징어바</t>
    <phoneticPr fontId="7" type="noConversion"/>
  </si>
  <si>
    <t>계란지단</t>
    <phoneticPr fontId="7" type="noConversion"/>
  </si>
  <si>
    <t>치즈돈까스</t>
    <phoneticPr fontId="7" type="noConversion"/>
  </si>
  <si>
    <t>히레까스</t>
    <phoneticPr fontId="7" type="noConversion"/>
  </si>
  <si>
    <t>수제돈까스</t>
    <phoneticPr fontId="7" type="noConversion"/>
  </si>
  <si>
    <t>조리가공품</t>
    <phoneticPr fontId="7" type="noConversion"/>
  </si>
  <si>
    <t>순살돈까스</t>
    <phoneticPr fontId="7" type="noConversion"/>
  </si>
  <si>
    <t>두부코코넛치킨까스</t>
    <phoneticPr fontId="7" type="noConversion"/>
  </si>
  <si>
    <t>치즈순살돈까스</t>
    <phoneticPr fontId="7" type="noConversion"/>
  </si>
  <si>
    <t>영콘</t>
    <phoneticPr fontId="7" type="noConversion"/>
  </si>
  <si>
    <t>홍합살</t>
    <phoneticPr fontId="7" type="noConversion"/>
  </si>
  <si>
    <t>맥두까스</t>
    <phoneticPr fontId="7" type="noConversion"/>
  </si>
  <si>
    <t>알어묵</t>
    <phoneticPr fontId="7" type="noConversion"/>
  </si>
  <si>
    <t>누네띠네</t>
    <phoneticPr fontId="7" type="noConversion"/>
  </si>
  <si>
    <t>부드러운쿠키</t>
    <phoneticPr fontId="7" type="noConversion"/>
  </si>
  <si>
    <t>초코칩쿠키</t>
    <phoneticPr fontId="7" type="noConversion"/>
  </si>
  <si>
    <t>사과잼쿠키</t>
    <phoneticPr fontId="7" type="noConversion"/>
  </si>
  <si>
    <t>우리밀흑미아몬드쿠키</t>
    <phoneticPr fontId="7" type="noConversion"/>
  </si>
  <si>
    <t>치즈케익</t>
    <phoneticPr fontId="7" type="noConversion"/>
  </si>
  <si>
    <t>딸기케익</t>
    <phoneticPr fontId="7" type="noConversion"/>
  </si>
  <si>
    <t>미니치즈케익</t>
    <phoneticPr fontId="7" type="noConversion"/>
  </si>
  <si>
    <t>허브잡채말이</t>
    <phoneticPr fontId="7" type="noConversion"/>
  </si>
  <si>
    <t>스위플레드오렌지주스</t>
  </si>
  <si>
    <t>델몬트팩</t>
    <phoneticPr fontId="7" type="noConversion"/>
  </si>
  <si>
    <t>명엽채</t>
    <phoneticPr fontId="7" type="noConversion"/>
  </si>
  <si>
    <t>분홍소세지</t>
    <phoneticPr fontId="7" type="noConversion"/>
  </si>
  <si>
    <t>옥수수맛탕</t>
    <phoneticPr fontId="7" type="noConversion"/>
  </si>
  <si>
    <t>고구마맛탕</t>
    <phoneticPr fontId="7" type="noConversion"/>
  </si>
  <si>
    <t>오징어실채</t>
    <phoneticPr fontId="7" type="noConversion"/>
  </si>
  <si>
    <t>돈찌개</t>
    <phoneticPr fontId="7" type="noConversion"/>
  </si>
  <si>
    <t>오복지</t>
    <phoneticPr fontId="7" type="noConversion"/>
  </si>
  <si>
    <t>돈카레</t>
    <phoneticPr fontId="7" type="noConversion"/>
  </si>
  <si>
    <t>와플</t>
    <phoneticPr fontId="7" type="noConversion"/>
  </si>
  <si>
    <t>크로와상</t>
    <phoneticPr fontId="7" type="noConversion"/>
  </si>
  <si>
    <t>미니찐빵</t>
    <phoneticPr fontId="7" type="noConversion"/>
  </si>
  <si>
    <t>돈짜장</t>
    <phoneticPr fontId="7" type="noConversion"/>
  </si>
  <si>
    <t>펜네</t>
    <phoneticPr fontId="7" type="noConversion"/>
  </si>
  <si>
    <t>파스타</t>
    <phoneticPr fontId="7" type="noConversion"/>
  </si>
  <si>
    <t>모양떡</t>
    <phoneticPr fontId="7" type="noConversion"/>
  </si>
  <si>
    <t>하트떡</t>
    <phoneticPr fontId="7" type="noConversion"/>
  </si>
  <si>
    <t>떡튀김</t>
    <phoneticPr fontId="7" type="noConversion"/>
  </si>
  <si>
    <t>가래떡</t>
    <phoneticPr fontId="7" type="noConversion"/>
  </si>
  <si>
    <t>청파래오징어까스</t>
    <phoneticPr fontId="7" type="noConversion"/>
  </si>
  <si>
    <t>꽃빵</t>
    <phoneticPr fontId="7" type="noConversion"/>
  </si>
  <si>
    <t>잡채해물완자</t>
    <phoneticPr fontId="7" type="noConversion"/>
  </si>
  <si>
    <t>궁중고기말이</t>
    <phoneticPr fontId="7" type="noConversion"/>
  </si>
  <si>
    <t>칠리소스</t>
    <phoneticPr fontId="7" type="noConversion"/>
  </si>
  <si>
    <t>카스타드</t>
    <phoneticPr fontId="7" type="noConversion"/>
  </si>
  <si>
    <t>옥수수고로케</t>
    <phoneticPr fontId="7" type="noConversion"/>
  </si>
  <si>
    <t>찐빵</t>
    <phoneticPr fontId="7" type="noConversion"/>
  </si>
  <si>
    <t>왕찐빵</t>
    <phoneticPr fontId="7" type="noConversion"/>
  </si>
  <si>
    <t>쪽파</t>
    <phoneticPr fontId="7" type="noConversion"/>
  </si>
  <si>
    <t>키위드레싱</t>
    <phoneticPr fontId="7" type="noConversion"/>
  </si>
  <si>
    <t>배추시래기</t>
    <phoneticPr fontId="7" type="noConversion"/>
  </si>
  <si>
    <t>물파래</t>
    <phoneticPr fontId="7" type="noConversion"/>
  </si>
  <si>
    <t>실곤약</t>
    <phoneticPr fontId="7" type="noConversion"/>
  </si>
  <si>
    <t>곤약,국수형</t>
    <phoneticPr fontId="7" type="noConversion"/>
  </si>
  <si>
    <t>냉면면</t>
    <phoneticPr fontId="7" type="noConversion"/>
  </si>
  <si>
    <t>냉면,메밀냉면</t>
    <phoneticPr fontId="7" type="noConversion"/>
  </si>
  <si>
    <t>딸기원액</t>
    <phoneticPr fontId="7" type="noConversion"/>
  </si>
  <si>
    <t>키위원액</t>
    <phoneticPr fontId="7" type="noConversion"/>
  </si>
  <si>
    <t>청상추</t>
    <phoneticPr fontId="7" type="noConversion"/>
  </si>
  <si>
    <t>청상추,엽상추</t>
    <phoneticPr fontId="7" type="noConversion"/>
  </si>
  <si>
    <t>얼갈이배추</t>
    <phoneticPr fontId="7" type="noConversion"/>
  </si>
  <si>
    <t>김자반</t>
    <phoneticPr fontId="7" type="noConversion"/>
  </si>
  <si>
    <t>맛김가루</t>
    <phoneticPr fontId="7" type="noConversion"/>
  </si>
  <si>
    <t>조미김가루</t>
    <phoneticPr fontId="7" type="noConversion"/>
  </si>
  <si>
    <t>해물동그랑땡</t>
    <phoneticPr fontId="7" type="noConversion"/>
  </si>
  <si>
    <t>쫄면면</t>
    <phoneticPr fontId="7" type="noConversion"/>
  </si>
  <si>
    <t>돈후지</t>
    <phoneticPr fontId="7" type="noConversion"/>
  </si>
  <si>
    <t>돼지후지</t>
    <phoneticPr fontId="7" type="noConversion"/>
  </si>
  <si>
    <t>쿨피스</t>
    <phoneticPr fontId="7" type="noConversion"/>
  </si>
  <si>
    <t>떠먹는요플레</t>
    <phoneticPr fontId="7" type="noConversion"/>
  </si>
  <si>
    <t>두반장</t>
    <phoneticPr fontId="7" type="noConversion"/>
  </si>
  <si>
    <t>미니핫도그</t>
    <phoneticPr fontId="7" type="noConversion"/>
  </si>
  <si>
    <t>닭정육</t>
    <phoneticPr fontId="7" type="noConversion"/>
  </si>
  <si>
    <t>뼈없는 닭다리 살</t>
    <phoneticPr fontId="7" type="noConversion"/>
  </si>
  <si>
    <t>깐마늘지</t>
    <phoneticPr fontId="7" type="noConversion"/>
  </si>
  <si>
    <t>꿀떡</t>
    <phoneticPr fontId="7" type="noConversion"/>
  </si>
  <si>
    <t>소갈비</t>
    <phoneticPr fontId="7" type="noConversion"/>
  </si>
  <si>
    <t>지리멸치</t>
    <phoneticPr fontId="7" type="noConversion"/>
  </si>
  <si>
    <t>멸치</t>
    <phoneticPr fontId="7" type="noConversion"/>
  </si>
  <si>
    <t>깨찰빵</t>
    <phoneticPr fontId="7" type="noConversion"/>
  </si>
  <si>
    <t>닭뼈</t>
    <phoneticPr fontId="7" type="noConversion"/>
  </si>
  <si>
    <t>샤베트</t>
    <phoneticPr fontId="7" type="noConversion"/>
  </si>
  <si>
    <t>동치미육수</t>
    <phoneticPr fontId="7" type="noConversion"/>
  </si>
  <si>
    <t>오렌지나무쥬스</t>
    <phoneticPr fontId="7" type="noConversion"/>
  </si>
  <si>
    <t>초코브라우니</t>
    <phoneticPr fontId="7" type="noConversion"/>
  </si>
  <si>
    <t>쌀떡</t>
    <phoneticPr fontId="7" type="noConversion"/>
  </si>
  <si>
    <t>멘츠카츠</t>
    <phoneticPr fontId="7" type="noConversion"/>
  </si>
  <si>
    <t>급식학생수</t>
    <phoneticPr fontId="7" type="noConversion"/>
  </si>
  <si>
    <t>총계</t>
    <phoneticPr fontId="7" type="noConversion"/>
  </si>
  <si>
    <t>구분</t>
    <phoneticPr fontId="7" type="noConversion"/>
  </si>
  <si>
    <t>기준량</t>
    <phoneticPr fontId="7" type="noConversion"/>
  </si>
  <si>
    <t>총량</t>
    <phoneticPr fontId="7" type="noConversion"/>
  </si>
  <si>
    <t>1인 기준량</t>
    <phoneticPr fontId="7" type="noConversion"/>
  </si>
  <si>
    <t>※식품원산지표기</t>
    <phoneticPr fontId="7" type="noConversion"/>
  </si>
  <si>
    <t>쌀: 국내산</t>
    <phoneticPr fontId="7" type="noConversion"/>
  </si>
  <si>
    <t>비율</t>
    <phoneticPr fontId="7" type="noConversion"/>
  </si>
  <si>
    <t>일              자 :</t>
    <phoneticPr fontId="7" type="noConversion"/>
  </si>
  <si>
    <t>번호</t>
    <phoneticPr fontId="7" type="noConversion"/>
  </si>
  <si>
    <t>식품명</t>
    <phoneticPr fontId="7" type="noConversion"/>
  </si>
  <si>
    <t>1인량
(g)</t>
    <phoneticPr fontId="7" type="noConversion"/>
  </si>
  <si>
    <t>탄수화물
(g)</t>
    <phoneticPr fontId="7" type="noConversion"/>
  </si>
  <si>
    <t>단백질
(g)</t>
    <phoneticPr fontId="7" type="noConversion"/>
  </si>
  <si>
    <t>지방
(g)</t>
    <phoneticPr fontId="7" type="noConversion"/>
  </si>
  <si>
    <t>칼슘
(mg)</t>
    <phoneticPr fontId="7" type="noConversion"/>
  </si>
  <si>
    <t>철
(mg)</t>
    <phoneticPr fontId="7" type="noConversion"/>
  </si>
  <si>
    <t>VIT-A
(RE)</t>
    <phoneticPr fontId="7" type="noConversion"/>
  </si>
  <si>
    <r>
      <t>VIT-B</t>
    </r>
    <r>
      <rPr>
        <vertAlign val="subscript"/>
        <sz val="11"/>
        <rFont val="돋움"/>
        <family val="3"/>
        <charset val="129"/>
      </rPr>
      <t xml:space="preserve">1
</t>
    </r>
    <r>
      <rPr>
        <sz val="11"/>
        <rFont val="돋움"/>
        <family val="3"/>
        <charset val="129"/>
      </rPr>
      <t>(mg)</t>
    </r>
    <phoneticPr fontId="7" type="noConversion"/>
  </si>
  <si>
    <r>
      <t>VIT-B</t>
    </r>
    <r>
      <rPr>
        <vertAlign val="subscript"/>
        <sz val="11"/>
        <rFont val="돋움"/>
        <family val="3"/>
        <charset val="129"/>
      </rPr>
      <t xml:space="preserve">2
</t>
    </r>
    <r>
      <rPr>
        <sz val="11"/>
        <rFont val="돋움"/>
        <family val="3"/>
        <charset val="129"/>
      </rPr>
      <t>(mg)</t>
    </r>
    <phoneticPr fontId="7" type="noConversion"/>
  </si>
  <si>
    <t>NIACIN
(mg)</t>
    <phoneticPr fontId="7" type="noConversion"/>
  </si>
  <si>
    <t>VIT-C</t>
    <phoneticPr fontId="7" type="noConversion"/>
  </si>
  <si>
    <t>꽃상추</t>
    <phoneticPr fontId="7" type="noConversion"/>
  </si>
  <si>
    <t>어슷우엉</t>
    <phoneticPr fontId="7" type="noConversion"/>
  </si>
  <si>
    <t>아이브사과주스</t>
    <phoneticPr fontId="7" type="noConversion"/>
  </si>
  <si>
    <t>웨지감자</t>
    <phoneticPr fontId="7" type="noConversion"/>
  </si>
  <si>
    <t>콩알새송이버섯</t>
    <phoneticPr fontId="7" type="noConversion"/>
  </si>
  <si>
    <t>스파게티면</t>
    <phoneticPr fontId="7" type="noConversion"/>
  </si>
  <si>
    <t>깨순</t>
    <phoneticPr fontId="7" type="noConversion"/>
  </si>
  <si>
    <t>쌀떡고기산적</t>
    <phoneticPr fontId="7" type="noConversion"/>
  </si>
  <si>
    <t>피자치즈</t>
    <phoneticPr fontId="7" type="noConversion"/>
  </si>
  <si>
    <t>요러브</t>
    <phoneticPr fontId="7" type="noConversion"/>
  </si>
  <si>
    <t>수박바</t>
    <phoneticPr fontId="7" type="noConversion"/>
  </si>
  <si>
    <t>고구마돈까스</t>
    <phoneticPr fontId="7" type="noConversion"/>
  </si>
  <si>
    <t>코코넛새우까스</t>
    <phoneticPr fontId="7" type="noConversion"/>
  </si>
  <si>
    <t>두부네모랑땡</t>
    <phoneticPr fontId="7" type="noConversion"/>
  </si>
  <si>
    <t>제리뽀</t>
    <phoneticPr fontId="7" type="noConversion"/>
  </si>
  <si>
    <t>츄러스</t>
    <phoneticPr fontId="7" type="noConversion"/>
  </si>
  <si>
    <t>바바리안도넛</t>
    <phoneticPr fontId="7" type="noConversion"/>
  </si>
  <si>
    <t>스마트햄</t>
    <phoneticPr fontId="7" type="noConversion"/>
  </si>
  <si>
    <t>잡채말이어묵</t>
    <phoneticPr fontId="7" type="noConversion"/>
  </si>
  <si>
    <t>옹심이만두</t>
    <phoneticPr fontId="7" type="noConversion"/>
  </si>
  <si>
    <t>메뉴명</t>
    <phoneticPr fontId="7" type="noConversion"/>
  </si>
  <si>
    <t>강정소스</t>
    <phoneticPr fontId="7" type="noConversion"/>
  </si>
  <si>
    <t>푸실리</t>
    <phoneticPr fontId="7" type="noConversion"/>
  </si>
  <si>
    <t>만가닥버섯</t>
    <phoneticPr fontId="7" type="noConversion"/>
  </si>
  <si>
    <t>딸기우유</t>
    <phoneticPr fontId="7" type="noConversion"/>
  </si>
  <si>
    <t>닭꼬치</t>
    <phoneticPr fontId="7" type="noConversion"/>
  </si>
  <si>
    <t>고구마파이</t>
    <phoneticPr fontId="7" type="noConversion"/>
  </si>
  <si>
    <t>우동건더기</t>
    <phoneticPr fontId="7" type="noConversion"/>
  </si>
  <si>
    <t>사골농축액</t>
    <phoneticPr fontId="7" type="noConversion"/>
  </si>
  <si>
    <t>하트떡볶이</t>
    <phoneticPr fontId="7" type="noConversion"/>
  </si>
  <si>
    <t>후레쉬업</t>
    <phoneticPr fontId="7" type="noConversion"/>
  </si>
  <si>
    <t>키위음료</t>
    <phoneticPr fontId="7" type="noConversion"/>
  </si>
  <si>
    <t>크루통</t>
    <phoneticPr fontId="7" type="noConversion"/>
  </si>
  <si>
    <t>요거타임</t>
    <phoneticPr fontId="7" type="noConversion"/>
  </si>
  <si>
    <t>조미김</t>
    <phoneticPr fontId="7" type="noConversion"/>
  </si>
  <si>
    <t>탄두리소스</t>
    <phoneticPr fontId="7" type="noConversion"/>
  </si>
  <si>
    <t>망고워터젤리</t>
    <phoneticPr fontId="7" type="noConversion"/>
  </si>
  <si>
    <t>쥬키니</t>
    <phoneticPr fontId="7" type="noConversion"/>
  </si>
  <si>
    <t>카레가루</t>
    <phoneticPr fontId="7" type="noConversion"/>
  </si>
  <si>
    <t>일회용케찹</t>
    <phoneticPr fontId="7" type="noConversion"/>
  </si>
  <si>
    <t>도시락김</t>
    <phoneticPr fontId="7" type="noConversion"/>
  </si>
  <si>
    <t>왕만두</t>
    <phoneticPr fontId="7" type="noConversion"/>
  </si>
  <si>
    <t>유부</t>
    <phoneticPr fontId="7" type="noConversion"/>
  </si>
  <si>
    <t>가쓰오우동장국</t>
    <phoneticPr fontId="7" type="noConversion"/>
  </si>
  <si>
    <t>허니머스타드</t>
    <phoneticPr fontId="7" type="noConversion"/>
  </si>
  <si>
    <t>봉어묵</t>
    <phoneticPr fontId="7" type="noConversion"/>
  </si>
  <si>
    <t>찰보리</t>
    <phoneticPr fontId="7" type="noConversion"/>
  </si>
  <si>
    <t>가쓰오부시</t>
    <phoneticPr fontId="7" type="noConversion"/>
  </si>
  <si>
    <t>데친우거지</t>
    <phoneticPr fontId="7" type="noConversion"/>
  </si>
  <si>
    <t>돈국찌개</t>
    <phoneticPr fontId="7" type="noConversion"/>
  </si>
  <si>
    <t>언양식불고기</t>
    <phoneticPr fontId="7" type="noConversion"/>
  </si>
  <si>
    <t>비엔나</t>
    <phoneticPr fontId="7" type="noConversion"/>
  </si>
  <si>
    <t>슈스트링</t>
    <phoneticPr fontId="7" type="noConversion"/>
  </si>
  <si>
    <t>통닭다리살스테이크</t>
    <phoneticPr fontId="7" type="noConversion"/>
  </si>
  <si>
    <t>표고버섯</t>
    <phoneticPr fontId="7" type="noConversion"/>
  </si>
  <si>
    <t>별별스테이크</t>
    <phoneticPr fontId="7" type="noConversion"/>
  </si>
  <si>
    <t>토핑요거트</t>
    <phoneticPr fontId="7" type="noConversion"/>
  </si>
  <si>
    <t>오리엔탈드레싱</t>
    <phoneticPr fontId="7" type="noConversion"/>
  </si>
  <si>
    <t>데미그라스소스</t>
    <phoneticPr fontId="7" type="noConversion"/>
  </si>
  <si>
    <t>갈비만두</t>
    <phoneticPr fontId="7" type="noConversion"/>
  </si>
  <si>
    <t>더위사냥</t>
    <phoneticPr fontId="7" type="noConversion"/>
  </si>
  <si>
    <t>딸기필링파이</t>
    <phoneticPr fontId="7" type="noConversion"/>
  </si>
  <si>
    <t>맛김치</t>
    <phoneticPr fontId="7" type="noConversion"/>
  </si>
  <si>
    <t>김말이</t>
    <phoneticPr fontId="7" type="noConversion"/>
  </si>
  <si>
    <t>씨리얼</t>
    <phoneticPr fontId="7" type="noConversion"/>
  </si>
  <si>
    <t>데리야끼소스</t>
    <phoneticPr fontId="7" type="noConversion"/>
  </si>
  <si>
    <t>스모크햄</t>
    <phoneticPr fontId="7" type="noConversion"/>
  </si>
  <si>
    <t>크링클컷</t>
    <phoneticPr fontId="7" type="noConversion"/>
  </si>
  <si>
    <t>파슬리후레이크</t>
    <phoneticPr fontId="7" type="noConversion"/>
  </si>
  <si>
    <t>쌈추</t>
    <phoneticPr fontId="7" type="noConversion"/>
  </si>
  <si>
    <t>미니딸기파이</t>
    <phoneticPr fontId="7" type="noConversion"/>
  </si>
  <si>
    <t>매콤어묵바</t>
    <phoneticPr fontId="7" type="noConversion"/>
  </si>
  <si>
    <t>메밀면</t>
    <phoneticPr fontId="7" type="noConversion"/>
  </si>
  <si>
    <t>양념치킨소스</t>
    <phoneticPr fontId="7" type="noConversion"/>
  </si>
  <si>
    <t>치즈소떡</t>
    <phoneticPr fontId="7" type="noConversion"/>
  </si>
  <si>
    <t>로제불닭볼케이노</t>
    <phoneticPr fontId="7" type="noConversion"/>
  </si>
  <si>
    <t>렌틸콩</t>
    <phoneticPr fontId="7" type="noConversion"/>
  </si>
  <si>
    <t>오리정육슬라이스</t>
    <phoneticPr fontId="7" type="noConversion"/>
  </si>
  <si>
    <t>돈전지</t>
    <phoneticPr fontId="7" type="noConversion"/>
  </si>
  <si>
    <t>통후추</t>
    <phoneticPr fontId="7" type="noConversion"/>
  </si>
  <si>
    <t>정향</t>
    <phoneticPr fontId="7" type="noConversion"/>
  </si>
  <si>
    <t>팔각</t>
    <phoneticPr fontId="7" type="noConversion"/>
  </si>
  <si>
    <t>짜장분말</t>
    <phoneticPr fontId="7" type="noConversion"/>
  </si>
  <si>
    <t>골드함박스테이크</t>
    <phoneticPr fontId="7" type="noConversion"/>
  </si>
  <si>
    <t>파인애플슬라이스</t>
    <phoneticPr fontId="7" type="noConversion"/>
  </si>
  <si>
    <t>잡채어묵</t>
    <phoneticPr fontId="7" type="noConversion"/>
  </si>
  <si>
    <t>어니언크림소스</t>
    <phoneticPr fontId="7" type="noConversion"/>
  </si>
  <si>
    <t>토네이도소세지</t>
    <phoneticPr fontId="7" type="noConversion"/>
  </si>
  <si>
    <t>배도라지쥬스</t>
    <phoneticPr fontId="7" type="noConversion"/>
  </si>
  <si>
    <t>고구마샐러드</t>
    <phoneticPr fontId="7" type="noConversion"/>
  </si>
  <si>
    <t>고구마</t>
    <phoneticPr fontId="7" type="noConversion"/>
  </si>
  <si>
    <t>무가당쥬스</t>
    <phoneticPr fontId="7" type="noConversion"/>
  </si>
  <si>
    <t>납작포크가라아게</t>
    <phoneticPr fontId="7" type="noConversion"/>
  </si>
  <si>
    <t>후랑크햄</t>
    <phoneticPr fontId="7" type="noConversion"/>
  </si>
  <si>
    <t>정통함박스테이크</t>
    <phoneticPr fontId="7" type="noConversion"/>
  </si>
  <si>
    <t>오미자에이드</t>
    <phoneticPr fontId="7" type="noConversion"/>
  </si>
  <si>
    <t>피클링스파이스</t>
    <phoneticPr fontId="7" type="noConversion"/>
  </si>
  <si>
    <t>다다기오이</t>
    <phoneticPr fontId="7" type="noConversion"/>
  </si>
  <si>
    <t>오미자</t>
    <phoneticPr fontId="7" type="noConversion"/>
  </si>
  <si>
    <t>절단낙지</t>
    <phoneticPr fontId="7" type="noConversion"/>
  </si>
  <si>
    <t>짜먹는젤리</t>
    <phoneticPr fontId="7" type="noConversion"/>
  </si>
  <si>
    <t>스위트칠리</t>
    <phoneticPr fontId="7" type="noConversion"/>
  </si>
  <si>
    <t>떡갈비스테이크</t>
    <phoneticPr fontId="7" type="noConversion"/>
  </si>
  <si>
    <t>쵸핑햄</t>
    <phoneticPr fontId="7" type="noConversion"/>
  </si>
  <si>
    <t>닭다리만두</t>
    <phoneticPr fontId="7" type="noConversion"/>
  </si>
  <si>
    <t>새우까스</t>
    <phoneticPr fontId="7" type="noConversion"/>
  </si>
  <si>
    <t>어니언소스</t>
    <phoneticPr fontId="7" type="noConversion"/>
  </si>
  <si>
    <t>황도통조림</t>
    <phoneticPr fontId="7" type="noConversion"/>
  </si>
  <si>
    <t>살구원액</t>
    <phoneticPr fontId="7" type="noConversion"/>
  </si>
  <si>
    <t>중화소스</t>
    <phoneticPr fontId="7" type="noConversion"/>
  </si>
  <si>
    <t>미니도넛</t>
    <phoneticPr fontId="7" type="noConversion"/>
  </si>
  <si>
    <t>비트</t>
    <phoneticPr fontId="7" type="noConversion"/>
  </si>
  <si>
    <t>열량
(kcal)</t>
    <phoneticPr fontId="7" type="noConversion"/>
  </si>
  <si>
    <t>흑임자</t>
    <phoneticPr fontId="7" type="noConversion"/>
  </si>
  <si>
    <r>
      <t>1</t>
    </r>
    <r>
      <rPr>
        <sz val="11"/>
        <rFont val="돋움"/>
        <family val="3"/>
        <charset val="129"/>
      </rPr>
      <t>00ml</t>
    </r>
    <phoneticPr fontId="7" type="noConversion"/>
  </si>
  <si>
    <t>적상추</t>
    <phoneticPr fontId="7" type="noConversion"/>
  </si>
  <si>
    <t>채단무지</t>
    <phoneticPr fontId="7" type="noConversion"/>
  </si>
  <si>
    <t>데리야끼멘츠카츠</t>
    <phoneticPr fontId="7" type="noConversion"/>
  </si>
  <si>
    <t>만다린캔</t>
    <phoneticPr fontId="7" type="noConversion"/>
  </si>
  <si>
    <t>귤조림</t>
    <phoneticPr fontId="7" type="noConversion"/>
  </si>
  <si>
    <t>밀감</t>
    <phoneticPr fontId="7" type="noConversion"/>
  </si>
  <si>
    <t>토마토케찹</t>
    <phoneticPr fontId="7" type="noConversion"/>
  </si>
  <si>
    <t>달밤라떼</t>
    <phoneticPr fontId="7" type="noConversion"/>
  </si>
  <si>
    <t>포기김치:배추(국내산) / 돼지고기(국내산) / 닭고기(국내산) / 식육가공품(국내산/외국산)</t>
    <phoneticPr fontId="7" type="noConversion"/>
  </si>
  <si>
    <t>물만두</t>
    <phoneticPr fontId="7" type="noConversion"/>
  </si>
  <si>
    <t>노랑파프리카</t>
    <phoneticPr fontId="7" type="noConversion"/>
  </si>
  <si>
    <t>치파이</t>
    <phoneticPr fontId="7" type="noConversion"/>
  </si>
  <si>
    <t>맛초킹소스</t>
    <phoneticPr fontId="7" type="noConversion"/>
  </si>
  <si>
    <t>달고나라떼</t>
    <phoneticPr fontId="7" type="noConversion"/>
  </si>
  <si>
    <t>오렌지원액</t>
    <phoneticPr fontId="7" type="noConversion"/>
  </si>
  <si>
    <t>과수원</t>
    <phoneticPr fontId="7" type="noConversion"/>
  </si>
  <si>
    <t>스위트청포도주스</t>
    <phoneticPr fontId="7" type="noConversion"/>
  </si>
  <si>
    <t>숙성맛김치</t>
    <phoneticPr fontId="7" type="noConversion"/>
  </si>
  <si>
    <t>홍피망다이스</t>
    <phoneticPr fontId="7" type="noConversion"/>
  </si>
  <si>
    <t>청피망다이스</t>
    <phoneticPr fontId="7" type="noConversion"/>
  </si>
  <si>
    <t>양송이캔</t>
    <phoneticPr fontId="7" type="noConversion"/>
  </si>
  <si>
    <t>페이스트</t>
    <phoneticPr fontId="7" type="noConversion"/>
  </si>
  <si>
    <t>칼슘인등심돈까스</t>
  </si>
  <si>
    <t>찰흑미</t>
    <phoneticPr fontId="7" type="noConversion"/>
  </si>
  <si>
    <t>백년초묵</t>
    <phoneticPr fontId="7" type="noConversion"/>
  </si>
  <si>
    <t>할라피뇨</t>
    <phoneticPr fontId="7" type="noConversion"/>
  </si>
  <si>
    <t>썬키스트</t>
    <phoneticPr fontId="7" type="noConversion"/>
  </si>
  <si>
    <t>꽈배기도넛</t>
    <phoneticPr fontId="7" type="noConversion"/>
  </si>
  <si>
    <t>아침햇살</t>
    <phoneticPr fontId="7" type="noConversion"/>
  </si>
  <si>
    <t>급식모니터링, 대면검수
1. 맛 양호 2. 이물,이취 등 없음 3.조리상태 양호.</t>
    <phoneticPr fontId="7" type="noConversion"/>
  </si>
  <si>
    <t>감자고로케</t>
    <phoneticPr fontId="7" type="noConversion"/>
  </si>
  <si>
    <t>까르보불닭만두</t>
    <phoneticPr fontId="7" type="noConversion"/>
  </si>
  <si>
    <t>블루베리잼</t>
    <phoneticPr fontId="7" type="noConversion"/>
  </si>
  <si>
    <t>블루베리필링</t>
    <phoneticPr fontId="7" type="noConversion"/>
  </si>
  <si>
    <t>블루베리,필링</t>
    <phoneticPr fontId="7" type="noConversion"/>
  </si>
  <si>
    <t>크림치즈</t>
    <phoneticPr fontId="7" type="noConversion"/>
  </si>
  <si>
    <t>소금</t>
    <phoneticPr fontId="7" type="noConversion"/>
  </si>
  <si>
    <t>반달단무지</t>
    <phoneticPr fontId="7" type="noConversion"/>
  </si>
  <si>
    <t>눈꽃카스테라</t>
    <phoneticPr fontId="7" type="noConversion"/>
  </si>
  <si>
    <t>날치알</t>
    <phoneticPr fontId="7" type="noConversion"/>
  </si>
  <si>
    <t>알밥용단무지</t>
    <phoneticPr fontId="7" type="noConversion"/>
  </si>
  <si>
    <t>절단꽃게</t>
    <phoneticPr fontId="7" type="noConversion"/>
  </si>
  <si>
    <t>갈릭후레이크</t>
    <phoneticPr fontId="7" type="noConversion"/>
  </si>
  <si>
    <t>깐풍소스</t>
    <phoneticPr fontId="7" type="noConversion"/>
  </si>
  <si>
    <t>머스캣</t>
    <phoneticPr fontId="7" type="noConversion"/>
  </si>
  <si>
    <t>에그마요</t>
    <phoneticPr fontId="7" type="noConversion"/>
  </si>
  <si>
    <t>냉동라멘</t>
    <phoneticPr fontId="7" type="noConversion"/>
  </si>
  <si>
    <t>돈코츠라멘소스</t>
    <phoneticPr fontId="7" type="noConversion"/>
  </si>
  <si>
    <t>후리가케</t>
    <phoneticPr fontId="7" type="noConversion"/>
  </si>
  <si>
    <t>꿔바로우</t>
    <phoneticPr fontId="7" type="noConversion"/>
  </si>
  <si>
    <t>어린잎</t>
    <phoneticPr fontId="7" type="noConversion"/>
  </si>
  <si>
    <t>발사믹드레싱</t>
    <phoneticPr fontId="7" type="noConversion"/>
  </si>
  <si>
    <t>설탕</t>
    <phoneticPr fontId="7" type="noConversion"/>
  </si>
  <si>
    <t>초고추장</t>
    <phoneticPr fontId="7" type="noConversion"/>
  </si>
  <si>
    <t>닭안심</t>
    <phoneticPr fontId="7" type="noConversion"/>
  </si>
  <si>
    <t>사과맛요거타임</t>
    <phoneticPr fontId="7" type="noConversion"/>
  </si>
  <si>
    <t>100ml</t>
    <phoneticPr fontId="7" type="noConversion"/>
  </si>
  <si>
    <t>옥수수</t>
    <phoneticPr fontId="7" type="noConversion"/>
  </si>
  <si>
    <t>청포도쥬스</t>
    <phoneticPr fontId="7" type="noConversion"/>
  </si>
  <si>
    <t>로제소스</t>
    <phoneticPr fontId="7" type="noConversion"/>
  </si>
  <si>
    <t>가스오부시</t>
    <phoneticPr fontId="7" type="noConversion"/>
  </si>
  <si>
    <t>만다린</t>
    <phoneticPr fontId="7" type="noConversion"/>
  </si>
  <si>
    <t>오리훈제</t>
    <phoneticPr fontId="7" type="noConversion"/>
  </si>
  <si>
    <t>크림스파게티소스</t>
    <phoneticPr fontId="7" type="noConversion"/>
  </si>
  <si>
    <t>오꼬노미야끼</t>
    <phoneticPr fontId="7" type="noConversion"/>
  </si>
  <si>
    <t>숯불바베큐소스</t>
    <phoneticPr fontId="7" type="noConversion"/>
  </si>
  <si>
    <t>눈꽃치즈</t>
    <phoneticPr fontId="7" type="noConversion"/>
  </si>
  <si>
    <t>잉그리쉬머핀</t>
    <phoneticPr fontId="7" type="noConversion"/>
  </si>
  <si>
    <t>홀그레인머스타드</t>
    <phoneticPr fontId="7" type="noConversion"/>
  </si>
  <si>
    <t>클로렐라</t>
    <phoneticPr fontId="7" type="noConversion"/>
  </si>
  <si>
    <t>진미</t>
    <phoneticPr fontId="7" type="noConversion"/>
  </si>
  <si>
    <t>파슬리찹</t>
    <phoneticPr fontId="7" type="noConversion"/>
  </si>
  <si>
    <t>양송이버섯캔</t>
    <phoneticPr fontId="7" type="noConversion"/>
  </si>
  <si>
    <t>노란피망</t>
    <phoneticPr fontId="7" type="noConversion"/>
  </si>
  <si>
    <t>오리엔탈소스</t>
    <phoneticPr fontId="7" type="noConversion"/>
  </si>
  <si>
    <t>옛날소시지</t>
    <phoneticPr fontId="7" type="noConversion"/>
  </si>
  <si>
    <t>멸치볶음</t>
    <phoneticPr fontId="7" type="noConversion"/>
  </si>
  <si>
    <t>검은콩조림</t>
    <phoneticPr fontId="7" type="noConversion"/>
  </si>
  <si>
    <t>단호박샐러드</t>
    <phoneticPr fontId="7" type="noConversion"/>
  </si>
  <si>
    <t>새우칩</t>
    <phoneticPr fontId="7" type="noConversion"/>
  </si>
  <si>
    <t>피클</t>
    <phoneticPr fontId="7" type="noConversion"/>
  </si>
  <si>
    <t>타르소스</t>
    <phoneticPr fontId="7" type="noConversion"/>
  </si>
  <si>
    <t>냉동청경채</t>
    <phoneticPr fontId="7" type="noConversion"/>
  </si>
  <si>
    <t>화이트볼</t>
    <phoneticPr fontId="7" type="noConversion"/>
  </si>
  <si>
    <t>사골엑기스</t>
    <phoneticPr fontId="7" type="noConversion"/>
  </si>
  <si>
    <t>마라소스</t>
    <phoneticPr fontId="7" type="noConversion"/>
  </si>
  <si>
    <t>피망</t>
    <phoneticPr fontId="7" type="noConversion"/>
  </si>
  <si>
    <t>탕수소스</t>
    <phoneticPr fontId="7" type="noConversion"/>
  </si>
  <si>
    <t>볶음콩고물</t>
    <phoneticPr fontId="7" type="noConversion"/>
  </si>
  <si>
    <t>단무지</t>
    <phoneticPr fontId="7" type="noConversion"/>
  </si>
  <si>
    <t>누들떡</t>
    <phoneticPr fontId="7" type="noConversion"/>
  </si>
  <si>
    <t>케찹</t>
    <phoneticPr fontId="7" type="noConversion"/>
  </si>
  <si>
    <t>화유</t>
    <phoneticPr fontId="7" type="noConversion"/>
  </si>
  <si>
    <t>컬리플라워</t>
    <phoneticPr fontId="7" type="noConversion"/>
  </si>
  <si>
    <t>겨자소스</t>
    <phoneticPr fontId="7" type="noConversion"/>
  </si>
  <si>
    <t>쯔유</t>
    <phoneticPr fontId="7" type="noConversion"/>
  </si>
  <si>
    <t>소떡소떡</t>
    <phoneticPr fontId="7" type="noConversion"/>
  </si>
  <si>
    <t>닭강정소스</t>
    <phoneticPr fontId="7" type="noConversion"/>
  </si>
  <si>
    <t>삼색옹심이</t>
    <phoneticPr fontId="7" type="noConversion"/>
  </si>
  <si>
    <t>두부스틱</t>
    <phoneticPr fontId="7" type="noConversion"/>
  </si>
  <si>
    <t>마늘칩</t>
    <phoneticPr fontId="7" type="noConversion"/>
  </si>
  <si>
    <t>흑임자소스</t>
    <phoneticPr fontId="7" type="noConversion"/>
  </si>
  <si>
    <t>순살치킨</t>
    <phoneticPr fontId="7" type="noConversion"/>
  </si>
  <si>
    <t>옹심이</t>
    <phoneticPr fontId="7" type="noConversion"/>
  </si>
  <si>
    <t>크림치즈볼</t>
    <phoneticPr fontId="7" type="noConversion"/>
  </si>
  <si>
    <t>앵그리어묵</t>
    <phoneticPr fontId="7" type="noConversion"/>
  </si>
  <si>
    <t>요거트푸딩</t>
    <phoneticPr fontId="7" type="noConversion"/>
  </si>
  <si>
    <t>혼합야채2종</t>
    <phoneticPr fontId="7" type="noConversion"/>
  </si>
  <si>
    <t>아귀포</t>
    <phoneticPr fontId="7" type="noConversion"/>
  </si>
  <si>
    <t>미니바베큐</t>
    <phoneticPr fontId="7" type="noConversion"/>
  </si>
  <si>
    <t>순대</t>
    <phoneticPr fontId="7" type="noConversion"/>
  </si>
  <si>
    <t>잡뼈</t>
    <phoneticPr fontId="7" type="noConversion"/>
  </si>
  <si>
    <t>전분, 당면</t>
    <phoneticPr fontId="7" type="noConversion"/>
  </si>
  <si>
    <t>샤인머스캣</t>
    <phoneticPr fontId="7" type="noConversion"/>
  </si>
  <si>
    <t>포도</t>
    <phoneticPr fontId="7" type="noConversion"/>
  </si>
  <si>
    <t>꽈리고추</t>
    <phoneticPr fontId="7" type="noConversion"/>
  </si>
  <si>
    <t>자른미역</t>
    <phoneticPr fontId="7" type="noConversion"/>
  </si>
  <si>
    <t>오리정육</t>
    <phoneticPr fontId="7" type="noConversion"/>
  </si>
  <si>
    <t>고추마요소스</t>
    <phoneticPr fontId="7" type="noConversion"/>
  </si>
  <si>
    <t>돈나물</t>
    <phoneticPr fontId="7" type="noConversion"/>
  </si>
  <si>
    <t>골드파인애플</t>
    <phoneticPr fontId="7" type="noConversion"/>
  </si>
  <si>
    <t>모밀면</t>
    <phoneticPr fontId="7" type="noConversion"/>
  </si>
  <si>
    <t>모짜렐라펄</t>
    <phoneticPr fontId="7" type="noConversion"/>
  </si>
  <si>
    <t>사각어묵채</t>
    <phoneticPr fontId="7" type="noConversion"/>
  </si>
  <si>
    <t>워터젤리</t>
    <phoneticPr fontId="7" type="noConversion"/>
  </si>
  <si>
    <t>양념소스</t>
    <phoneticPr fontId="7" type="noConversion"/>
  </si>
  <si>
    <t>슬라이스햄</t>
    <phoneticPr fontId="7" type="noConversion"/>
  </si>
  <si>
    <t>망고푸딩</t>
    <phoneticPr fontId="7" type="noConversion"/>
  </si>
  <si>
    <t>무조미키즈김</t>
    <phoneticPr fontId="7" type="noConversion"/>
  </si>
  <si>
    <t>두부가라아케</t>
    <phoneticPr fontId="7" type="noConversion"/>
  </si>
  <si>
    <t>식물성유산균요구르트</t>
    <phoneticPr fontId="7" type="noConversion"/>
  </si>
  <si>
    <t>냉동배추우거지</t>
    <phoneticPr fontId="7" type="noConversion"/>
  </si>
  <si>
    <t>닭윙</t>
    <phoneticPr fontId="7" type="noConversion"/>
  </si>
  <si>
    <t>꼬마떡</t>
    <phoneticPr fontId="7" type="noConversion"/>
  </si>
  <si>
    <t>삼색푸실린</t>
    <phoneticPr fontId="7" type="noConversion"/>
  </si>
  <si>
    <t>치킨무</t>
    <phoneticPr fontId="7" type="noConversion"/>
  </si>
  <si>
    <t>냉동배추</t>
    <phoneticPr fontId="7" type="noConversion"/>
  </si>
  <si>
    <t>돼지고기</t>
    <phoneticPr fontId="7" type="noConversion"/>
  </si>
  <si>
    <t>블루베리</t>
    <phoneticPr fontId="7" type="noConversion"/>
  </si>
  <si>
    <t>블루베리,생과,</t>
    <phoneticPr fontId="7" type="noConversion"/>
  </si>
  <si>
    <t>통조림</t>
    <phoneticPr fontId="7" type="noConversion"/>
  </si>
  <si>
    <t>회오리감자</t>
    <phoneticPr fontId="7" type="noConversion"/>
  </si>
  <si>
    <t>허니버터시즈닝</t>
    <phoneticPr fontId="7" type="noConversion"/>
  </si>
  <si>
    <t>이오요구르트</t>
    <phoneticPr fontId="7" type="noConversion"/>
  </si>
  <si>
    <t>갈릭디핑소스</t>
    <phoneticPr fontId="7" type="noConversion"/>
  </si>
  <si>
    <t>과일컵</t>
    <phoneticPr fontId="7" type="noConversion"/>
  </si>
  <si>
    <t>생과</t>
    <phoneticPr fontId="7" type="noConversion"/>
  </si>
  <si>
    <t>홍국쌀</t>
    <phoneticPr fontId="7" type="noConversion"/>
  </si>
  <si>
    <t>냉동아욱</t>
    <phoneticPr fontId="7" type="noConversion"/>
  </si>
  <si>
    <t>돼지고기채</t>
    <phoneticPr fontId="7" type="noConversion"/>
  </si>
  <si>
    <t>전란액</t>
    <phoneticPr fontId="7" type="noConversion"/>
  </si>
  <si>
    <t>혼합과일</t>
    <phoneticPr fontId="7" type="noConversion"/>
  </si>
  <si>
    <t>돈마호카츠</t>
    <phoneticPr fontId="7" type="noConversion"/>
  </si>
  <si>
    <t>딸기소스</t>
    <phoneticPr fontId="7" type="noConversion"/>
  </si>
  <si>
    <t>한라봉원액</t>
    <phoneticPr fontId="7" type="noConversion"/>
  </si>
  <si>
    <t>딸기</t>
    <phoneticPr fontId="7" type="noConversion"/>
  </si>
  <si>
    <t>크런치생선까스</t>
    <phoneticPr fontId="7" type="noConversion"/>
  </si>
  <si>
    <t>아삭고추</t>
    <phoneticPr fontId="7" type="noConversion"/>
  </si>
  <si>
    <t>산둥찜만두</t>
    <phoneticPr fontId="7" type="noConversion"/>
  </si>
  <si>
    <t>초코쿠키크런치</t>
    <phoneticPr fontId="7" type="noConversion"/>
  </si>
  <si>
    <t>찹쌀탕수육</t>
    <phoneticPr fontId="7" type="noConversion"/>
  </si>
  <si>
    <t>꿔바로우찹쌀탕수육</t>
    <phoneticPr fontId="7" type="noConversion"/>
  </si>
  <si>
    <t>한국요구르트</t>
    <phoneticPr fontId="7" type="noConversion"/>
  </si>
  <si>
    <t>슈프림소스드리즐</t>
    <phoneticPr fontId="7" type="noConversion"/>
  </si>
  <si>
    <t>단무지채</t>
    <phoneticPr fontId="7" type="noConversion"/>
  </si>
  <si>
    <t>사랑해사과씨음료</t>
    <phoneticPr fontId="7" type="noConversion"/>
  </si>
  <si>
    <t>사과쿠키</t>
    <phoneticPr fontId="7" type="noConversion"/>
  </si>
  <si>
    <t>달달한콘치즈군만두</t>
    <phoneticPr fontId="7" type="noConversion"/>
  </si>
  <si>
    <t>피자왕춘권</t>
    <phoneticPr fontId="7" type="noConversion"/>
  </si>
  <si>
    <t>아몬드슬라이스</t>
    <phoneticPr fontId="7" type="noConversion"/>
  </si>
  <si>
    <t>황도</t>
    <phoneticPr fontId="7" type="noConversion"/>
  </si>
  <si>
    <t>알새우칩</t>
    <phoneticPr fontId="7" type="noConversion"/>
  </si>
  <si>
    <t>다시멸치</t>
    <phoneticPr fontId="7" type="noConversion"/>
  </si>
  <si>
    <t>한입동그랑땡</t>
    <phoneticPr fontId="7" type="noConversion"/>
  </si>
  <si>
    <t>비엔나핫도그</t>
    <phoneticPr fontId="7" type="noConversion"/>
  </si>
  <si>
    <t>한입메밀전병</t>
    <phoneticPr fontId="7" type="noConversion"/>
  </si>
  <si>
    <t>구슬떡</t>
    <phoneticPr fontId="7" type="noConversion"/>
  </si>
  <si>
    <t>사과주스컵</t>
    <phoneticPr fontId="7" type="noConversion"/>
  </si>
  <si>
    <t>피쉬앤칩스</t>
    <phoneticPr fontId="7" type="noConversion"/>
  </si>
  <si>
    <t>꽈배기</t>
    <phoneticPr fontId="7" type="noConversion"/>
  </si>
  <si>
    <t>오렌지주스컵</t>
    <phoneticPr fontId="7" type="noConversion"/>
  </si>
  <si>
    <t>블루베리무피클</t>
    <phoneticPr fontId="7" type="noConversion"/>
  </si>
  <si>
    <t>한입바바리안</t>
    <phoneticPr fontId="7" type="noConversion"/>
  </si>
  <si>
    <t>토마토스파게티소스</t>
    <phoneticPr fontId="7" type="noConversion"/>
  </si>
  <si>
    <t>짜장가루</t>
    <phoneticPr fontId="7" type="noConversion"/>
  </si>
  <si>
    <t>불닭소스</t>
    <phoneticPr fontId="7" type="noConversion"/>
  </si>
  <si>
    <t>단호박튀김</t>
    <phoneticPr fontId="7" type="noConversion"/>
  </si>
  <si>
    <t>단호박튀김,냉동</t>
    <phoneticPr fontId="7" type="noConversion"/>
  </si>
  <si>
    <t>깻잎튀김</t>
    <phoneticPr fontId="7" type="noConversion"/>
  </si>
  <si>
    <t>깻잎튀김,냉동</t>
    <phoneticPr fontId="7" type="noConversion"/>
  </si>
  <si>
    <t>포도쥬스컵</t>
    <phoneticPr fontId="7" type="noConversion"/>
  </si>
  <si>
    <t>갈릭버터난</t>
    <phoneticPr fontId="7" type="noConversion"/>
  </si>
  <si>
    <t>순살가라아게</t>
    <phoneticPr fontId="7" type="noConversion"/>
  </si>
  <si>
    <t>건다시마</t>
    <phoneticPr fontId="7" type="noConversion"/>
  </si>
  <si>
    <t>시나몬가루</t>
    <phoneticPr fontId="7" type="noConversion"/>
  </si>
  <si>
    <t>메밀장국</t>
    <phoneticPr fontId="7" type="noConversion"/>
  </si>
  <si>
    <t>왕교자만두</t>
    <phoneticPr fontId="7" type="noConversion"/>
  </si>
  <si>
    <t>단호박전</t>
    <phoneticPr fontId="7" type="noConversion"/>
  </si>
  <si>
    <t>맵스터소스</t>
    <phoneticPr fontId="7" type="noConversion"/>
  </si>
  <si>
    <t>메론</t>
    <phoneticPr fontId="7" type="noConversion"/>
  </si>
  <si>
    <t>베이키드빈스킨</t>
    <phoneticPr fontId="7" type="noConversion"/>
  </si>
  <si>
    <t>스위트청포도쥬스</t>
    <phoneticPr fontId="7" type="noConversion"/>
  </si>
  <si>
    <t>도지마롤케이크</t>
    <phoneticPr fontId="7" type="noConversion"/>
  </si>
  <si>
    <t>바베큐소스</t>
    <phoneticPr fontId="7" type="noConversion"/>
  </si>
  <si>
    <t>통다리바베큐</t>
    <phoneticPr fontId="7" type="noConversion"/>
  </si>
  <si>
    <t>매콤소스</t>
    <phoneticPr fontId="7" type="noConversion"/>
  </si>
  <si>
    <t>치즈핫도그</t>
    <phoneticPr fontId="7" type="noConversion"/>
  </si>
  <si>
    <t>자몽</t>
    <phoneticPr fontId="7" type="noConversion"/>
  </si>
  <si>
    <t>분모자</t>
    <phoneticPr fontId="7" type="noConversion"/>
  </si>
  <si>
    <t>톡톡탠저린감귤쥬스</t>
    <phoneticPr fontId="7" type="noConversion"/>
  </si>
  <si>
    <t>파인애플드레싱</t>
    <phoneticPr fontId="7" type="noConversion"/>
  </si>
  <si>
    <t>열대과일</t>
    <phoneticPr fontId="7" type="noConversion"/>
  </si>
  <si>
    <t>블랙알리오곡물깐풍기</t>
    <phoneticPr fontId="7" type="noConversion"/>
  </si>
  <si>
    <t>치즈시즈닝</t>
    <phoneticPr fontId="7" type="noConversion"/>
  </si>
  <si>
    <t>양파시즈닝</t>
    <phoneticPr fontId="7" type="noConversion"/>
  </si>
  <si>
    <t>마시는요구르트</t>
    <phoneticPr fontId="7" type="noConversion"/>
  </si>
  <si>
    <t>치킨스테이크</t>
    <phoneticPr fontId="7" type="noConversion"/>
  </si>
  <si>
    <t>딸바라떼</t>
    <phoneticPr fontId="7" type="noConversion"/>
  </si>
  <si>
    <t>사세</t>
    <phoneticPr fontId="7" type="noConversion"/>
  </si>
  <si>
    <t>당근</t>
  </si>
  <si>
    <t>고구마무스</t>
    <phoneticPr fontId="7" type="noConversion"/>
  </si>
  <si>
    <t>돈까스</t>
    <phoneticPr fontId="7" type="noConversion"/>
  </si>
  <si>
    <t>양념감자시즈닝</t>
    <phoneticPr fontId="7" type="noConversion"/>
  </si>
  <si>
    <t>초코도넛</t>
    <phoneticPr fontId="7" type="noConversion"/>
  </si>
  <si>
    <t>미니슈크림</t>
    <phoneticPr fontId="7" type="noConversion"/>
  </si>
  <si>
    <t>치킨가라아게</t>
    <phoneticPr fontId="7" type="noConversion"/>
  </si>
  <si>
    <t>오미산적</t>
    <phoneticPr fontId="7" type="noConversion"/>
  </si>
  <si>
    <t>초코링도넛</t>
    <phoneticPr fontId="7" type="noConversion"/>
  </si>
  <si>
    <t>나가사끼짬뽕소스</t>
    <phoneticPr fontId="7" type="noConversion"/>
  </si>
  <si>
    <t>가마보꼬</t>
    <phoneticPr fontId="7" type="noConversion"/>
  </si>
  <si>
    <t>짜먹는요플레</t>
    <phoneticPr fontId="7" type="noConversion"/>
  </si>
  <si>
    <t>홍파프리카</t>
    <phoneticPr fontId="7" type="noConversion"/>
  </si>
  <si>
    <t>단호박고로케</t>
    <phoneticPr fontId="7" type="noConversion"/>
  </si>
  <si>
    <t>자두에이드</t>
    <phoneticPr fontId="7" type="noConversion"/>
  </si>
  <si>
    <t>다대기</t>
    <phoneticPr fontId="7" type="noConversion"/>
  </si>
  <si>
    <t>고구마치즈스틱</t>
    <phoneticPr fontId="7" type="noConversion"/>
  </si>
  <si>
    <t>브라우니</t>
    <phoneticPr fontId="7" type="noConversion"/>
  </si>
  <si>
    <t>브리오슈번</t>
    <phoneticPr fontId="7" type="noConversion"/>
  </si>
  <si>
    <t>슈가파우더</t>
    <phoneticPr fontId="7" type="noConversion"/>
  </si>
  <si>
    <t>딸기츄잉도넛</t>
    <phoneticPr fontId="7" type="noConversion"/>
  </si>
  <si>
    <t>무농약제주감귤주스</t>
    <phoneticPr fontId="7" type="noConversion"/>
  </si>
  <si>
    <t>초코잼</t>
    <phoneticPr fontId="7" type="noConversion"/>
  </si>
  <si>
    <t>ㅇㄴ돈까스</t>
    <phoneticPr fontId="7" type="noConversion"/>
  </si>
  <si>
    <t>알밥단무지</t>
    <phoneticPr fontId="7" type="noConversion"/>
  </si>
  <si>
    <t>건더기스프</t>
    <phoneticPr fontId="7" type="noConversion"/>
  </si>
  <si>
    <t>고추튀김</t>
    <phoneticPr fontId="7" type="noConversion"/>
  </si>
  <si>
    <t>1회용참기름</t>
    <phoneticPr fontId="7" type="noConversion"/>
  </si>
  <si>
    <t>사과푸딩</t>
    <phoneticPr fontId="7" type="noConversion"/>
  </si>
  <si>
    <t>숯불바베큐바</t>
    <phoneticPr fontId="7" type="noConversion"/>
  </si>
  <si>
    <t>드링킹아워홈거트</t>
    <phoneticPr fontId="7" type="noConversion"/>
  </si>
  <si>
    <t>아이스크림</t>
    <phoneticPr fontId="7" type="noConversion"/>
  </si>
  <si>
    <t>꿀호떡</t>
    <phoneticPr fontId="7" type="noConversion"/>
  </si>
  <si>
    <t>청양고추맛소시지</t>
    <phoneticPr fontId="7" type="noConversion"/>
  </si>
  <si>
    <t>우동다시</t>
    <phoneticPr fontId="7" type="noConversion"/>
  </si>
  <si>
    <t>짬뽕소스</t>
    <phoneticPr fontId="7" type="noConversion"/>
  </si>
  <si>
    <t>건곤드레</t>
    <phoneticPr fontId="7" type="noConversion"/>
  </si>
  <si>
    <t>부시맨빵</t>
    <phoneticPr fontId="7" type="noConversion"/>
  </si>
  <si>
    <t>젤리뽀</t>
    <phoneticPr fontId="7" type="noConversion"/>
  </si>
  <si>
    <t>잎새찐만두</t>
    <phoneticPr fontId="7" type="noConversion"/>
  </si>
  <si>
    <t>차돌박이</t>
    <phoneticPr fontId="7" type="noConversion"/>
  </si>
  <si>
    <t>힘내파인애플씨</t>
    <phoneticPr fontId="7" type="noConversion"/>
  </si>
  <si>
    <t>돈삼겹</t>
    <phoneticPr fontId="7" type="noConversion"/>
  </si>
  <si>
    <t>이솝찐빵</t>
    <phoneticPr fontId="7" type="noConversion"/>
  </si>
  <si>
    <t>딸기타임</t>
    <phoneticPr fontId="7" type="noConversion"/>
  </si>
  <si>
    <t>불맛베이스</t>
    <phoneticPr fontId="7" type="noConversion"/>
  </si>
  <si>
    <t>어니언시즈닝</t>
    <phoneticPr fontId="7" type="noConversion"/>
  </si>
  <si>
    <t>..1</t>
    <phoneticPr fontId="7" type="noConversion"/>
  </si>
  <si>
    <t>대추채</t>
    <phoneticPr fontId="7" type="noConversion"/>
  </si>
  <si>
    <t>스위트초코롤</t>
    <phoneticPr fontId="7" type="noConversion"/>
  </si>
  <si>
    <t>돈장조림(전지)</t>
    <phoneticPr fontId="7" type="noConversion"/>
  </si>
  <si>
    <t>돈장조림(후지)</t>
    <phoneticPr fontId="7" type="noConversion"/>
  </si>
  <si>
    <t>꼬물이만두</t>
    <phoneticPr fontId="7" type="noConversion"/>
  </si>
  <si>
    <t>통살새우까스</t>
    <phoneticPr fontId="7" type="noConversion"/>
  </si>
  <si>
    <t>불향소스</t>
    <phoneticPr fontId="7" type="noConversion"/>
  </si>
  <si>
    <t>아이스망고</t>
    <phoneticPr fontId="7" type="noConversion"/>
  </si>
  <si>
    <t>배추우거지</t>
    <phoneticPr fontId="7" type="noConversion"/>
  </si>
  <si>
    <t>비타한라봉</t>
    <phoneticPr fontId="7" type="noConversion"/>
  </si>
  <si>
    <t>미니슈크림파이</t>
    <phoneticPr fontId="7" type="noConversion"/>
  </si>
  <si>
    <t>고추김말이</t>
    <phoneticPr fontId="7" type="noConversion"/>
  </si>
  <si>
    <t>레몬쌈무</t>
    <phoneticPr fontId="7" type="noConversion"/>
  </si>
  <si>
    <t>광양식직화떡불고기</t>
    <phoneticPr fontId="7" type="noConversion"/>
  </si>
  <si>
    <t>블루레몬에이드</t>
    <phoneticPr fontId="7" type="noConversion"/>
  </si>
  <si>
    <t>붕어빵</t>
    <phoneticPr fontId="7" type="noConversion"/>
  </si>
  <si>
    <t>초코라떼</t>
    <phoneticPr fontId="7" type="noConversion"/>
  </si>
  <si>
    <t>고형카레</t>
    <phoneticPr fontId="7" type="noConversion"/>
  </si>
  <si>
    <t>마늘후레이크</t>
    <phoneticPr fontId="7" type="noConversion"/>
  </si>
  <si>
    <t>중화면</t>
    <phoneticPr fontId="7" type="noConversion"/>
  </si>
  <si>
    <t>오레오</t>
    <phoneticPr fontId="7" type="noConversion"/>
  </si>
  <si>
    <t>초코칩</t>
    <phoneticPr fontId="7" type="noConversion"/>
  </si>
  <si>
    <t>유자소스</t>
    <phoneticPr fontId="7" type="noConversion"/>
  </si>
  <si>
    <t>무우</t>
    <phoneticPr fontId="7" type="noConversion"/>
  </si>
  <si>
    <t>계란옷입은통통소시지</t>
    <phoneticPr fontId="7" type="noConversion"/>
  </si>
  <si>
    <t>식용유</t>
    <phoneticPr fontId="7" type="noConversion"/>
  </si>
  <si>
    <t>건조떡</t>
    <phoneticPr fontId="7" type="noConversion"/>
  </si>
  <si>
    <t>떡볶이분말</t>
    <phoneticPr fontId="7" type="noConversion"/>
  </si>
  <si>
    <t>우전각</t>
    <phoneticPr fontId="7" type="noConversion"/>
  </si>
  <si>
    <t>얼려먹는요구르트</t>
    <phoneticPr fontId="7" type="noConversion"/>
  </si>
  <si>
    <t>휠터치소시지</t>
    <phoneticPr fontId="7" type="noConversion"/>
  </si>
  <si>
    <t>미니초코머핀</t>
    <phoneticPr fontId="7" type="noConversion"/>
  </si>
  <si>
    <t>불닭김</t>
    <phoneticPr fontId="7" type="noConversion"/>
  </si>
  <si>
    <t>청포도에이드</t>
    <phoneticPr fontId="7" type="noConversion"/>
  </si>
  <si>
    <t>초코시럽</t>
    <phoneticPr fontId="7" type="noConversion"/>
  </si>
  <si>
    <t>목화솜탕수육</t>
    <phoneticPr fontId="7" type="noConversion"/>
  </si>
  <si>
    <t>일회용참기름</t>
    <phoneticPr fontId="7" type="noConversion"/>
  </si>
  <si>
    <t>계란말이</t>
    <phoneticPr fontId="7" type="noConversion"/>
  </si>
  <si>
    <t>요플레</t>
    <phoneticPr fontId="7" type="noConversion"/>
  </si>
  <si>
    <t>메이플시럽</t>
    <phoneticPr fontId="7" type="noConversion"/>
  </si>
  <si>
    <t>달고나</t>
    <phoneticPr fontId="7" type="noConversion"/>
  </si>
  <si>
    <t>망고주스</t>
    <phoneticPr fontId="7" type="noConversion"/>
  </si>
  <si>
    <t>양파링튀김</t>
    <phoneticPr fontId="7" type="noConversion"/>
  </si>
  <si>
    <t>야미스마일핫도그</t>
    <phoneticPr fontId="7" type="noConversion"/>
  </si>
  <si>
    <t>초코타임</t>
    <phoneticPr fontId="7" type="noConversion"/>
  </si>
  <si>
    <t>플라워스테이크</t>
    <phoneticPr fontId="7" type="noConversion"/>
  </si>
  <si>
    <t>혼합야채</t>
    <phoneticPr fontId="7" type="noConversion"/>
  </si>
  <si>
    <t>베이비슈</t>
    <phoneticPr fontId="7" type="noConversion"/>
  </si>
  <si>
    <t>진한망고</t>
    <phoneticPr fontId="7" type="noConversion"/>
  </si>
  <si>
    <t>미니메밀전병</t>
    <phoneticPr fontId="7" type="noConversion"/>
  </si>
  <si>
    <t>통살오징어바</t>
    <phoneticPr fontId="7" type="noConversion"/>
  </si>
  <si>
    <t>시리얼</t>
    <phoneticPr fontId="7" type="noConversion"/>
  </si>
  <si>
    <t>불고기맛소시지</t>
    <phoneticPr fontId="7" type="noConversion"/>
  </si>
  <si>
    <t>코코넛새우</t>
    <phoneticPr fontId="7" type="noConversion"/>
  </si>
  <si>
    <t>카이저</t>
    <phoneticPr fontId="7" type="noConversion"/>
  </si>
  <si>
    <t>옥수수볼</t>
    <phoneticPr fontId="7" type="noConversion"/>
  </si>
  <si>
    <t>호만두</t>
    <phoneticPr fontId="7" type="noConversion"/>
  </si>
  <si>
    <t>미니초코칩쿠키</t>
    <phoneticPr fontId="7" type="noConversion"/>
  </si>
  <si>
    <t>곡물로만든순살깐풍기</t>
    <phoneticPr fontId="7" type="noConversion"/>
  </si>
  <si>
    <t>맛있는한돈너비아니구이</t>
    <phoneticPr fontId="7" type="noConversion"/>
  </si>
  <si>
    <t>표고버섯캔</t>
    <phoneticPr fontId="20" type="noConversion"/>
  </si>
  <si>
    <t>버섯통조림</t>
    <phoneticPr fontId="20" type="noConversion"/>
  </si>
  <si>
    <t>고등어</t>
    <phoneticPr fontId="20" type="noConversion"/>
  </si>
  <si>
    <t>두절건새우</t>
    <phoneticPr fontId="20" type="noConversion"/>
  </si>
  <si>
    <t>지파이</t>
    <phoneticPr fontId="7" type="noConversion"/>
  </si>
  <si>
    <t>살구에이드</t>
  </si>
  <si>
    <t>콘치즈군만두</t>
    <phoneticPr fontId="7" type="noConversion"/>
  </si>
  <si>
    <t>망고코코푸딩</t>
    <phoneticPr fontId="20" type="noConversion"/>
  </si>
  <si>
    <t>강정양념소스</t>
    <phoneticPr fontId="7" type="noConversion"/>
  </si>
  <si>
    <t>피카초코츄러스</t>
    <phoneticPr fontId="20" type="noConversion"/>
  </si>
  <si>
    <t>미니크로와상</t>
    <phoneticPr fontId="20" type="noConversion"/>
  </si>
  <si>
    <t>골드키위퓨레</t>
    <phoneticPr fontId="7" type="noConversion"/>
  </si>
  <si>
    <t>과일에퐁당쥬스</t>
    <phoneticPr fontId="20" type="noConversion"/>
  </si>
  <si>
    <t>새우볼꼬치</t>
    <phoneticPr fontId="7" type="noConversion"/>
  </si>
  <si>
    <t>두부스테이크</t>
    <phoneticPr fontId="7" type="noConversion"/>
  </si>
  <si>
    <t>건바나나칩</t>
    <phoneticPr fontId="7" type="noConversion"/>
  </si>
  <si>
    <t>레몬마요소스</t>
    <phoneticPr fontId="20" type="noConversion"/>
  </si>
  <si>
    <t>숯불갈비맛소스</t>
    <phoneticPr fontId="7" type="noConversion"/>
  </si>
  <si>
    <t>워터젤로딸기</t>
  </si>
  <si>
    <t>야채멘치가스</t>
    <phoneticPr fontId="7" type="noConversion"/>
  </si>
  <si>
    <t>진한망고쥬스</t>
    <phoneticPr fontId="7" type="noConversion"/>
  </si>
  <si>
    <t>미니블루베리머핀</t>
    <phoneticPr fontId="20" type="noConversion"/>
  </si>
  <si>
    <t>미니머핀</t>
    <phoneticPr fontId="20" type="noConversion"/>
  </si>
  <si>
    <t>뮤즐리</t>
    <phoneticPr fontId="20" type="noConversion"/>
  </si>
  <si>
    <t>몽땅치즈핫도그</t>
    <phoneticPr fontId="20" type="noConversion"/>
  </si>
  <si>
    <t>용가리치킨</t>
    <phoneticPr fontId="20" type="noConversion"/>
  </si>
  <si>
    <t>바나나라떼</t>
    <phoneticPr fontId="7" type="noConversion"/>
  </si>
  <si>
    <t>새싹</t>
    <phoneticPr fontId="7" type="noConversion"/>
  </si>
  <si>
    <t>파르팔레</t>
    <phoneticPr fontId="7" type="noConversion"/>
  </si>
  <si>
    <t>쵸핑베이컨</t>
    <phoneticPr fontId="7" type="noConversion"/>
  </si>
  <si>
    <t>아라비아따소스</t>
    <phoneticPr fontId="7" type="noConversion"/>
  </si>
  <si>
    <t>최고야포도씨</t>
    <phoneticPr fontId="20" type="noConversion"/>
  </si>
  <si>
    <t>임꺽정떡갈비</t>
    <phoneticPr fontId="7" type="noConversion"/>
  </si>
  <si>
    <t>무조미김</t>
    <phoneticPr fontId="7" type="noConversion"/>
  </si>
  <si>
    <t>우동장국</t>
    <phoneticPr fontId="7" type="noConversion"/>
  </si>
  <si>
    <t>21곡초코롤</t>
    <phoneticPr fontId="7" type="noConversion"/>
  </si>
  <si>
    <t>하이라이스</t>
    <phoneticPr fontId="7" type="noConversion"/>
  </si>
  <si>
    <t>꽃맛살</t>
    <phoneticPr fontId="7" type="noConversion"/>
  </si>
  <si>
    <t>프레주자두맛주스</t>
    <phoneticPr fontId="7" type="noConversion"/>
  </si>
  <si>
    <t>나시고랭소스</t>
    <phoneticPr fontId="7" type="noConversion"/>
  </si>
  <si>
    <t>피자춘권</t>
    <phoneticPr fontId="7" type="noConversion"/>
  </si>
  <si>
    <t>치즈볼핫도그</t>
    <phoneticPr fontId="7" type="noConversion"/>
  </si>
  <si>
    <t>바바리안</t>
    <phoneticPr fontId="7" type="noConversion"/>
  </si>
  <si>
    <t>피치요거트워터</t>
    <phoneticPr fontId="7" type="noConversion"/>
  </si>
  <si>
    <t>일회용버터</t>
    <phoneticPr fontId="7" type="noConversion"/>
  </si>
  <si>
    <t>숯불소시지</t>
    <phoneticPr fontId="7" type="noConversion"/>
  </si>
  <si>
    <t>자몽원액</t>
    <phoneticPr fontId="7" type="noConversion"/>
  </si>
  <si>
    <t>탄산수</t>
    <phoneticPr fontId="7" type="noConversion"/>
  </si>
  <si>
    <t>각얼음</t>
    <phoneticPr fontId="7" type="noConversion"/>
  </si>
  <si>
    <t>마라상궈소스</t>
    <phoneticPr fontId="7" type="noConversion"/>
  </si>
  <si>
    <t>캡사익</t>
    <phoneticPr fontId="7" type="noConversion"/>
  </si>
  <si>
    <t>미니츄러스</t>
    <phoneticPr fontId="7" type="noConversion"/>
  </si>
  <si>
    <t>이상한나라의솜사탕우유</t>
    <phoneticPr fontId="7" type="noConversion"/>
  </si>
  <si>
    <t>크로플</t>
    <phoneticPr fontId="7" type="noConversion"/>
  </si>
  <si>
    <t>매콤한크랩바</t>
    <phoneticPr fontId="7" type="noConversion"/>
  </si>
  <si>
    <t>자몽허니블랙티</t>
    <phoneticPr fontId="7" type="noConversion"/>
  </si>
  <si>
    <t>생라면</t>
    <phoneticPr fontId="7" type="noConversion"/>
  </si>
  <si>
    <t>라멘소스</t>
    <phoneticPr fontId="7" type="noConversion"/>
  </si>
  <si>
    <t>피치요거트워터베스킨라빈스</t>
    <phoneticPr fontId="7" type="noConversion"/>
  </si>
  <si>
    <t>찐어묵</t>
    <phoneticPr fontId="7" type="noConversion"/>
  </si>
  <si>
    <t>가스오장국</t>
    <phoneticPr fontId="7" type="noConversion"/>
  </si>
  <si>
    <t>쌀떡꼬치</t>
    <phoneticPr fontId="7" type="noConversion"/>
  </si>
  <si>
    <t>살구에이드</t>
    <phoneticPr fontId="7" type="noConversion"/>
  </si>
  <si>
    <t>돼지고기강정</t>
    <phoneticPr fontId="7" type="noConversion"/>
  </si>
  <si>
    <t>매콤김말이</t>
    <phoneticPr fontId="7" type="noConversion"/>
  </si>
  <si>
    <t>덴가스</t>
    <phoneticPr fontId="7" type="noConversion"/>
  </si>
  <si>
    <t>감자핫도그</t>
    <phoneticPr fontId="7" type="noConversion"/>
  </si>
  <si>
    <t>리치에이드</t>
    <phoneticPr fontId="7" type="noConversion"/>
  </si>
  <si>
    <t>땅콩분태</t>
    <phoneticPr fontId="7" type="noConversion"/>
  </si>
  <si>
    <t>직화짬뽕가루분말</t>
  </si>
  <si>
    <t>오렌지를사랑한망고주스</t>
    <phoneticPr fontId="7" type="noConversion"/>
  </si>
  <si>
    <t>카라멜시럽</t>
    <phoneticPr fontId="7" type="noConversion"/>
  </si>
  <si>
    <t>초코분태</t>
    <phoneticPr fontId="7" type="noConversion"/>
  </si>
  <si>
    <t>유기농식혜</t>
    <phoneticPr fontId="7" type="noConversion"/>
  </si>
  <si>
    <t>찹쌀꽈배기</t>
    <phoneticPr fontId="7" type="noConversion"/>
  </si>
  <si>
    <t>샤워크림</t>
    <phoneticPr fontId="7" type="noConversion"/>
  </si>
  <si>
    <t>나쵸</t>
    <phoneticPr fontId="7" type="noConversion"/>
  </si>
  <si>
    <t>드링킹사과맛음료</t>
    <phoneticPr fontId="7" type="noConversion"/>
  </si>
  <si>
    <t>슈퍼볼쿠키앤크림</t>
    <phoneticPr fontId="7" type="noConversion"/>
  </si>
  <si>
    <t>명란한떡갈비</t>
    <phoneticPr fontId="7" type="noConversion"/>
  </si>
  <si>
    <t>청양풍매운맛간장소스</t>
    <phoneticPr fontId="7" type="noConversion"/>
  </si>
  <si>
    <t>치즈품은멘츠카츠</t>
    <phoneticPr fontId="7" type="noConversion"/>
  </si>
  <si>
    <t>대파크림치즈포켓팝콘</t>
    <phoneticPr fontId="7" type="noConversion"/>
  </si>
  <si>
    <t>한입땡초전</t>
    <phoneticPr fontId="7" type="noConversion"/>
  </si>
  <si>
    <t>매콤바싹불고기</t>
    <phoneticPr fontId="7" type="noConversion"/>
  </si>
  <si>
    <t>마늘버터소스</t>
    <phoneticPr fontId="20" type="noConversion"/>
  </si>
  <si>
    <t>마늘소스</t>
    <phoneticPr fontId="20" type="noConversion"/>
  </si>
  <si>
    <t>1,2,5,6</t>
    <phoneticPr fontId="20" type="noConversion"/>
  </si>
  <si>
    <t>치즈볼핫도그</t>
    <phoneticPr fontId="20" type="noConversion"/>
  </si>
  <si>
    <t>신전어묵튀김</t>
    <phoneticPr fontId="20" type="noConversion"/>
  </si>
  <si>
    <t>냉동마늘편</t>
    <phoneticPr fontId="20" type="noConversion"/>
  </si>
  <si>
    <t>딸기쿠키</t>
    <phoneticPr fontId="20" type="noConversion"/>
  </si>
  <si>
    <t>냉동우동면</t>
    <phoneticPr fontId="20" type="noConversion"/>
  </si>
  <si>
    <t>아이스슈</t>
  </si>
  <si>
    <t>프룻프룻망고쥬스</t>
    <phoneticPr fontId="7" type="noConversion"/>
  </si>
  <si>
    <t>곡물로만든순살깐풍기</t>
  </si>
  <si>
    <t>슈크림붕어빵</t>
    <phoneticPr fontId="7" type="noConversion"/>
  </si>
  <si>
    <t>까르보나라소스</t>
    <phoneticPr fontId="7" type="noConversion"/>
  </si>
  <si>
    <t>버터갈릭시즈닝</t>
    <phoneticPr fontId="7" type="noConversion"/>
  </si>
  <si>
    <t>잡곡밥</t>
  </si>
  <si>
    <t>잡곡</t>
  </si>
  <si>
    <t>굴림만두</t>
    <phoneticPr fontId="7" type="noConversion"/>
  </si>
  <si>
    <t>올리브녹차김</t>
    <phoneticPr fontId="7" type="noConversion"/>
  </si>
  <si>
    <t>물방울츄러스</t>
    <phoneticPr fontId="7" type="noConversion"/>
  </si>
  <si>
    <t>백미밥</t>
  </si>
  <si>
    <t>무우</t>
  </si>
  <si>
    <t>유부슬라이스</t>
    <phoneticPr fontId="7" type="noConversion"/>
  </si>
  <si>
    <t>바다떡볶이떡</t>
    <phoneticPr fontId="7" type="noConversion"/>
  </si>
  <si>
    <t>갈릭시즈닝</t>
    <phoneticPr fontId="7" type="noConversion"/>
  </si>
  <si>
    <t>호박</t>
  </si>
  <si>
    <t>감자</t>
  </si>
  <si>
    <t>두부담은찰도그롤</t>
    <phoneticPr fontId="7" type="noConversion"/>
  </si>
  <si>
    <t>아귀강정</t>
    <phoneticPr fontId="7" type="noConversion"/>
  </si>
  <si>
    <t>돈민찌</t>
  </si>
  <si>
    <t>마라소스</t>
  </si>
  <si>
    <t>깍두기</t>
  </si>
  <si>
    <t>떡갈비스틱</t>
    <phoneticPr fontId="7" type="noConversion"/>
  </si>
  <si>
    <t>불고기버거소스</t>
    <phoneticPr fontId="7" type="noConversion"/>
  </si>
  <si>
    <t>흑미밥</t>
  </si>
  <si>
    <t>이솝찐빵</t>
    <phoneticPr fontId="7" type="noConversion"/>
  </si>
  <si>
    <t>스위트제주청귤쥬스</t>
    <phoneticPr fontId="7" type="noConversion"/>
  </si>
  <si>
    <t>돈채</t>
  </si>
  <si>
    <t>별속떡</t>
    <phoneticPr fontId="7" type="noConversion"/>
  </si>
  <si>
    <t>1학년</t>
    <phoneticPr fontId="7" type="noConversion"/>
  </si>
  <si>
    <t>2학년</t>
    <phoneticPr fontId="7" type="noConversion"/>
  </si>
  <si>
    <t>3학년</t>
    <phoneticPr fontId="20" type="noConversion"/>
  </si>
  <si>
    <t>합계</t>
    <phoneticPr fontId="7" type="noConversion"/>
  </si>
  <si>
    <t>교직원</t>
    <phoneticPr fontId="7" type="noConversion"/>
  </si>
  <si>
    <t>찐어묵</t>
    <phoneticPr fontId="7" type="noConversion"/>
  </si>
  <si>
    <t>우동장국</t>
  </si>
  <si>
    <t>덴마크초코우유</t>
    <phoneticPr fontId="7" type="noConversion"/>
  </si>
  <si>
    <t>전란액</t>
  </si>
  <si>
    <t>마요네즈</t>
  </si>
  <si>
    <t>참기름</t>
    <phoneticPr fontId="7" type="noConversion"/>
  </si>
  <si>
    <t>검은콩조림</t>
  </si>
  <si>
    <t>계란후라이</t>
    <phoneticPr fontId="7" type="noConversion"/>
  </si>
  <si>
    <t>뿌리채소모듬맛탕</t>
  </si>
  <si>
    <t>단배추겉절이</t>
  </si>
  <si>
    <t>딸기타임</t>
  </si>
  <si>
    <t>물엿</t>
    <phoneticPr fontId="7" type="noConversion"/>
  </si>
  <si>
    <t>추억의도시락</t>
    <phoneticPr fontId="7" type="noConversion"/>
  </si>
  <si>
    <t>적채</t>
  </si>
  <si>
    <t>모짜렐라펄</t>
  </si>
  <si>
    <t>오리엔탈소스</t>
  </si>
  <si>
    <t>애플민트</t>
    <phoneticPr fontId="7" type="noConversion"/>
  </si>
  <si>
    <t>깻잎주먹완자</t>
    <phoneticPr fontId="7" type="noConversion"/>
  </si>
  <si>
    <t>고르곤졸라소스</t>
    <phoneticPr fontId="7" type="noConversion"/>
  </si>
  <si>
    <t>요거풋풋</t>
    <phoneticPr fontId="7" type="noConversion"/>
  </si>
  <si>
    <t>초코릿위드크리스피</t>
    <phoneticPr fontId="7" type="noConversion"/>
  </si>
  <si>
    <t>조랭이떡</t>
  </si>
  <si>
    <t>풋고추</t>
  </si>
  <si>
    <t>크링클컷</t>
  </si>
  <si>
    <t>드링킹사과맛음료</t>
    <phoneticPr fontId="7" type="noConversion"/>
  </si>
  <si>
    <t>돈등뼈</t>
  </si>
  <si>
    <t>표고버섯</t>
  </si>
  <si>
    <t>잼있는쿠키</t>
    <phoneticPr fontId="7" type="noConversion"/>
  </si>
  <si>
    <t>닭날개</t>
    <phoneticPr fontId="7" type="noConversion"/>
  </si>
  <si>
    <t>유부</t>
  </si>
  <si>
    <t>미니치즈케이크</t>
    <phoneticPr fontId="7" type="noConversion"/>
  </si>
  <si>
    <t>살사소스</t>
    <phoneticPr fontId="7" type="noConversion"/>
  </si>
  <si>
    <t>나쵸소스</t>
    <phoneticPr fontId="7" type="noConversion"/>
  </si>
  <si>
    <t>요거트맛푸딩</t>
    <phoneticPr fontId="7" type="noConversion"/>
  </si>
  <si>
    <t>프레주자두</t>
    <phoneticPr fontId="7" type="noConversion"/>
  </si>
  <si>
    <t>청양마요소스</t>
    <phoneticPr fontId="7" type="noConversion"/>
  </si>
  <si>
    <t>업체담당</t>
    <phoneticPr fontId="20" type="noConversion"/>
  </si>
  <si>
    <t>석식</t>
    <phoneticPr fontId="7" type="noConversion"/>
  </si>
  <si>
    <t>통살콘오징어너겟</t>
    <phoneticPr fontId="7" type="noConversion"/>
  </si>
  <si>
    <t>보스톤크림파이</t>
    <phoneticPr fontId="7" type="noConversion"/>
  </si>
  <si>
    <t>교감</t>
    <phoneticPr fontId="20" type="noConversion"/>
  </si>
  <si>
    <t>얼큰어묵국</t>
  </si>
  <si>
    <t>종합어묵</t>
  </si>
  <si>
    <t>스팸</t>
  </si>
  <si>
    <t>돈전지</t>
  </si>
  <si>
    <t>돈후지</t>
  </si>
  <si>
    <t>피망</t>
  </si>
  <si>
    <t>대파채</t>
  </si>
  <si>
    <t>닭정육</t>
  </si>
  <si>
    <t>백미밥,추억의도시락,얼큰어묵국,뿌리채소모듬맛탕,단배추겉절이,딸기타임</t>
    <phoneticPr fontId="7" type="noConversion"/>
  </si>
  <si>
    <t>경북여자고등학교</t>
    <phoneticPr fontId="7" type="noConversion"/>
  </si>
  <si>
    <t>통살콘오징어너겟</t>
    <phoneticPr fontId="7" type="noConversion"/>
  </si>
  <si>
    <t>크림스프</t>
    <phoneticPr fontId="7" type="noConversion"/>
  </si>
  <si>
    <t>미트소스스파게티</t>
    <phoneticPr fontId="7" type="noConversion"/>
  </si>
  <si>
    <t>스파게티면</t>
  </si>
  <si>
    <t>양송이버섯캔</t>
  </si>
  <si>
    <t>베이컨</t>
    <phoneticPr fontId="7" type="noConversion"/>
  </si>
  <si>
    <t>청피망</t>
    <phoneticPr fontId="7" type="noConversion"/>
  </si>
  <si>
    <t>김치볶음</t>
    <phoneticPr fontId="7" type="noConversion"/>
  </si>
  <si>
    <t>맛김치</t>
    <phoneticPr fontId="7" type="noConversion"/>
  </si>
  <si>
    <t>부시맨빵&amp;초코쨈</t>
    <phoneticPr fontId="7" type="noConversion"/>
  </si>
  <si>
    <t>부시맨빵</t>
    <phoneticPr fontId="7" type="noConversion"/>
  </si>
  <si>
    <t>초코잼</t>
    <phoneticPr fontId="7" type="noConversion"/>
  </si>
  <si>
    <t>마라상궈소스</t>
  </si>
  <si>
    <t>에비동</t>
  </si>
  <si>
    <t>얼큰콩나물국</t>
  </si>
  <si>
    <t>찐갈비만두&amp;초간장</t>
  </si>
  <si>
    <t>실곤약야채무침</t>
  </si>
  <si>
    <t>실곤약</t>
  </si>
  <si>
    <t>얼려먹는요구르트</t>
  </si>
  <si>
    <t>새우튀김</t>
    <phoneticPr fontId="7" type="noConversion"/>
  </si>
  <si>
    <t>표고버섯</t>
    <phoneticPr fontId="7" type="noConversion"/>
  </si>
  <si>
    <t>간장</t>
    <phoneticPr fontId="7" type="noConversion"/>
  </si>
  <si>
    <t>배추김치</t>
    <phoneticPr fontId="7" type="noConversion"/>
  </si>
  <si>
    <t>식초</t>
    <phoneticPr fontId="7" type="noConversion"/>
  </si>
  <si>
    <t>갈비만두</t>
    <phoneticPr fontId="7" type="noConversion"/>
  </si>
  <si>
    <t>냉동배추</t>
  </si>
  <si>
    <t>짜장불고기</t>
  </si>
  <si>
    <t>짜장가루</t>
  </si>
  <si>
    <t>콘슬로우</t>
  </si>
  <si>
    <t>한입바바리안</t>
  </si>
  <si>
    <t>숙주</t>
  </si>
  <si>
    <t>청고추</t>
    <phoneticPr fontId="7" type="noConversion"/>
  </si>
  <si>
    <t>돈전지</t>
    <phoneticPr fontId="7" type="noConversion"/>
  </si>
  <si>
    <t>돈후지</t>
    <phoneticPr fontId="7" type="noConversion"/>
  </si>
  <si>
    <t>마요네즈</t>
    <phoneticPr fontId="7" type="noConversion"/>
  </si>
  <si>
    <t>머스타드</t>
    <phoneticPr fontId="7" type="noConversion"/>
  </si>
  <si>
    <t>참나물무침</t>
  </si>
  <si>
    <t>트로피칼푸딩</t>
  </si>
  <si>
    <t>홍고추</t>
    <phoneticPr fontId="7" type="noConversion"/>
  </si>
  <si>
    <t>두부탕국</t>
  </si>
  <si>
    <t>바나나시리얼샐러드</t>
  </si>
  <si>
    <t>사랑해사과씨</t>
  </si>
  <si>
    <t>돈고츠라멘</t>
  </si>
  <si>
    <t>햄김치마요덮밥</t>
  </si>
  <si>
    <t>구슬떡볶이</t>
  </si>
  <si>
    <t>구슬떡</t>
  </si>
  <si>
    <t>바삭잡채납작만두</t>
  </si>
  <si>
    <t>수제쿠키</t>
  </si>
  <si>
    <t>비엔나</t>
  </si>
  <si>
    <t>치즈떡</t>
  </si>
  <si>
    <t>유부슬라이스</t>
  </si>
  <si>
    <t>사골엑기스</t>
  </si>
  <si>
    <t>한국식마라탕</t>
  </si>
  <si>
    <t>오리버섯주물럭</t>
  </si>
  <si>
    <t>오리정육</t>
  </si>
  <si>
    <t>새송이버섯</t>
  </si>
  <si>
    <t>지삼선</t>
  </si>
  <si>
    <t>조랭이떡국</t>
  </si>
  <si>
    <t>우민찌</t>
  </si>
  <si>
    <t>불맛대파불고기</t>
  </si>
  <si>
    <t>연두부샐러드</t>
  </si>
  <si>
    <t>어린잎</t>
  </si>
  <si>
    <t>고추참치볶음</t>
  </si>
  <si>
    <t>무농약제주감귤</t>
  </si>
  <si>
    <t>주꾸미볶음&amp;생야채</t>
  </si>
  <si>
    <t>미소장국</t>
  </si>
  <si>
    <t>계란찜</t>
  </si>
  <si>
    <t>파래자반</t>
  </si>
  <si>
    <t>돼지국밥</t>
  </si>
  <si>
    <t>훈제오리</t>
  </si>
  <si>
    <t>무쌈</t>
  </si>
  <si>
    <t>어묵채볶음</t>
  </si>
  <si>
    <t>아몬드봉봉파이</t>
  </si>
  <si>
    <t>모듬해물</t>
  </si>
  <si>
    <t>오징어</t>
  </si>
  <si>
    <t>치킨스테이크</t>
  </si>
  <si>
    <t>스테이크소스</t>
  </si>
  <si>
    <t>짬뽕국</t>
  </si>
  <si>
    <t>땡초까르보나라떡볶이</t>
  </si>
  <si>
    <t>토마토부추무침</t>
  </si>
  <si>
    <t>푸실리파스타볶음</t>
  </si>
  <si>
    <t>푸실리</t>
  </si>
  <si>
    <t>미니브라우니</t>
  </si>
  <si>
    <t>치즈시즈닝</t>
  </si>
  <si>
    <t>동파육덮밥</t>
  </si>
  <si>
    <t>쪽파</t>
  </si>
  <si>
    <t>팽이장국</t>
  </si>
  <si>
    <t>갈릭버터감자튀김</t>
  </si>
  <si>
    <t>단배추된장국</t>
  </si>
  <si>
    <t>바베큐폭찹</t>
  </si>
  <si>
    <t>보코치니샐러드</t>
  </si>
  <si>
    <t>땅콩분태</t>
  </si>
  <si>
    <t>물만두국</t>
  </si>
  <si>
    <t>비빔막국수</t>
  </si>
  <si>
    <t>쫀득궁합파이</t>
  </si>
  <si>
    <t>트로피칼푸딩</t>
    <phoneticPr fontId="7" type="noConversion"/>
  </si>
  <si>
    <t>시리얼</t>
    <phoneticPr fontId="7" type="noConversion"/>
  </si>
  <si>
    <t>후르츠캔</t>
    <phoneticPr fontId="7" type="noConversion"/>
  </si>
  <si>
    <t>사랑해사과씨</t>
    <phoneticPr fontId="7" type="noConversion"/>
  </si>
  <si>
    <t>사랑해사과씨</t>
    <phoneticPr fontId="7" type="noConversion"/>
  </si>
  <si>
    <t>우국거리</t>
    <phoneticPr fontId="7" type="noConversion"/>
  </si>
  <si>
    <t>우리팜델리</t>
    <phoneticPr fontId="7" type="noConversion"/>
  </si>
  <si>
    <t>뿌링클치즈볼</t>
  </si>
  <si>
    <t>크림치즈볼</t>
    <phoneticPr fontId="7" type="noConversion"/>
  </si>
  <si>
    <t>업체담당</t>
    <phoneticPr fontId="7" type="noConversion"/>
  </si>
  <si>
    <t>학교담당</t>
    <phoneticPr fontId="20" type="noConversion"/>
  </si>
  <si>
    <t>행정실장</t>
    <phoneticPr fontId="20" type="noConversion"/>
  </si>
  <si>
    <t>건다시마</t>
    <phoneticPr fontId="7" type="noConversion"/>
  </si>
  <si>
    <t>다시멸치</t>
    <phoneticPr fontId="7" type="noConversion"/>
  </si>
  <si>
    <t>백미밥,에비동,얼큰콩나물국,찐갈비만두&amp;초간장,실곤약야채무침,배추김치,얼려먹는요구르트</t>
    <phoneticPr fontId="7" type="noConversion"/>
  </si>
  <si>
    <t>백미밥</t>
    <phoneticPr fontId="7" type="noConversion"/>
  </si>
  <si>
    <t>들깨미역국</t>
  </si>
  <si>
    <t>다시멸치</t>
    <phoneticPr fontId="7" type="noConversion"/>
  </si>
  <si>
    <t>건다시마</t>
    <phoneticPr fontId="7" type="noConversion"/>
  </si>
  <si>
    <t>식용유</t>
    <phoneticPr fontId="7" type="noConversion"/>
  </si>
  <si>
    <t>맛김치</t>
    <phoneticPr fontId="7" type="noConversion"/>
  </si>
  <si>
    <t>계란</t>
    <phoneticPr fontId="7" type="noConversion"/>
  </si>
  <si>
    <t>유부국</t>
    <phoneticPr fontId="7" type="noConversion"/>
  </si>
  <si>
    <t>유부</t>
    <phoneticPr fontId="7" type="noConversion"/>
  </si>
  <si>
    <t>건더기스프</t>
    <phoneticPr fontId="7" type="noConversion"/>
  </si>
  <si>
    <t>진간장</t>
    <phoneticPr fontId="7" type="noConversion"/>
  </si>
  <si>
    <t>초코칩쿠키</t>
    <phoneticPr fontId="7" type="noConversion"/>
  </si>
  <si>
    <t>초코칩쿠키</t>
    <phoneticPr fontId="7" type="noConversion"/>
  </si>
  <si>
    <t>백미밥,햄김치마요덮밥,유부국,구슬떡볶이,바싹잡채납작만두,깍두기,수제쿠키</t>
    <phoneticPr fontId="7" type="noConversion"/>
  </si>
  <si>
    <t>우전각</t>
    <phoneticPr fontId="7" type="noConversion"/>
  </si>
  <si>
    <t>숙주</t>
    <phoneticPr fontId="7" type="noConversion"/>
  </si>
  <si>
    <t>청경채</t>
    <phoneticPr fontId="7" type="noConversion"/>
  </si>
  <si>
    <t>배추</t>
    <phoneticPr fontId="7" type="noConversion"/>
  </si>
  <si>
    <t>화이트볼</t>
    <phoneticPr fontId="7" type="noConversion"/>
  </si>
  <si>
    <t>건다시마</t>
    <phoneticPr fontId="7" type="noConversion"/>
  </si>
  <si>
    <t>다시멸치</t>
    <phoneticPr fontId="7" type="noConversion"/>
  </si>
  <si>
    <t>돈전지</t>
    <phoneticPr fontId="7" type="noConversion"/>
  </si>
  <si>
    <t>돈후지</t>
    <phoneticPr fontId="7" type="noConversion"/>
  </si>
  <si>
    <t>연두부</t>
    <phoneticPr fontId="7" type="noConversion"/>
  </si>
  <si>
    <t>무농약제주감귤주스</t>
    <phoneticPr fontId="7" type="noConversion"/>
  </si>
  <si>
    <t>바삭바삭돼지고기강정</t>
    <phoneticPr fontId="7" type="noConversion"/>
  </si>
  <si>
    <t>데리야끼소스</t>
    <phoneticPr fontId="7" type="noConversion"/>
  </si>
  <si>
    <t>바삭바삭돼지고기강정</t>
    <phoneticPr fontId="7" type="noConversion"/>
  </si>
  <si>
    <t>얼갈이배추</t>
    <phoneticPr fontId="7" type="noConversion"/>
  </si>
  <si>
    <t>고추가루</t>
    <phoneticPr fontId="7" type="noConversion"/>
  </si>
  <si>
    <t>대파</t>
    <phoneticPr fontId="7" type="noConversion"/>
  </si>
  <si>
    <t>사각어묵</t>
    <phoneticPr fontId="7" type="noConversion"/>
  </si>
  <si>
    <t>아몬드봉봉크림파이</t>
    <phoneticPr fontId="7" type="noConversion"/>
  </si>
  <si>
    <t>아몬드봉봉크림파이</t>
    <phoneticPr fontId="7" type="noConversion"/>
  </si>
  <si>
    <t>비요뜨</t>
  </si>
  <si>
    <t>떡볶이떡</t>
    <phoneticPr fontId="7" type="noConversion"/>
  </si>
  <si>
    <t>비엔나</t>
    <phoneticPr fontId="7" type="noConversion"/>
  </si>
  <si>
    <t>브로콜리</t>
    <phoneticPr fontId="7" type="noConversion"/>
  </si>
  <si>
    <t>까르보나라소스</t>
    <phoneticPr fontId="7" type="noConversion"/>
  </si>
  <si>
    <t>파마산치즈</t>
    <phoneticPr fontId="7" type="noConversion"/>
  </si>
  <si>
    <t>비요뜨</t>
    <phoneticPr fontId="7" type="noConversion"/>
  </si>
  <si>
    <t>비요뜨</t>
    <phoneticPr fontId="7" type="noConversion"/>
  </si>
  <si>
    <t>케찹</t>
    <phoneticPr fontId="7" type="noConversion"/>
  </si>
  <si>
    <t>아라비아따소스</t>
    <phoneticPr fontId="7" type="noConversion"/>
  </si>
  <si>
    <t>미니브라우니</t>
    <phoneticPr fontId="7" type="noConversion"/>
  </si>
  <si>
    <t>돈삼겹</t>
    <phoneticPr fontId="7" type="noConversion"/>
  </si>
  <si>
    <t>양배추</t>
    <phoneticPr fontId="7" type="noConversion"/>
  </si>
  <si>
    <t>생강</t>
    <phoneticPr fontId="7" type="noConversion"/>
  </si>
  <si>
    <t>갈릭디핑소스</t>
    <phoneticPr fontId="7" type="noConversion"/>
  </si>
  <si>
    <t>백미밥,동파육덮밥&amp;솟,팽이장국,갈릭버터감자튀김,배추김치,덴마크초코우유</t>
    <phoneticPr fontId="7" type="noConversion"/>
  </si>
  <si>
    <t>돈장조림(후지)</t>
    <phoneticPr fontId="7" type="noConversion"/>
  </si>
  <si>
    <t>돈장조림(전지)</t>
    <phoneticPr fontId="7" type="noConversion"/>
  </si>
  <si>
    <t>스테이크소스</t>
    <phoneticPr fontId="7" type="noConversion"/>
  </si>
  <si>
    <t>포도푸딩</t>
    <phoneticPr fontId="7" type="noConversion"/>
  </si>
  <si>
    <t>물만두</t>
    <phoneticPr fontId="7" type="noConversion"/>
  </si>
  <si>
    <t>메밀국수</t>
    <phoneticPr fontId="7" type="noConversion"/>
  </si>
  <si>
    <t>쫀득궁합파이</t>
    <phoneticPr fontId="7" type="noConversion"/>
  </si>
  <si>
    <t>초고추장</t>
    <phoneticPr fontId="7" type="noConversion"/>
  </si>
  <si>
    <t>바싹잡채납작만두</t>
    <phoneticPr fontId="7" type="noConversion"/>
  </si>
  <si>
    <t>바싹잡채납작만두</t>
    <phoneticPr fontId="7" type="noConversion"/>
  </si>
  <si>
    <t>심인고등학교</t>
    <phoneticPr fontId="7" type="noConversion"/>
  </si>
  <si>
    <t>백미밥,크림스프,치킨스테이크,미트소스스파게티,김치볶음,부시맨빵&amp;초코잼</t>
    <phoneticPr fontId="7" type="noConversion"/>
  </si>
  <si>
    <t>잡곡밥,돈육김치찌개,마라찜닭,소시지구이&amp;머스타드,치커리유자무침,깍두기&amp;진한망고</t>
    <phoneticPr fontId="7" type="noConversion"/>
  </si>
  <si>
    <t>돈육김치찌개</t>
  </si>
  <si>
    <t>돈찌개</t>
  </si>
  <si>
    <t>마라찜닭</t>
  </si>
  <si>
    <t>닭안심</t>
  </si>
  <si>
    <t>분모자</t>
  </si>
  <si>
    <t>납작당면</t>
  </si>
  <si>
    <t>소시지구이&amp;머스타드</t>
  </si>
  <si>
    <t>휠터치소시지</t>
  </si>
  <si>
    <t>머스타드</t>
  </si>
  <si>
    <t>진한망고</t>
  </si>
  <si>
    <t>참치추어탕</t>
  </si>
  <si>
    <t>숙주</t>
    <phoneticPr fontId="7" type="noConversion"/>
  </si>
  <si>
    <t>청고추</t>
    <phoneticPr fontId="7" type="noConversion"/>
  </si>
  <si>
    <t>통살콘오징어너겟&amp;머스타드</t>
  </si>
  <si>
    <t>잡곡밥,참치추어탕,짜장불고기,동살콘오징어너겟&amp;머스타드,콘슬로우,배추김치&amp;한입바바리안</t>
    <phoneticPr fontId="7" type="noConversion"/>
  </si>
  <si>
    <t>백미밥,들꺠미역국,로제찜닭,뿌링클치즈볼,참나물무침,깍두기,트로피칼푸딩</t>
    <phoneticPr fontId="7" type="noConversion"/>
  </si>
  <si>
    <t>로제찜닭</t>
  </si>
  <si>
    <t>꼬마떡</t>
  </si>
  <si>
    <t>로제소스</t>
  </si>
  <si>
    <t>파마산치즈</t>
  </si>
  <si>
    <t>닭정육</t>
    <phoneticPr fontId="7" type="noConversion"/>
  </si>
  <si>
    <t>닭안심</t>
    <phoneticPr fontId="7" type="noConversion"/>
  </si>
  <si>
    <t>북성로불고기</t>
  </si>
  <si>
    <t>돈불고기</t>
    <phoneticPr fontId="7" type="noConversion"/>
  </si>
  <si>
    <t>마늘</t>
    <phoneticPr fontId="7" type="noConversion"/>
  </si>
  <si>
    <t>대파</t>
    <phoneticPr fontId="7" type="noConversion"/>
  </si>
  <si>
    <t>할맥밥</t>
  </si>
  <si>
    <t>라멘소스</t>
  </si>
  <si>
    <t>닭바베큐조림</t>
  </si>
  <si>
    <t>빨간양념꼬치어묵</t>
  </si>
  <si>
    <t>골드파인애플</t>
  </si>
  <si>
    <t>할맥밥,돈고츠라멘,닭바베큐조림,빨간양념꼬치어묵,배추김치,골드파인애플</t>
    <phoneticPr fontId="7" type="noConversion"/>
  </si>
  <si>
    <t>참치김치볶음</t>
  </si>
  <si>
    <t>맛김치</t>
    <phoneticPr fontId="7" type="noConversion"/>
  </si>
  <si>
    <t>잡곡밥,한국식마라탕,오리버섯주물럭,지삼선, 참치김치볶음,배추김치,짜요짜요</t>
    <phoneticPr fontId="7" type="noConversion"/>
  </si>
  <si>
    <t>알어묵고추장조림</t>
  </si>
  <si>
    <t>알어묵</t>
  </si>
  <si>
    <t>흑미밥,조랭이떡국,불맛대파불고기,연두부샐러드,알어묵고추장조림,배추김치,무농약제주감귤</t>
    <phoneticPr fontId="7" type="noConversion"/>
  </si>
  <si>
    <t xml:space="preserve"> 백미밥,주꾸미볶음&amp;생야채,미소장국,바삭바삭돼지고기강정,계란찜.배추김치</t>
    <phoneticPr fontId="7" type="noConversion"/>
  </si>
  <si>
    <t>식용유</t>
    <phoneticPr fontId="7" type="noConversion"/>
  </si>
  <si>
    <t>김치볶음밥</t>
  </si>
  <si>
    <t>쵸핑햄</t>
  </si>
  <si>
    <t>잔치국수</t>
  </si>
  <si>
    <t>소면</t>
    <phoneticPr fontId="7" type="noConversion"/>
  </si>
  <si>
    <t>오징어탕수육</t>
  </si>
  <si>
    <t>진미양배추무침</t>
  </si>
  <si>
    <t>진미채</t>
  </si>
  <si>
    <t>초고추장</t>
  </si>
  <si>
    <t>조리퐁라떼</t>
  </si>
  <si>
    <t>죠리퐁</t>
    <phoneticPr fontId="7" type="noConversion"/>
  </si>
  <si>
    <t>죠리퐁</t>
    <phoneticPr fontId="7" type="noConversion"/>
  </si>
  <si>
    <t>김치볶음밥,잔치국수,오징어탕수육,진미양배추무침,깍두기,퐁크러쉬(조리퐁라떼)</t>
    <phoneticPr fontId="7" type="noConversion"/>
  </si>
  <si>
    <t>갈비맛허니치킨</t>
  </si>
  <si>
    <t>버터</t>
    <phoneticPr fontId="7" type="noConversion"/>
  </si>
  <si>
    <t>물엿</t>
    <phoneticPr fontId="7" type="noConversion"/>
  </si>
  <si>
    <t>마늘</t>
    <phoneticPr fontId="7" type="noConversion"/>
  </si>
  <si>
    <t>치킨가라아게</t>
    <phoneticPr fontId="7" type="noConversion"/>
  </si>
  <si>
    <t>매콤두부조림</t>
  </si>
  <si>
    <t>두부</t>
    <phoneticPr fontId="7" type="noConversion"/>
  </si>
  <si>
    <t>백미밥,돼지국밥,갈비맛허니치킨,매콤두부조림,어묵채볶음,배추김치&amp;아몬드봉봉파이</t>
    <phoneticPr fontId="7" type="noConversion"/>
  </si>
  <si>
    <t>토핑오무라이스</t>
  </si>
  <si>
    <t>게맛살튀김</t>
  </si>
  <si>
    <t>데미그라스소스</t>
    <phoneticPr fontId="7" type="noConversion"/>
  </si>
  <si>
    <t>계란지단</t>
    <phoneticPr fontId="7" type="noConversion"/>
  </si>
  <si>
    <t>청피망</t>
    <phoneticPr fontId="7" type="noConversion"/>
  </si>
  <si>
    <t>혼합야채</t>
    <phoneticPr fontId="7" type="noConversion"/>
  </si>
  <si>
    <t>소고기무국</t>
  </si>
  <si>
    <t>우국거리</t>
    <phoneticPr fontId="7" type="noConversion"/>
  </si>
  <si>
    <t>피쉬앤칩스&amp;타르소스</t>
  </si>
  <si>
    <t>새우칩</t>
    <phoneticPr fontId="7" type="noConversion"/>
  </si>
  <si>
    <t>오이피클</t>
    <phoneticPr fontId="7" type="noConversion"/>
  </si>
  <si>
    <t>백미밥,소고기무국,피쉬앤칩스&amp;타르소스,푸실리파스타볶음,고추참치볶음,배추김치,미니브라우니</t>
    <phoneticPr fontId="7" type="noConversion"/>
  </si>
  <si>
    <t>건다시마</t>
    <phoneticPr fontId="7" type="noConversion"/>
  </si>
  <si>
    <t>다시멸치</t>
    <phoneticPr fontId="7" type="noConversion"/>
  </si>
  <si>
    <t>스팸밥버거</t>
  </si>
  <si>
    <t>알밥단무지</t>
  </si>
  <si>
    <t>미니우동국</t>
  </si>
  <si>
    <t>냉동우동면</t>
  </si>
  <si>
    <t>사각어묵채</t>
  </si>
  <si>
    <t>건더기스프</t>
  </si>
  <si>
    <t>타코야끼구이</t>
  </si>
  <si>
    <t>타코야끼</t>
  </si>
  <si>
    <t>가스오부시</t>
  </si>
  <si>
    <t>망고탱고워터</t>
  </si>
  <si>
    <t>망고탱고워터</t>
    <phoneticPr fontId="7" type="noConversion"/>
  </si>
  <si>
    <t>스팸밥버거,미니우동국,타코야끼구이,배추김치,망고탱고워터</t>
    <phoneticPr fontId="7" type="noConversion"/>
  </si>
  <si>
    <t>백미밥,단배추된장국,바베큐폭찹,지파이,보코치니그린샐러드,배추김치</t>
    <phoneticPr fontId="7" type="noConversion"/>
  </si>
  <si>
    <t>피카지파이</t>
  </si>
  <si>
    <t>갈릭시즈닝</t>
    <phoneticPr fontId="7" type="noConversion"/>
  </si>
  <si>
    <t>허니버터시즈닝</t>
    <phoneticPr fontId="7" type="noConversion"/>
  </si>
  <si>
    <t>지파이</t>
    <phoneticPr fontId="7" type="noConversion"/>
  </si>
  <si>
    <t>오리훈제구이&amp;무쌈</t>
  </si>
  <si>
    <t>잡곡밥,물만두국,오리훈제구이&amp;무쌈,비빔막국수,파래자반,배추김치,쫀득궁합파이</t>
    <phoneticPr fontId="7" type="noConversion"/>
  </si>
  <si>
    <t>콩나물밥&amp;양념장</t>
    <phoneticPr fontId="7" type="noConversion"/>
  </si>
  <si>
    <t>배추</t>
    <phoneticPr fontId="7" type="noConversion"/>
  </si>
  <si>
    <t>건다시마</t>
    <phoneticPr fontId="7" type="noConversion"/>
  </si>
  <si>
    <t>다시멸치</t>
    <phoneticPr fontId="7" type="noConversion"/>
  </si>
  <si>
    <t>덴마크초코우유</t>
    <phoneticPr fontId="7" type="noConversion"/>
  </si>
  <si>
    <t>멘츠카츠&amp;소스</t>
  </si>
  <si>
    <t>멘츠카츠</t>
    <phoneticPr fontId="7" type="noConversion"/>
  </si>
  <si>
    <t>돈까스소스</t>
    <phoneticPr fontId="7" type="noConversion"/>
  </si>
  <si>
    <t>게맛살오무라이스,짬뽕국, 멘츠까츠,떙초까르보나라떡볶이,토마토부추무침,배추김치,비요뜨</t>
    <phoneticPr fontId="7" type="noConversion"/>
  </si>
  <si>
    <t>랜덤쿨피스</t>
    <phoneticPr fontId="7" type="noConversion"/>
  </si>
  <si>
    <t>쿨피스</t>
    <phoneticPr fontId="7" type="noConversion"/>
  </si>
  <si>
    <t>양파</t>
    <phoneticPr fontId="7" type="noConversion"/>
  </si>
  <si>
    <t>건다시마</t>
    <phoneticPr fontId="7" type="noConversion"/>
  </si>
  <si>
    <t>다시멸치</t>
    <phoneticPr fontId="7" type="noConversion"/>
  </si>
  <si>
    <t>정소예</t>
    <phoneticPr fontId="7" type="noConversion"/>
  </si>
  <si>
    <t>치커리유자무침</t>
    <phoneticPr fontId="7" type="noConversion"/>
  </si>
  <si>
    <t>치커리</t>
    <phoneticPr fontId="7" type="noConversion"/>
  </si>
  <si>
    <t>콩나물밥&amp;양념장,두부탕국,북성로불고기,바나나시리얼샐러드,배추김치,사랑해사과씨</t>
    <phoneticPr fontId="7" type="noConversion"/>
  </si>
  <si>
    <t>식용유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</si>
</sst>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\ aaa&quot;요일&quot;"/>
    <numFmt numFmtId="177" formatCode="0\ &quot;회&quot;"/>
    <numFmt numFmtId="178" formatCode="yyyy&quot;년&quot;\ m&quot;월&quot;\ d&quot;일&quot;"/>
    <numFmt numFmtId="179" formatCode="0\ &quot; ℃ ,&quot;"/>
    <numFmt numFmtId="180" formatCode="0&quot;  %&quot;"/>
    <numFmt numFmtId="181" formatCode="0&quot;명&quot;"/>
    <numFmt numFmtId="182" formatCode="0&quot;학년&quot;"/>
    <numFmt numFmtId="183" formatCode="0.00_);[Red]\(0.00\)"/>
    <numFmt numFmtId="184" formatCode="0.0"/>
    <numFmt numFmtId="185" formatCode="0.0%"/>
    <numFmt numFmtId="186" formatCode="0_ "/>
    <numFmt numFmtId="187" formatCode="#,##0.00_);[Red]\(#,##0.00\)"/>
    <numFmt numFmtId="188" formatCode="0\ &quot;명&quot;"/>
    <numFmt numFmtId="189" formatCode="0,000&quot;원&quot;"/>
    <numFmt numFmtId="190" formatCode="#,##0.0_);[Red]\(#,##0.0\)"/>
    <numFmt numFmtId="191" formatCode="0.0_);[Red]\(0.0\)"/>
  </numFmts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indexed="10"/>
      <name val="진달래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9"/>
      <name val="Arial"/>
      <family val="2"/>
    </font>
    <font>
      <sz val="11"/>
      <color rgb="FFFF0000"/>
      <name val="돋움"/>
      <family val="3"/>
      <charset val="129"/>
    </font>
    <font>
      <sz val="9"/>
      <name val="바탕"/>
      <family val="1"/>
      <charset val="129"/>
    </font>
    <font>
      <sz val="9"/>
      <color rgb="FF45250C"/>
      <name val="굴림"/>
      <family val="3"/>
      <charset val="129"/>
    </font>
    <font>
      <vertAlign val="subscript"/>
      <sz val="11"/>
      <name val="돋움"/>
      <family val="3"/>
      <charset val="129"/>
    </font>
    <font>
      <b/>
      <sz val="11"/>
      <name val="HY나무B"/>
      <family val="1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4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5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40">
    <xf numFmtId="0" fontId="0" fillId="0" borderId="0"/>
    <xf numFmtId="41" fontId="5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4" fillId="7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</cellStyleXfs>
  <cellXfs count="263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183" fontId="10" fillId="0" borderId="0" xfId="0" applyNumberFormat="1" applyFont="1" applyAlignment="1">
      <alignment horizontal="center" vertical="center" shrinkToFit="1"/>
    </xf>
    <xf numFmtId="181" fontId="10" fillId="0" borderId="0" xfId="0" applyNumberFormat="1" applyFont="1" applyAlignment="1">
      <alignment horizontal="center" vertical="center" shrinkToFit="1"/>
    </xf>
    <xf numFmtId="181" fontId="10" fillId="0" borderId="0" xfId="0" applyNumberFormat="1" applyFont="1" applyAlignment="1">
      <alignment horizontal="center"/>
    </xf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/>
    </xf>
    <xf numFmtId="177" fontId="6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31" fontId="8" fillId="0" borderId="0" xfId="0" applyNumberFormat="1" applyFont="1" applyAlignment="1" applyProtection="1">
      <alignment horizontal="center" vertical="center"/>
      <protection locked="0"/>
    </xf>
    <xf numFmtId="31" fontId="6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83" fontId="0" fillId="4" borderId="9" xfId="0" applyNumberFormat="1" applyFill="1" applyBorder="1" applyAlignment="1">
      <alignment horizontal="center" vertical="center"/>
    </xf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41" fontId="0" fillId="0" borderId="0" xfId="1" applyFont="1" applyFill="1" applyAlignment="1">
      <alignment shrinkToFit="1"/>
    </xf>
    <xf numFmtId="187" fontId="0" fillId="4" borderId="3" xfId="0" applyNumberFormat="1" applyFill="1" applyBorder="1" applyAlignment="1">
      <alignment horizontal="center" vertical="center" shrinkToFit="1"/>
    </xf>
    <xf numFmtId="184" fontId="0" fillId="0" borderId="0" xfId="0" applyNumberFormat="1"/>
    <xf numFmtId="187" fontId="0" fillId="0" borderId="0" xfId="0" applyNumberFormat="1"/>
    <xf numFmtId="0" fontId="0" fillId="0" borderId="7" xfId="0" applyBorder="1" applyAlignment="1">
      <alignment horizontal="center" vertical="center" shrinkToFit="1"/>
    </xf>
    <xf numFmtId="185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 shrinkToFit="1"/>
    </xf>
    <xf numFmtId="181" fontId="0" fillId="0" borderId="0" xfId="0" applyNumberForma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31" fontId="8" fillId="0" borderId="0" xfId="0" applyNumberFormat="1" applyFont="1" applyAlignment="1" applyProtection="1">
      <alignment horizontal="left" vertical="center" indent="1"/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88" fontId="6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 shrinkToFit="1"/>
    </xf>
    <xf numFmtId="0" fontId="0" fillId="3" borderId="28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183" fontId="0" fillId="3" borderId="30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183" fontId="0" fillId="0" borderId="6" xfId="0" applyNumberFormat="1" applyBorder="1" applyAlignment="1">
      <alignment horizontal="center" vertical="center" shrinkToFit="1"/>
    </xf>
    <xf numFmtId="176" fontId="6" fillId="0" borderId="0" xfId="0" applyNumberFormat="1" applyFont="1" applyAlignment="1">
      <alignment vertical="center"/>
    </xf>
    <xf numFmtId="0" fontId="0" fillId="3" borderId="37" xfId="0" applyFill="1" applyBorder="1" applyAlignment="1">
      <alignment horizontal="center" vertical="center" wrapText="1"/>
    </xf>
    <xf numFmtId="183" fontId="0" fillId="3" borderId="38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 shrinkToFit="1"/>
    </xf>
    <xf numFmtId="190" fontId="0" fillId="4" borderId="3" xfId="0" applyNumberFormat="1" applyFill="1" applyBorder="1" applyAlignment="1">
      <alignment horizontal="center" vertical="center" shrinkToFi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shrinkToFit="1"/>
    </xf>
    <xf numFmtId="0" fontId="11" fillId="0" borderId="0" xfId="2" applyFont="1" applyAlignment="1"/>
    <xf numFmtId="0" fontId="18" fillId="0" borderId="1" xfId="2" applyBorder="1" applyAlignment="1">
      <alignment horizontal="center" vertical="center" shrinkToFit="1"/>
    </xf>
    <xf numFmtId="0" fontId="10" fillId="0" borderId="1" xfId="2" applyFont="1" applyBorder="1" applyAlignment="1">
      <alignment horizontal="center" vertical="center" shrinkToFit="1"/>
    </xf>
    <xf numFmtId="0" fontId="11" fillId="0" borderId="1" xfId="2" applyFont="1" applyBorder="1" applyAlignment="1">
      <alignment horizontal="center" vertical="center" shrinkToFit="1"/>
    </xf>
    <xf numFmtId="0" fontId="11" fillId="0" borderId="13" xfId="2" applyFont="1" applyBorder="1" applyAlignment="1">
      <alignment horizontal="center" vertical="center"/>
    </xf>
    <xf numFmtId="0" fontId="18" fillId="0" borderId="0" xfId="2" applyAlignment="1"/>
    <xf numFmtId="0" fontId="18" fillId="0" borderId="1" xfId="2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1" fillId="0" borderId="1" xfId="2" quotePrefix="1" applyFont="1" applyBorder="1" applyAlignment="1">
      <alignment horizontal="center" vertical="center"/>
    </xf>
    <xf numFmtId="0" fontId="18" fillId="0" borderId="0" xfId="2" applyAlignment="1">
      <alignment horizontal="center" vertical="center" shrinkToFit="1"/>
    </xf>
    <xf numFmtId="0" fontId="18" fillId="0" borderId="0" xfId="2" applyAlignment="1">
      <alignment horizontal="left"/>
    </xf>
    <xf numFmtId="0" fontId="18" fillId="0" borderId="16" xfId="2" applyBorder="1" applyAlignment="1">
      <alignment horizontal="center" vertical="center"/>
    </xf>
    <xf numFmtId="0" fontId="21" fillId="0" borderId="16" xfId="2" applyFont="1" applyBorder="1" applyAlignment="1">
      <alignment horizontal="left" vertical="center"/>
    </xf>
    <xf numFmtId="0" fontId="22" fillId="0" borderId="16" xfId="2" applyFont="1" applyBorder="1" applyAlignment="1">
      <alignment horizontal="center" vertical="center"/>
    </xf>
    <xf numFmtId="0" fontId="18" fillId="0" borderId="3" xfId="2" applyBorder="1" applyAlignment="1">
      <alignment horizontal="center" vertical="center" wrapText="1"/>
    </xf>
    <xf numFmtId="0" fontId="11" fillId="5" borderId="0" xfId="2" applyFont="1" applyFill="1" applyAlignment="1"/>
    <xf numFmtId="0" fontId="18" fillId="5" borderId="1" xfId="2" applyFill="1" applyBorder="1" applyAlignment="1">
      <alignment horizontal="center" vertical="center" shrinkToFit="1"/>
    </xf>
    <xf numFmtId="0" fontId="10" fillId="5" borderId="1" xfId="2" applyFont="1" applyFill="1" applyBorder="1" applyAlignment="1">
      <alignment horizontal="left" vertical="center"/>
    </xf>
    <xf numFmtId="0" fontId="11" fillId="5" borderId="1" xfId="2" applyFont="1" applyFill="1" applyBorder="1" applyAlignment="1">
      <alignment horizontal="center" vertical="center"/>
    </xf>
    <xf numFmtId="0" fontId="18" fillId="5" borderId="0" xfId="2" applyFill="1" applyAlignment="1"/>
    <xf numFmtId="0" fontId="11" fillId="0" borderId="1" xfId="2" applyFont="1" applyBorder="1">
      <alignment vertical="center"/>
    </xf>
    <xf numFmtId="0" fontId="13" fillId="0" borderId="1" xfId="2" applyFont="1" applyBorder="1" applyAlignment="1">
      <alignment horizontal="center" vertical="center" shrinkToFit="1"/>
    </xf>
    <xf numFmtId="0" fontId="18" fillId="0" borderId="1" xfId="2" applyBorder="1" applyAlignment="1">
      <alignment horizontal="left"/>
    </xf>
    <xf numFmtId="0" fontId="14" fillId="0" borderId="1" xfId="2" applyFont="1" applyBorder="1" applyAlignment="1">
      <alignment horizontal="center" vertical="center"/>
    </xf>
    <xf numFmtId="186" fontId="14" fillId="0" borderId="1" xfId="2" applyNumberFormat="1" applyFont="1" applyBorder="1" applyAlignment="1">
      <alignment horizontal="center" vertical="center"/>
    </xf>
    <xf numFmtId="0" fontId="8" fillId="0" borderId="0" xfId="2" applyFont="1" applyAlignment="1"/>
    <xf numFmtId="0" fontId="15" fillId="6" borderId="1" xfId="2" applyFont="1" applyFill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/>
    </xf>
    <xf numFmtId="0" fontId="15" fillId="6" borderId="0" xfId="2" applyFont="1" applyFill="1" applyAlignment="1">
      <alignment horizontal="center" vertical="center" wrapText="1"/>
    </xf>
    <xf numFmtId="0" fontId="15" fillId="6" borderId="15" xfId="2" applyFont="1" applyFill="1" applyBorder="1" applyAlignment="1">
      <alignment horizontal="center" vertical="center" wrapText="1"/>
    </xf>
    <xf numFmtId="0" fontId="15" fillId="6" borderId="16" xfId="2" applyFont="1" applyFill="1" applyBorder="1" applyAlignment="1">
      <alignment horizontal="center" vertical="center" wrapText="1"/>
    </xf>
    <xf numFmtId="0" fontId="18" fillId="0" borderId="10" xfId="2" applyBorder="1" applyAlignment="1">
      <alignment horizontal="center" vertical="center" shrinkToFit="1"/>
    </xf>
    <xf numFmtId="0" fontId="10" fillId="0" borderId="8" xfId="2" applyFont="1" applyBorder="1" applyAlignment="1">
      <alignment horizontal="left" vertical="center"/>
    </xf>
    <xf numFmtId="0" fontId="18" fillId="0" borderId="17" xfId="2" applyBorder="1" applyAlignment="1">
      <alignment horizontal="center" vertical="center" shrinkToFit="1"/>
    </xf>
    <xf numFmtId="0" fontId="10" fillId="0" borderId="18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1" fillId="0" borderId="1" xfId="2" applyFont="1" applyBorder="1" applyAlignment="1"/>
    <xf numFmtId="0" fontId="10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8" fillId="0" borderId="14" xfId="2" applyBorder="1" applyAlignment="1">
      <alignment horizontal="center" vertical="center" shrinkToFit="1"/>
    </xf>
    <xf numFmtId="0" fontId="18" fillId="0" borderId="3" xfId="2" applyBorder="1" applyAlignment="1">
      <alignment horizontal="center" vertical="center" shrinkToFit="1"/>
    </xf>
    <xf numFmtId="0" fontId="18" fillId="0" borderId="7" xfId="2" applyBorder="1" applyAlignment="1">
      <alignment horizontal="center" vertical="center" shrinkToFit="1"/>
    </xf>
    <xf numFmtId="31" fontId="8" fillId="0" borderId="0" xfId="16" applyNumberFormat="1" applyFont="1" applyAlignment="1" applyProtection="1">
      <alignment horizontal="left" vertical="center" indent="1"/>
      <protection locked="0"/>
    </xf>
    <xf numFmtId="31" fontId="8" fillId="0" borderId="20" xfId="16" applyNumberFormat="1" applyFont="1" applyBorder="1" applyAlignment="1" applyProtection="1">
      <alignment horizontal="left" vertical="center" indent="1"/>
      <protection locked="0"/>
    </xf>
    <xf numFmtId="31" fontId="8" fillId="0" borderId="20" xfId="16" applyNumberFormat="1" applyFont="1" applyBorder="1" applyAlignment="1" applyProtection="1">
      <alignment horizontal="center" vertical="center"/>
      <protection locked="0"/>
    </xf>
    <xf numFmtId="179" fontId="8" fillId="0" borderId="20" xfId="16" applyNumberFormat="1" applyFont="1" applyBorder="1" applyAlignment="1" applyProtection="1">
      <alignment horizontal="right" vertical="center"/>
      <protection locked="0"/>
    </xf>
    <xf numFmtId="180" fontId="8" fillId="0" borderId="20" xfId="16" applyNumberFormat="1" applyFont="1" applyBorder="1" applyAlignment="1" applyProtection="1">
      <alignment horizontal="center" vertical="center"/>
      <protection locked="0"/>
    </xf>
    <xf numFmtId="0" fontId="8" fillId="0" borderId="20" xfId="16" applyFont="1" applyBorder="1" applyAlignment="1">
      <alignment horizontal="center" vertical="center" wrapText="1"/>
    </xf>
    <xf numFmtId="185" fontId="23" fillId="0" borderId="20" xfId="16" applyNumberFormat="1" applyFont="1" applyBorder="1" applyAlignment="1">
      <alignment horizontal="center" vertical="center" wrapText="1"/>
    </xf>
    <xf numFmtId="0" fontId="8" fillId="0" borderId="0" xfId="16" applyFont="1">
      <alignment vertical="center"/>
    </xf>
    <xf numFmtId="0" fontId="19" fillId="0" borderId="0" xfId="16" applyAlignment="1"/>
    <xf numFmtId="0" fontId="8" fillId="0" borderId="0" xfId="16" applyFont="1" applyAlignment="1">
      <alignment horizontal="center" vertical="center" wrapText="1"/>
    </xf>
    <xf numFmtId="191" fontId="0" fillId="0" borderId="7" xfId="0" applyNumberForma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6" applyFont="1" applyAlignment="1">
      <alignment horizontal="center" vertical="center" wrapText="1"/>
    </xf>
    <xf numFmtId="0" fontId="18" fillId="0" borderId="0" xfId="2" applyFill="1" applyAlignment="1">
      <alignment horizontal="center" vertical="center" shrinkToFit="1"/>
    </xf>
    <xf numFmtId="0" fontId="8" fillId="0" borderId="0" xfId="16" applyFont="1" applyBorder="1" applyAlignment="1">
      <alignment horizontal="center" vertical="center" wrapText="1"/>
    </xf>
    <xf numFmtId="0" fontId="8" fillId="0" borderId="0" xfId="16" applyFont="1" applyBorder="1" applyAlignment="1">
      <alignment horizontal="center" vertical="center" wrapText="1"/>
    </xf>
    <xf numFmtId="183" fontId="6" fillId="0" borderId="1" xfId="16" applyNumberFormat="1" applyFont="1" applyBorder="1" applyAlignment="1">
      <alignment horizontal="center" vertical="center" wrapText="1"/>
    </xf>
    <xf numFmtId="0" fontId="18" fillId="0" borderId="44" xfId="2" applyBorder="1" applyAlignment="1">
      <alignment horizontal="center" vertical="center" shrinkToFit="1"/>
    </xf>
    <xf numFmtId="183" fontId="0" fillId="0" borderId="7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183" fontId="0" fillId="0" borderId="7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0" fontId="0" fillId="0" borderId="0" xfId="0"/>
    <xf numFmtId="184" fontId="0" fillId="0" borderId="0" xfId="0" applyNumberFormat="1" applyAlignment="1">
      <alignment shrinkToFit="1"/>
    </xf>
    <xf numFmtId="183" fontId="0" fillId="0" borderId="6" xfId="0" applyNumberFormat="1" applyBorder="1" applyAlignment="1">
      <alignment horizontal="center" vertical="center" shrinkToFit="1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shrinkToFit="1"/>
    </xf>
    <xf numFmtId="183" fontId="0" fillId="0" borderId="6" xfId="0" applyNumberForma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183" fontId="0" fillId="0" borderId="6" xfId="0" applyNumberForma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 shrinkToFit="1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183" fontId="0" fillId="0" borderId="6" xfId="0" applyNumberForma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 shrinkToFit="1"/>
    </xf>
    <xf numFmtId="183" fontId="0" fillId="0" borderId="7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183" fontId="0" fillId="0" borderId="6" xfId="0" applyNumberForma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0" fillId="0" borderId="0" xfId="0"/>
    <xf numFmtId="183" fontId="0" fillId="0" borderId="7" xfId="0" applyNumberFormat="1" applyBorder="1" applyAlignment="1">
      <alignment horizontal="center" vertical="center" shrinkToFit="1"/>
    </xf>
    <xf numFmtId="184" fontId="0" fillId="0" borderId="0" xfId="0" applyNumberFormat="1" applyAlignment="1">
      <alignment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wrapText="1"/>
    </xf>
    <xf numFmtId="183" fontId="0" fillId="0" borderId="6" xfId="0" applyNumberForma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 shrinkToFit="1"/>
    </xf>
    <xf numFmtId="183" fontId="0" fillId="0" borderId="7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shrinkToFit="1"/>
    </xf>
    <xf numFmtId="0" fontId="8" fillId="0" borderId="1" xfId="16" applyFont="1" applyBorder="1" applyAlignment="1">
      <alignment horizontal="center" vertical="center" wrapText="1"/>
    </xf>
    <xf numFmtId="0" fontId="8" fillId="0" borderId="0" xfId="16" applyFont="1" applyAlignment="1">
      <alignment horizontal="center" vertical="center" wrapText="1"/>
    </xf>
    <xf numFmtId="0" fontId="8" fillId="0" borderId="0" xfId="16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6" applyFont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8" fillId="0" borderId="0" xfId="2" applyBorder="1" applyAlignment="1">
      <alignment horizontal="center" vertical="center" shrinkToFit="1"/>
    </xf>
    <xf numFmtId="183" fontId="0" fillId="0" borderId="45" xfId="0" applyNumberForma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8" fillId="0" borderId="1" xfId="16" applyFont="1" applyBorder="1" applyAlignment="1">
      <alignment horizontal="center" vertical="center" wrapText="1"/>
    </xf>
    <xf numFmtId="0" fontId="0" fillId="0" borderId="1" xfId="0" applyBorder="1"/>
    <xf numFmtId="0" fontId="2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16" applyFont="1" applyAlignment="1">
      <alignment horizontal="center" vertical="center" wrapText="1"/>
    </xf>
    <xf numFmtId="0" fontId="8" fillId="0" borderId="1" xfId="16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textRotation="255" wrapText="1"/>
    </xf>
    <xf numFmtId="177" fontId="6" fillId="0" borderId="0" xfId="0" applyNumberFormat="1" applyFont="1" applyAlignment="1">
      <alignment horizontal="center" vertical="center"/>
    </xf>
    <xf numFmtId="0" fontId="8" fillId="0" borderId="0" xfId="16" applyFont="1" applyAlignment="1">
      <alignment horizontal="center" vertical="center" wrapText="1"/>
    </xf>
    <xf numFmtId="183" fontId="8" fillId="0" borderId="1" xfId="16" applyNumberFormat="1" applyFont="1" applyBorder="1" applyAlignment="1">
      <alignment horizontal="center" vertical="center" wrapText="1"/>
    </xf>
    <xf numFmtId="0" fontId="8" fillId="0" borderId="1" xfId="16" applyFont="1" applyBorder="1" applyAlignment="1">
      <alignment horizontal="center" vertical="center" wrapText="1"/>
    </xf>
    <xf numFmtId="0" fontId="23" fillId="0" borderId="20" xfId="16" applyFont="1" applyBorder="1" applyAlignment="1">
      <alignment horizontal="center" vertical="center" wrapText="1"/>
    </xf>
    <xf numFmtId="0" fontId="8" fillId="0" borderId="0" xfId="16" applyFont="1" applyBorder="1" applyAlignment="1">
      <alignment horizontal="center" vertical="center" wrapText="1"/>
    </xf>
    <xf numFmtId="0" fontId="9" fillId="0" borderId="0" xfId="16" applyFont="1" applyAlignment="1">
      <alignment horizontal="center" vertical="center"/>
    </xf>
    <xf numFmtId="182" fontId="19" fillId="0" borderId="32" xfId="16" applyNumberFormat="1" applyBorder="1" applyAlignment="1">
      <alignment horizontal="center" vertical="center"/>
    </xf>
    <xf numFmtId="182" fontId="19" fillId="0" borderId="24" xfId="16" applyNumberFormat="1" applyBorder="1" applyAlignment="1">
      <alignment horizontal="center" vertical="center"/>
    </xf>
    <xf numFmtId="182" fontId="19" fillId="0" borderId="26" xfId="16" applyNumberFormat="1" applyBorder="1" applyAlignment="1">
      <alignment horizontal="center" vertical="center"/>
    </xf>
    <xf numFmtId="182" fontId="19" fillId="0" borderId="24" xfId="16" applyNumberFormat="1" applyBorder="1" applyAlignment="1">
      <alignment horizontal="center" vertical="center" shrinkToFit="1"/>
    </xf>
    <xf numFmtId="182" fontId="19" fillId="0" borderId="2" xfId="16" applyNumberFormat="1" applyBorder="1" applyAlignment="1">
      <alignment horizontal="center" vertical="center" shrinkToFit="1"/>
    </xf>
    <xf numFmtId="178" fontId="19" fillId="0" borderId="41" xfId="16" applyNumberFormat="1" applyBorder="1" applyAlignment="1">
      <alignment horizontal="center" vertical="center"/>
    </xf>
    <xf numFmtId="178" fontId="19" fillId="0" borderId="42" xfId="16" applyNumberFormat="1" applyBorder="1" applyAlignment="1">
      <alignment horizontal="center" vertical="center"/>
    </xf>
    <xf numFmtId="178" fontId="19" fillId="0" borderId="6" xfId="16" applyNumberFormat="1" applyBorder="1" applyAlignment="1">
      <alignment horizontal="center" vertical="center"/>
    </xf>
    <xf numFmtId="181" fontId="19" fillId="0" borderId="36" xfId="16" applyNumberFormat="1" applyBorder="1" applyAlignment="1">
      <alignment horizontal="center" vertical="center" shrinkToFit="1"/>
    </xf>
    <xf numFmtId="181" fontId="19" fillId="0" borderId="33" xfId="16" applyNumberFormat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81" fontId="3" fillId="0" borderId="32" xfId="16" applyNumberFormat="1" applyFont="1" applyBorder="1" applyAlignment="1">
      <alignment horizontal="center" vertical="center"/>
    </xf>
    <xf numFmtId="181" fontId="19" fillId="0" borderId="24" xfId="16" applyNumberFormat="1" applyBorder="1" applyAlignment="1">
      <alignment horizontal="center" vertical="center"/>
    </xf>
    <xf numFmtId="181" fontId="19" fillId="0" borderId="26" xfId="16" applyNumberFormat="1" applyBorder="1" applyAlignment="1">
      <alignment horizontal="center" vertical="center" shrinkToFit="1"/>
    </xf>
    <xf numFmtId="181" fontId="19" fillId="0" borderId="24" xfId="16" applyNumberFormat="1" applyBorder="1" applyAlignment="1">
      <alignment horizontal="center" vertical="center" shrinkToFit="1"/>
    </xf>
    <xf numFmtId="181" fontId="19" fillId="0" borderId="2" xfId="16" applyNumberFormat="1" applyBorder="1" applyAlignment="1">
      <alignment horizontal="center" vertical="center" shrinkToFit="1"/>
    </xf>
    <xf numFmtId="181" fontId="0" fillId="0" borderId="34" xfId="0" applyNumberFormat="1" applyBorder="1" applyAlignment="1">
      <alignment horizontal="center" vertical="center" shrinkToFit="1"/>
    </xf>
    <xf numFmtId="181" fontId="0" fillId="0" borderId="36" xfId="0" applyNumberFormat="1" applyBorder="1" applyAlignment="1">
      <alignment horizontal="center" vertical="center" shrinkToFit="1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87" fontId="0" fillId="4" borderId="31" xfId="0" applyNumberFormat="1" applyFill="1" applyBorder="1" applyAlignment="1">
      <alignment horizontal="center" vertical="center"/>
    </xf>
    <xf numFmtId="187" fontId="0" fillId="4" borderId="25" xfId="0" applyNumberFormat="1" applyFill="1" applyBorder="1" applyAlignment="1">
      <alignment horizontal="center" vertical="center"/>
    </xf>
    <xf numFmtId="187" fontId="0" fillId="4" borderId="27" xfId="0" applyNumberFormat="1" applyFill="1" applyBorder="1" applyAlignment="1">
      <alignment horizontal="center" vertical="center"/>
    </xf>
    <xf numFmtId="183" fontId="0" fillId="0" borderId="10" xfId="0" applyNumberFormat="1" applyBorder="1" applyAlignment="1">
      <alignment horizontal="center" vertical="center" wrapText="1" shrinkToFit="1"/>
    </xf>
    <xf numFmtId="183" fontId="0" fillId="0" borderId="11" xfId="0" applyNumberFormat="1" applyBorder="1" applyAlignment="1">
      <alignment horizontal="center" vertical="center" shrinkToFit="1"/>
    </xf>
    <xf numFmtId="183" fontId="0" fillId="0" borderId="8" xfId="0" applyNumberFormat="1" applyBorder="1" applyAlignment="1">
      <alignment horizontal="center" vertical="center" shrinkToFi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189" fontId="0" fillId="0" borderId="1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181" fontId="2" fillId="0" borderId="32" xfId="16" applyNumberFormat="1" applyFont="1" applyBorder="1" applyAlignment="1">
      <alignment horizontal="center" vertical="center"/>
    </xf>
    <xf numFmtId="181" fontId="1" fillId="0" borderId="32" xfId="16" applyNumberFormat="1" applyFont="1" applyBorder="1" applyAlignment="1">
      <alignment horizontal="center" vertical="center"/>
    </xf>
    <xf numFmtId="183" fontId="0" fillId="0" borderId="11" xfId="0" applyNumberFormat="1" applyBorder="1" applyAlignment="1">
      <alignment horizontal="center" vertical="center" wrapText="1" shrinkToFit="1"/>
    </xf>
    <xf numFmtId="183" fontId="0" fillId="0" borderId="8" xfId="0" applyNumberFormat="1" applyBorder="1" applyAlignment="1">
      <alignment horizontal="center" vertical="center" wrapText="1" shrinkToFit="1"/>
    </xf>
    <xf numFmtId="187" fontId="0" fillId="4" borderId="2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89" fontId="0" fillId="0" borderId="10" xfId="1" applyNumberFormat="1" applyFont="1" applyBorder="1" applyAlignment="1">
      <alignment horizontal="center" vertical="center"/>
    </xf>
    <xf numFmtId="189" fontId="0" fillId="0" borderId="8" xfId="1" applyNumberFormat="1" applyFont="1" applyBorder="1" applyAlignment="1">
      <alignment horizontal="center" vertical="center"/>
    </xf>
  </cellXfs>
  <cellStyles count="40">
    <cellStyle name="40% - 강조색3 2" xfId="4" xr:uid="{00000000-0005-0000-0000-000000000000}"/>
    <cellStyle name="40% - 강조색3 2 2" xfId="23" xr:uid="{C19AF958-4BCC-4E13-8276-5DFBF1D86327}"/>
    <cellStyle name="쉼표 [0]" xfId="1" builtinId="6"/>
    <cellStyle name="쉼표 [0] 2" xfId="5" xr:uid="{00000000-0005-0000-0000-000002000000}"/>
    <cellStyle name="쉼표 [0] 2 2" xfId="6" xr:uid="{00000000-0005-0000-0000-000003000000}"/>
    <cellStyle name="쉼표 [0] 2 2 2" xfId="25" xr:uid="{79C186D1-1DD9-4FAF-A5CA-D142464D3426}"/>
    <cellStyle name="쉼표 [0] 2 3" xfId="7" xr:uid="{00000000-0005-0000-0000-000004000000}"/>
    <cellStyle name="쉼표 [0] 2 3 2" xfId="26" xr:uid="{1C80CC17-AF66-43A5-B8B6-2E248DE1743C}"/>
    <cellStyle name="쉼표 [0] 2 4" xfId="24" xr:uid="{9903BAEC-CEB8-4D5D-A854-018148486E9E}"/>
    <cellStyle name="쉼표 [0] 3" xfId="8" xr:uid="{00000000-0005-0000-0000-000005000000}"/>
    <cellStyle name="쉼표 [0] 3 2" xfId="9" xr:uid="{00000000-0005-0000-0000-000006000000}"/>
    <cellStyle name="쉼표 [0] 3 2 2" xfId="10" xr:uid="{00000000-0005-0000-0000-000007000000}"/>
    <cellStyle name="쉼표 [0] 3 2 2 2" xfId="11" xr:uid="{00000000-0005-0000-0000-000008000000}"/>
    <cellStyle name="쉼표 [0] 3 2 2 2 2" xfId="30" xr:uid="{9C383E1F-3849-4A6A-97CA-6029523CB485}"/>
    <cellStyle name="쉼표 [0] 3 2 2 3" xfId="29" xr:uid="{3A3036BE-EAC6-447D-9D06-63C4BFE6A5A0}"/>
    <cellStyle name="쉼표 [0] 3 2 3" xfId="28" xr:uid="{CDBD6979-256A-47B4-A470-E1C6FFBDB0F8}"/>
    <cellStyle name="쉼표 [0] 3 3" xfId="27" xr:uid="{9272CA59-8941-44CE-A285-B96FCA893BF1}"/>
    <cellStyle name="쉼표 [0] 4" xfId="12" xr:uid="{00000000-0005-0000-0000-000009000000}"/>
    <cellStyle name="쉼표 [0] 4 2" xfId="31" xr:uid="{A8E21EEF-8F9F-4D3A-A6CC-BC31DF36B2CD}"/>
    <cellStyle name="쉼표 [0] 5" xfId="13" xr:uid="{00000000-0005-0000-0000-00000A000000}"/>
    <cellStyle name="쉼표 [0] 5 2" xfId="32" xr:uid="{22AC6354-8175-4CA2-B188-489E4102AC25}"/>
    <cellStyle name="쉼표 [0] 6" xfId="22" xr:uid="{3F84AAA5-F28F-48A1-B98C-0EF513CA0FDC}"/>
    <cellStyle name="통화 [0] 2" xfId="14" xr:uid="{00000000-0005-0000-0000-00000B000000}"/>
    <cellStyle name="통화 [0] 2 2" xfId="33" xr:uid="{1277C512-8848-4540-A3EB-9BE73BF4587A}"/>
    <cellStyle name="표준" xfId="0" builtinId="0"/>
    <cellStyle name="표준 2" xfId="2" xr:uid="{00000000-0005-0000-0000-00000D000000}"/>
    <cellStyle name="표준 2 2" xfId="3" xr:uid="{00000000-0005-0000-0000-00000E000000}"/>
    <cellStyle name="표준 2 3" xfId="15" xr:uid="{00000000-0005-0000-0000-00000F000000}"/>
    <cellStyle name="표준 2 3 2" xfId="34" xr:uid="{0114DBE1-1A40-4BC8-9229-7FCB3507D7DD}"/>
    <cellStyle name="표준 3" xfId="16" xr:uid="{00000000-0005-0000-0000-000010000000}"/>
    <cellStyle name="표준 3 2" xfId="17" xr:uid="{00000000-0005-0000-0000-000011000000}"/>
    <cellStyle name="표준 3 2 2" xfId="36" xr:uid="{B0E704ED-9430-4FAD-A95C-E94C4D27E5A5}"/>
    <cellStyle name="표준 3 3" xfId="18" xr:uid="{00000000-0005-0000-0000-000012000000}"/>
    <cellStyle name="표준 3 3 2" xfId="37" xr:uid="{4E51A060-5F04-4105-BD52-C5F60B1AB372}"/>
    <cellStyle name="표준 3 4" xfId="35" xr:uid="{518C1186-1026-4A67-B87B-DDA75E174F26}"/>
    <cellStyle name="표준 3 4 2" xfId="39" xr:uid="{38EC3F52-AFA0-434F-9F8E-039FA9A154C5}"/>
    <cellStyle name="표준 4" xfId="19" xr:uid="{00000000-0005-0000-0000-000013000000}"/>
    <cellStyle name="표준 4 2" xfId="38" xr:uid="{834AB2BF-895F-43BF-B2D2-C8A50DF559F4}"/>
    <cellStyle name="표준 5" xfId="20" xr:uid="{00000000-0005-0000-0000-000014000000}"/>
    <cellStyle name="표준 6" xfId="21" xr:uid="{00000000-0005-0000-0000-00001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49E00678-0E97-44D5-B61D-2998A0FD301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F1BCE153-6692-4A21-96E2-A6B9432FF7F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185622</xdr:colOff>
      <xdr:row>0</xdr:row>
      <xdr:rowOff>9545</xdr:rowOff>
    </xdr:from>
    <xdr:ext cx="1285222" cy="256920"/>
    <xdr:sp macro="[0]!정렬2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814397" y="9545"/>
          <a:ext cx="1285222" cy="256920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정렬하기</a:t>
          </a:r>
        </a:p>
      </xdr:txBody>
    </xdr:sp>
    <xdr:clientData fPrintsWithSheet="0"/>
  </xdr:oneCellAnchor>
  <xdr:oneCellAnchor>
    <xdr:from>
      <xdr:col>2</xdr:col>
      <xdr:colOff>185622</xdr:colOff>
      <xdr:row>0</xdr:row>
      <xdr:rowOff>9545</xdr:rowOff>
    </xdr:from>
    <xdr:ext cx="1285222" cy="256920"/>
    <xdr:sp macro="[1]!정렬2" textlink="">
      <xdr:nvSpPr>
        <xdr:cNvPr id="3" name="AutoShape 1">
          <a:extLst>
            <a:ext uri="{FF2B5EF4-FFF2-40B4-BE49-F238E27FC236}">
              <a16:creationId xmlns:a16="http://schemas.microsoft.com/office/drawing/2014/main" id="{845BD336-EBC6-41C7-A38C-B471A99C7CEE}"/>
            </a:ext>
          </a:extLst>
        </xdr:cNvPr>
        <xdr:cNvSpPr>
          <a:spLocks noChangeArrowheads="1"/>
        </xdr:cNvSpPr>
      </xdr:nvSpPr>
      <xdr:spPr bwMode="auto">
        <a:xfrm>
          <a:off x="1814397" y="9545"/>
          <a:ext cx="1285222" cy="256920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정렬하기</a:t>
          </a:r>
        </a:p>
      </xdr:txBody>
    </xdr:sp>
    <xdr:clientData fPrintsWithSheet="0"/>
  </xdr:oneCellAnchor>
  <xdr:oneCellAnchor>
    <xdr:from>
      <xdr:col>2</xdr:col>
      <xdr:colOff>185622</xdr:colOff>
      <xdr:row>0</xdr:row>
      <xdr:rowOff>9545</xdr:rowOff>
    </xdr:from>
    <xdr:ext cx="1285222" cy="256920"/>
    <xdr:sp macro="[2]!정렬2" textlink="">
      <xdr:nvSpPr>
        <xdr:cNvPr id="4" name="AutoShape 1">
          <a:extLst>
            <a:ext uri="{FF2B5EF4-FFF2-40B4-BE49-F238E27FC236}">
              <a16:creationId xmlns:a16="http://schemas.microsoft.com/office/drawing/2014/main" id="{FF7DD7CC-A16E-4043-A50C-7D748BE0A599}"/>
            </a:ext>
          </a:extLst>
        </xdr:cNvPr>
        <xdr:cNvSpPr>
          <a:spLocks noChangeArrowheads="1"/>
        </xdr:cNvSpPr>
      </xdr:nvSpPr>
      <xdr:spPr bwMode="auto">
        <a:xfrm>
          <a:off x="1814397" y="9545"/>
          <a:ext cx="1285222" cy="256920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정렬하기</a:t>
          </a:r>
        </a:p>
      </xdr:txBody>
    </xdr:sp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AF2468EF-A5B8-4F47-AE91-FA819A9D291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545E96E6-0E52-4900-A267-77CBC9C658A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4C1DE49C-F002-4ACE-ADDB-F874E6B8D88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7FFEB0DE-A10D-4E28-9683-3E586CF4170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9D6CA509-75A9-450F-AFC8-957264074B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E0092831-0A5E-427E-97F2-D8748C196E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B9582433-821B-4529-B7FC-2C9A36AA7E4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9E1450BF-5754-4C9A-A7E5-502BB75C0FA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171B9CED-48AC-4DD6-AB15-D89BA1C579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ADC9B194-50B3-40A3-A8DF-6788FACE765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E9F9EC16-3B6B-42B9-A658-94FE60F2C65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CA4013EB-1925-4A28-B049-30F55E61D64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C0FBB0F2-2519-49D4-ADA6-2F3F3348EE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4B1D94CA-3258-48E6-B4B8-36E632D7CC9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D1933A9B-01BF-4D02-B7B8-62376C626A6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0E4BE198-EC32-44AE-9BFD-8CBA5BF1BCD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F1241073-993C-4E4D-BBFD-BC2128AD566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65F2BE37-122E-4BD1-A430-8D0E277F46C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B214DF05-84D4-46E6-8AE1-7CE44F6368F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534C362F-30B4-438B-A8D7-C626E3F77BE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0556C7B4-94BA-4CE4-B659-C2F2CDF896D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72FA763B-0C92-49FA-AAEE-A88C5572FD1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7EC3C4F6-8D5E-4E35-82F3-A81A61CAF75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659A1706-B247-422E-B8DE-4869AFAAC5F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6F751266-4035-43A2-948C-95471BF4324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3B9594C4-6D80-4964-8745-866C144AE39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47325FC0-EFCB-4830-8A5D-5DDF491E151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043B6A05-BBE8-4DF6-B134-394F9BA8D73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5573B634-25BC-4E19-8C4C-584932A246A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4D1C77CF-ABA6-4F87-BC1C-72A4D60A02E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564EF0CC-3C31-4E38-8DA7-061A767F0B3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8430F77B-23D7-4C2A-8E90-3BF2F4075A4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BE5AB6A0-B693-477A-8C50-F720F293E04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79555986-8771-400E-9754-F0894A9B31C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4A04EFC5-599C-4F8D-86C0-73CC7FF6D2C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83B3FE04-62F6-4E12-B15B-5ABC9B6BB6D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8E389FE6-30B2-4995-9CA6-98B7914A0E0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0A59BD35-1A5D-405E-B223-796701367DC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1A89C1C1-E262-41D0-846E-DDDF0291175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F2E72B08-5CFF-461E-BF18-DC40E1E7988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F683242F-F63A-4080-A9E0-4364F808EF1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1F327ED7-B150-4DF0-BCA7-B048C41EB88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D3C2EC4A-02D0-4A63-BDAA-D2B3CD25CB4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5870C5C7-EB99-4D69-B733-9B2D20DDF6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3ED76154-BFFB-4ADF-9C86-2AFAA3136D2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7CD354C0-BC38-4E7F-994D-DC7C366FC96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71284D57-8551-487D-9360-1E26FA5C847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203977C0-04BD-4DC6-9C3A-7A6ADFDEC9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6B7D981E-7CAF-451C-A0E5-3EEB6729EFE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E9C73317-99EF-4A62-9F5B-124C218CD83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DA164181-AD80-49CF-B6EC-8F0E397FF79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E5D8CBE7-C2A5-4429-A640-5371C6FF26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D216FF81-2047-44DF-821D-041AB97A067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5059CC85-01ED-4646-9FA0-7277C45E54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DCBCF119-29FD-47A9-A9B2-34F4FE4B255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FE1186F9-0352-4516-B851-C6875C6C2A6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76FC1824-F8E8-47EC-A238-D05415FDB0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99A4C5ED-3448-49F7-83B0-5EB77C777DF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15CD89DE-6FDF-4004-9A8B-536AA29EC75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D4C5C000-D446-4A1C-98ED-1A84FD875F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662A8F3E-11A3-405F-914E-C37887C6CC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EF31CFC0-CC72-4D65-9000-8B3D34A3412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3A937301-A13F-4E08-9EC6-FEF9D8B076B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29480F1B-79FD-4C2F-8A28-2876AF5E5FE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E5A30885-097E-4036-A416-401B7A066A0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5A147E1A-A61F-4809-BF0F-5EF91284522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864CF87D-8EF3-43E9-A4F0-2BDF9ED90CF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8C553BB3-D138-431C-8CD5-CE5FA60F366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1C0D2C0F-F14A-4B9A-9D85-A961EEBFCB3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EB83E9C7-6ABB-4525-B48F-F4232720FC4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03E1AD19-E2CE-4341-BAF0-2EA42F58CFB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A7090CDB-F60D-4657-B224-02F45277B1E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10CD586D-1294-48AF-92BD-3D98C2EEA0B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15700FD5-4150-49F7-B18C-4B38166D703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0499AB68-EB38-495B-B69A-B3848A8B059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FEAA7EB9-EF4E-4C4F-9B65-AC6B61A65E7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336E760-F2A9-408E-A96B-0B7F76C1CA3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E06E5F8D-D92E-49E9-81EB-372DC174B7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1E0AB596-191E-4DB3-A6D2-16DFC2C51DA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8802B18E-747E-4179-8A78-E82F6C97273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A5D0E150-EED9-4F33-981F-51118C1016E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B6EBC247-FF52-4121-86E9-8E7D82B3F2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2F0A85FF-A4AA-4928-B961-479FB568321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D3CA6BF0-9C6C-4212-AC6B-CB0339209C0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DEEA11FB-64CF-46D4-AE55-032C8E7123B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94FB366E-37E5-4535-A5B0-CF6D89856CC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9F6CA9D4-57F7-4FB2-97A2-1455E110EB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F104138B-AE39-49EB-9500-A69659F0DB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56ABFF02-F67E-4E48-860D-B2911EBE95E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D6A0640E-0FD6-48AE-96F8-EA8B32DDCB7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E44CE9F5-48EC-4FD2-B706-51818F9E31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EC48BF40-C8F1-42F6-9769-8361EEFBB8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879F7544-0867-4372-96F6-4839A12A826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5FFF92C2-634C-429D-94DB-22F55EBB490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EA390047-DDA2-4D00-AE53-036736B912D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BBFF63E3-1842-4464-B6E2-77CFEEE5650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0FF5040F-B3C9-4828-BBB1-565D7DDAAC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7AA299AD-041B-4A6F-91F1-DB5D891575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6AFA61D4-BD36-4E72-8062-CB53D98DAF1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F77D653F-6045-4E1E-8085-67E47A2D334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3A3AFCC0-DCE0-4F78-8BDE-E48B74BBED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A1E24BB5-257F-4177-835E-323AC0E3FF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FB6F14DE-033E-482C-AE76-C204D46F8B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2CE05F77-E72E-45BD-BC1F-E878A239E38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FC285485-FC02-49B8-B9EA-3456CD6F032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1E1B4EE6-2F76-4BBF-9A6E-9428DBFACBE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AD28F662-3493-4CD1-8C41-FCAED8AEE9B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30E97C67-A71A-4AB8-B1E8-77B801BAC70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A1682C26-7A20-4E3F-8793-786D71C3BC2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E0B63326-9DFB-4563-A70E-5D1E335C5DB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032C447B-7B81-4BFC-9C6F-A0399DBDC2C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D3FEED77-CA78-4C52-8E67-B308673103A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136F0EF3-9C92-4F0E-A886-DA3CB94F850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AB36D514-4FFF-466C-ACF2-9F62BF882A3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1BB2CCEA-8544-45C2-96F6-3127AEF6F2D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CD50CAF6-796F-40D7-B4A6-5E0BCE1AF3B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59D06F46-0822-43D6-B047-3EB2B033F0D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F793F0D0-1E26-42ED-9186-329B015D404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BFF89C8B-F77B-406A-941D-8B664C8DFED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AF1CAA66-22D6-46EC-8524-418B487C52A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497F9645-8612-4F29-8213-2A510364463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564AF460-144B-4225-AFAF-FE33C0EA477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72B6E02C-F538-4AC4-B3C3-D931880A8B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5C82E80F-8320-42CE-96B9-4EE10212F45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0572E9C7-E03E-4F8C-BD27-333493F9CFF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6047CEAA-5243-45EE-87D7-AD723267C70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4F7582D6-F6AB-4363-9546-2F22EFABF9C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E8186174-A694-461F-9F25-B2DE4A8DEDC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76CF6C8D-1D59-4764-A56B-4FF5C807436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A1A6F148-7A7F-4587-B2ED-9DC579EF0E4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D48A9D84-3EA5-4D10-8560-B68D05473BE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2BB63206-FD14-4E34-9802-668FF7C5918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0B946933-D79A-4595-A32A-ED0317D4FE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A6CEED07-2601-49C3-92FE-3F77072F4B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D80C2C3E-DE2A-4C2D-9C33-E75ABD583BA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82061D71-FF0C-4BB7-AE82-0552E1D1A4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7D2FA18F-8266-4099-A605-7A26ECB24A2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95834F32-7106-4812-B43F-189AAF1A38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ADFA8998-A09C-4369-8378-FAD52715AE7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9099EDFA-64D2-4DCB-8681-2473BA6F63E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AC6A9A10-0893-40D3-A529-DAA967EFD19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DF22C6FE-02EE-4362-B93E-C249FE40742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08B2C862-D940-4704-83C4-C293724058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A3AFAF4E-B034-4CAC-BB9F-07286FD3F2F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57549B82-1C4A-4319-A483-EB8276A9A8D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C2884F15-ECCE-40A7-8387-F31FE8B52B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3BA2F2BA-12E2-4783-B894-4505DBF1733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355B0DCB-23B9-49DA-8BBD-4AF20FE60FE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66E3643E-EBF1-40EA-A1E1-EFFB2EB95B2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B14949B0-F58A-40FE-BC50-8F52A2A5B4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EC9DDBE4-9E9C-42D6-BD3B-296DACA2AB1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BA5D60B4-AB13-4540-80BB-CD58F8300B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74BC5369-C5F2-443A-8340-3DC0736E76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BE73162F-A0D4-4D05-9F12-06418D3AA60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6BF174E5-DF71-48FB-B5AE-77B21EABA5C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2102E7D7-0286-4ED8-A23A-86D7555601F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1EC17DBB-0C8E-46C1-B5FC-D5922987B8D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4ECF38E5-84BB-425F-AA3F-11908C4C2BA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843CD0FD-48E8-4F5D-9B2B-4E0F677B3EE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6929AEF0-AF10-464B-B2C9-0DC089A1D3B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39946972-7C13-4A85-ABBB-5EEE9C0016A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861DD50F-F6A9-4EC5-A5B2-3A4A7C0F436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216F38A3-238F-4EEC-96E9-0C2B56A0967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A982D3EF-4B80-4565-A0D6-47DA875CD18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B47864A1-FA02-468F-9DB7-51C904BE47B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1796BFE8-D4A6-4C1A-9860-750681ADB81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8DEAB381-C0BC-431D-A30B-B4F87A7869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503919D-E187-4394-9908-57E437F065D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824C4AE3-5604-45B2-9271-D09ECAAEC8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5DF94BE1-6BFB-470C-9994-3758914D508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06432A2C-A797-4BE9-A1BE-06EBED26DFB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DFA4F892-EFA0-4200-9518-BA12378D426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8A0A2A61-E04C-4FE3-954E-802786EDFC7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A8DAD300-C73F-49AF-B6C4-5109BD9D761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7FFC8FA6-D3CD-47EE-98E6-69580D9AA90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F650573A-D88C-4A7D-8E15-9CBD3D8F7B0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4DAAA225-897D-4150-B96B-46EB34088A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51D4ED38-06AB-4AC7-978E-0B791862E21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41CED40F-533D-40A4-A01A-05FDA77FFA1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E86FCC82-1886-457C-9E22-76371F970F0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0B5A4F08-ED72-4F36-98C2-01DF5838B9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6E3AEEF1-EDA7-4B31-A21A-77657ECD8E8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A4BB13AF-D8FD-4F5F-B62E-177AF357336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C6E4B2CF-C1FC-4E8C-8936-216F32F82A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F1669BDA-5F70-4E74-B265-956323D3B4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B9216B76-9C15-4D05-BD1B-92D39D1F8F9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C6CE27DF-9325-4E93-AFCF-24F044BF57A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324A6EBE-455E-4643-B804-D80674E4D2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E64E5F39-BDE7-4C45-953B-D2F442165AB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804B9239-D564-4D57-9675-54E2351AE98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25B38C5E-3F38-45E7-A631-3CE8F3F527B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4F9BA019-CB66-43D5-AA31-F8D24C8FEFE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C774E2F3-FEF9-4F5E-809F-87E37BBC6B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F4863C2B-4900-4F15-9BB7-FAC3BF36059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0A11BD9D-EA2B-429D-B568-437D31B94BF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E1E920BC-8336-47AB-BD62-EB1E1DE2F27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42F62CA2-32F6-48BA-818C-5000B23529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2EC46895-91FF-4461-BFC2-0E37DAB1528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2ED90413-0FDB-42EC-AE56-B329CB20D48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AA138A0F-8D18-4A47-B456-5603DF16197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AA106585-C2E1-4BD1-81BE-493D30C0771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9720BBF4-2412-45FF-A0AF-7FD4D9B24C9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2ACF1CDB-95DE-4E8F-BDA4-DF35A7DBCE2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4FB11D13-44A9-4A68-BA51-305DBC405C4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5A6950AD-DAE7-4FED-98D2-5946A79543D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E2D7B973-7EA0-44C2-87F3-6788BF22EA2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ADE77634-686E-417D-8A05-A442DEBB48F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72792A8C-9985-4B5C-AF3E-798C0098A16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DE2BC1F3-DCAA-4FF7-A39A-3854F10157E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A951545B-87B7-40E5-B3FC-C04BF116CD5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A77F0C1D-AC49-4D4F-8453-200587BD6D8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EC0E7AAD-824F-40C2-B00D-CB5AA3BA7E4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A61B967D-2170-4D11-9109-E0977FF2E39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1FF614F3-2977-4780-B29E-032F3F0B46E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D1123AF2-E15A-4DC8-9BAC-9A07B2E7586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E47C0D28-A192-41F5-B75C-A283AC8119A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2EC4D139-4EC9-4035-828F-714D349B43E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6B532F71-3194-4BC3-817B-445B79FA7B7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A4066F9F-71CC-4F89-BA0F-07A8ECD0291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4658AA41-C171-4564-A076-E97DEAE0A9A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63D4FC22-502C-48BA-9C13-FAF6D4C94C8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D22EF037-9570-4716-B5CC-5B099D7F2CC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B0AFE6D6-AE6D-4DB0-87C3-ADBCB64913F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5B1385AD-C505-4D42-98FB-108E3EDD0AB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99342A8A-44CD-476A-A95E-A91E5CB8B09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84149622-03E6-4DC3-80A9-F853DE303BB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DF8B9353-8CCC-4513-9EC5-6AC27BF455C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2E5502C7-AAE9-4A03-BE6D-FB07015DBCD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39144022-D59B-4D12-99D8-35E0FF2E4A9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0E0FDE2B-1F24-441F-9FBB-FE6E7985644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B04B2648-6C08-483D-B9FC-05EC28A5D7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4840EFE5-2BC2-4C6D-86E7-49CE4F7C44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0851C0ED-594F-42D2-AE38-6325A5E7687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7A4DC022-D613-413D-BEF5-6F21F71668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C965FF46-C549-4038-B519-A8071CF3D33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CC51119D-3E5A-41F9-A405-BB9E1306F14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0D233AB3-01CD-4CE2-AAF3-63D13BC23E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9CD84900-19CC-46E9-88DB-840B905172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8C856BCE-D614-4B7B-AF9A-CF201B0A1E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C2C8EB76-CB5C-43E0-A4C8-49907A4C43B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3B3C5E4E-5391-4F72-B6AF-21B742C47D2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4F6314CF-C134-45DC-B8A1-60A3E2708B6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AA7ADC18-C6CB-4842-9E2B-CFF73C57EDB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D004A7E5-0E59-40B1-A3A1-E38CAE09239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7E3F94FB-F5E2-485D-8C5E-75C8CE939DB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9C29189A-37AF-4C24-B5BC-087B884DF30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ED5B0F09-C193-4DA7-8CF7-1209B804A7D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6AEFF7F0-D962-4F77-A12A-73A246491F0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D9C9177B-3BE7-4964-BF54-E264E52F273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7F4D2CCD-D6AF-4228-8439-2DB3F2F5C9C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6730E993-3AA0-4ADB-BCB4-FB9F2B60864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CFDCEA68-61C2-4EC6-B585-CB6A16BEAA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CD2A4E4D-D208-43A4-BAB5-B69D35B3556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9E295D70-0B4A-45D5-BB0A-44E049462F2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0270CC34-DE3A-45FD-8AD7-1F02DFC21A8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588A72AC-44E2-4BAF-AA77-620C42885B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8B55F433-29C9-44A2-8F14-D96985F6CF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CC53BB16-A09C-4FDA-B967-B6BF5E418D2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C096FF62-D4BA-4E0F-A28F-64A8DEBA48C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EF04F5BC-A232-4C41-86DE-E118A92F9BB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DB9B629F-750C-4082-83F0-CC5FD2DECC5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B036C5DE-1EF6-455A-BEC0-AD6DA0D250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449BC1C3-80C6-4AF2-BC32-A3846D79D7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5F10D8EA-4927-4388-B70B-3C24F7F7AD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2245B934-5138-45E4-8473-CCEB47BCA9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BE904697-0A53-46A8-ACE6-FC6F779AE8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B9BDEBEA-E2DB-48A8-AB7F-B4524F1AA2B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7ED5849E-5680-4477-8028-69AB897DDB8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B5587590-F3D3-4592-9D90-3BED310A25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8E38EF64-5B96-4C18-8C00-F83EC1BF02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F149BD17-DEC2-4815-AF01-79B40DE7B5B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78FDB81D-EBDC-4DA2-BD04-0BB218A53DF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F7CAACE1-F991-4A11-9BA6-9543620969F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E9492DFB-72FD-440A-ABC8-C2C8A17A6F7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9DB71839-2F28-445B-B41C-8BB4D17F8D7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9A65FBDC-2113-4766-8F2F-8929D03FB6E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303D2F85-9BD6-40F3-B5DF-C255D09B7A2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6AE904F8-FB25-49BF-8AA3-5A3FBE9C96D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1DFCA5CA-E7AF-4428-8E28-C171F08A46F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4AB4A2E1-CCC4-40F7-83AA-8A4797B8033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A35AE2EE-F33C-42A5-8731-D232034457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2F67DC0E-146C-4266-9F40-CBB79763908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C3D94809-8DBF-431F-BFE3-13C1905D57E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F94626E3-AFCA-4404-AB39-1F9BB810C2B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5113236D-2B13-4746-90A8-A06F86C322F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A13CF5C8-15FD-4AB1-9542-FC3DCFBFD7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406004BC-E6F3-4440-91DB-D16F4EBF72B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9BF01CA8-524D-4C49-8A4F-F7C1BE5A23E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64F1796B-46F2-42EC-B8DC-C5583471CC4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5B171EA0-9C1C-4CB6-BBDE-157311D44A5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8CFC1DA3-632C-4402-A54C-74C7DC56CEC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7A30BD7E-B85F-49A8-A484-9DC70995B99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7F98686B-EA6A-4A50-8288-113F46DEC8B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6E27665E-F9FC-410E-8190-3FC850303A3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AF8515A6-8894-4FA2-9E51-287B662EDBE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9C60EE97-E995-4356-9263-1D7ADAF55D7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55196953-8636-4076-AD35-0E1E8170E10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1FFB2F3E-0F30-41C3-9B2F-20D2E3C3A6A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880C3184-1291-4907-A27E-AF6C93649C7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A6069965-49C7-47FB-8334-75998601BE7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AFD7C997-5D4D-4C92-892B-01612ACF815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86F07373-543F-4AA7-84A0-B8CAC20EE3F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A0B8405D-1A58-42EE-9AFC-3F3811C4EFF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65D66820-9AFC-4CCA-9372-BD0D5CE462E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1AABB3DA-1879-47A9-A3C9-5212F3B355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588E4375-0D2B-4A49-BB48-CF4BEE0166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7A9A51A3-C3DC-44A5-876A-14641FBB132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7B262AD9-3458-494B-8F7B-F904BBBAD1E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7304D0AF-A0CD-422B-A3CC-E85C57F0C58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AEF8CAF5-5700-4367-BB49-235B8E97BCD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37312CC8-2E0D-4CCF-9BF7-9F95C3EB968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A26F9E3B-BF9F-48A4-9D22-E9DEB97C59A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36305764-0327-4962-8EC9-DDD77549E8E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1809E8B3-DCC5-4B64-AD12-4CF2767AF17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2DCBA3E0-638B-447C-AD45-325F127E8D3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9ED642E7-5612-40B3-AF3A-024BCD7641E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A0FDAE03-F9B3-44A1-A42F-AD22A05BA70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1ED54F3C-0DDC-4395-905F-83DC95970A8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F186348D-B6CB-402E-88B9-D6292A06B84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0FF13E9F-CA07-4D93-97E4-CCF92CA6793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043E32A7-D95D-4C49-AF2D-D4BD9CD053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A5BF093A-AC88-4775-B149-E1E6BAE218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BA6F064B-919E-4575-BDB9-C7B006E999F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FAEE9300-E478-469A-8297-D93D99CF9FC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BDD8ED13-A520-47E8-B7F5-A9A1E086F0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FA48C512-A42E-4137-8716-B8041E0087A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49C5EE4F-FC7C-459C-9D8F-2DE00C731C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C8B9DCDB-E5FB-408D-A659-B618E58C2E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9DA69A37-C7B7-43F8-B2A7-20C4CCFBE1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C46DAD61-7F19-4B58-B62C-A70C08EAC1B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0699BF35-DF70-478E-89A6-1EE16820FEC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2A886C4A-5A0C-4EFC-8130-3380BF0FC63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64DF9241-25BD-4F2F-BAA5-A252458AB5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1279E063-7761-43FE-A8DA-978B4F9B37C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2EB0861E-E4E3-4FF7-82B4-E2BE3F47035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AE5C88B2-AAC0-4A63-9D3F-6AA27E6CD77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3386C4B0-2A17-456B-9453-29BB4E829F2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5EDC8068-FC9F-49BE-9B53-F5E858A03B5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72219FEC-B147-4D67-AAB0-01724FABE62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A31FFE27-D050-457E-BBE1-BC40E26441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0A222859-69F8-4D7D-A567-DBDA3C852F1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2551BAFA-0649-44AB-9ADF-117845910E3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1E10198F-56AB-43EA-92E5-0C2154C0EE2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D5933C23-E398-48FB-BDA3-49AA7C4BF7B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43798383-BCF1-4CB8-8B8C-2011DA4AD0C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E5411E14-E89B-44C2-9BD0-EB072D965A6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379AE4FD-B3C8-4043-BF9F-6FF050ED7D8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53E414FC-A17B-4D7A-87F1-86E25A7EFA2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91788EF1-9522-459C-9F33-E03007FC46A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AA31F4F3-3FC0-478E-84D8-C5088A42F9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18768752-39C9-4546-A094-22BB65001C8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9A59D141-E155-432D-9EEF-41E77186F58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E5D6AA51-3B79-483C-99BF-F9DB4737700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CDAF33A4-0EEE-4BD8-B566-FC715CFE3DE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AC2412CB-3B55-4E3F-BEC0-E2FC98BD3A4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F8EB260D-689A-414C-BCA4-E5F1EA5FA4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5527C58C-1DC5-4D62-B810-F1A56AB7599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3A0733AE-49D1-4AA5-857E-A4101C8FD58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12ECEEB1-1170-4559-ABD4-30B947C3184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F1FCC431-DA5E-40E2-B07D-941AB5F867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50061E4A-1E68-45AA-A457-933829D852D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6244D07A-BE05-4854-A240-6390D10BC9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E6A34312-A166-4172-B3CF-52A5508A5EC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1990BAEC-EEBB-4D0D-978F-2DE6BA396D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AE8E9BB5-56DC-445B-8ECE-C522914805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3D760FD3-E63C-4EE7-ADCB-0AAC0ABBB7B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332F9808-9F23-4E2C-A747-A5AA940ED5A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E9585553-51DF-4BE6-B34F-2C13C4B045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0F7694B2-1C93-44CE-85EB-673EFA936F0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DC558260-C79B-4F36-ADC7-8211D8A7F20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ADE398FC-13A5-42A8-A54D-F27EEC716E4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271293C3-2386-4EE9-A8E4-4450ED45690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E4A36F0F-425F-46C6-BB5A-C2E3A9CD98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40E11071-2563-40B9-86FB-9797C1477D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E1C5C53A-E198-45F8-A6C7-128EB08C86F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9D8F8EA-E678-4C18-BAAD-7FE43AD0B11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0FE85229-2236-4373-ACCA-79ED7E96463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20D38467-E2C8-4EF1-A214-69EF43BD045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5CFDC25C-42A5-4A9B-BD65-A24656272B5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C87228BF-6231-41DE-9786-1C38D68DB1C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C0CBEED7-D9D5-4B36-8540-93AB03EA92D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65690647-EED5-443A-A655-FD28AF4622B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541112BD-B0D6-4B7D-8395-99A181C207D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EFE166B6-5049-47E3-A7CE-EEBD8AD7BFC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3557CE7F-CFE0-4EE0-99E3-CF2CC05A635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D99AE224-000C-4E47-827B-326E3609F4B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49B005ED-739B-4368-9713-B5E3172DE59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226EA184-4D71-4B15-A8BB-2D6A119AD37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4F846188-3115-448D-8AD4-D0B2C7B9A58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803DC9D4-2671-4BAB-9F5A-5121044984A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730F0227-953D-414D-B76E-2C9A7401D5A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F407C1FC-D553-4CC0-B501-B74C3FE3D14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2864D37D-841B-46A5-866F-D3632E9BCAC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5AB1F5F5-7AC5-4A4B-852A-B8A2596CE1B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145DE2A2-0C81-48F4-AEA6-9DA6FCD2CCE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F17C69CC-0528-40F3-B25A-95EC0EE5459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D5F8B54D-BCBA-4715-A096-029EAD44B1B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33A0BE4E-67D6-48EE-A363-4ECF52B09D0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9078E7FF-CC97-4DEC-91E1-0A2D0B7EC2C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609ABFC4-AA08-4B60-8D32-A209919C926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050AB3F2-896C-4445-9FF3-266D0666ED7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35BF2E14-1D41-420F-AEB3-077882921DA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C269B808-D8F6-4765-9AB7-6799B9AE44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15DFF17A-DF44-4624-958A-EC84E2F43C3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557458CA-B7E1-4D10-9229-6E4CFFF140B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C945225E-9317-45D4-AC09-894B0917328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0C0BF71B-206D-4B4F-90D7-8A42ECF2B52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6DF12BD3-022E-4F85-AEAF-5BADDAF1CDE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8B41F91D-0AD6-40D1-8263-481B54873AD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FA7792B3-B97A-4511-872E-0C5A75CCB8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115D180E-BC5B-452F-B738-F9738E665C4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47992218-7AD1-4A90-B6C6-164877C655C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F89021BD-545C-4AFC-AC68-FCA54A66FE0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49D86E3C-00B3-44DA-B2ED-3084B01E140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BFED7C6B-AA18-404E-B91A-1A5170356F1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2BA3245F-47E2-44F2-89EE-0F0EEA8526B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2A60E19F-8EED-4B0A-B7A3-79812767E8D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1FE5A826-7357-469D-99B5-B9C8B25E03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88F3599A-11ED-4CCF-9426-06AFE237CC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2DEE1981-9C02-44B8-91FA-87CF4E0A674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FE48939E-3E28-492E-B250-461DF122951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4143D487-BF95-4BA4-9926-66C9B249AA4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F2C3EA31-3906-4717-A51D-ED8C92B1DB5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02293F7B-3BF6-4DD9-A87D-553A03BC4E6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36F901DA-D760-49FC-BC3B-7DB88C41E7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82E91BA3-3B35-4D78-8CCF-13717AEEB30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67509783-A5A6-47BC-B4A3-9E4C3F95954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2C78F002-3E86-4E51-B9A4-96FCF87AD5B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B9153B83-660F-4558-847B-9A9021BDD64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347C519D-0E8E-4E61-A49E-0C75013B6EF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2210CC7A-1504-4B1C-AE3C-C6F3FD8A4C0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B38F0DFE-4F3F-4746-BF26-CE76C882BED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E08EF22A-D74E-43B3-93B9-F84AB16CEBF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03DEAC5C-2631-4F68-8785-9212D711D4C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CBDEDF59-63E8-4283-B43C-1567242A505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3BC0A05D-BE3D-47BC-84BF-8C00039490B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36AA22C6-B29E-4CE5-8882-0A6BAA21E88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4BACDF5C-CA15-4F78-BC1B-86F6A0E47D7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1CF6F973-1E4E-46D3-88D5-0F2FCD4DA9B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63C76023-2030-4B95-88E2-9DFA131076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2D4F6A45-BECD-4F92-8D07-38C3708B8F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300B649C-1CC7-4381-8788-96CAC637A9F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86F8F3E0-AE85-4AC5-AE92-276014E85BB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059CC665-E7F0-488A-8D2D-EE16223E34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F5E7D5F7-592E-431B-85A6-F2BC93DE7B9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EEF348C9-DB86-437C-8CCD-98284B97424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9C936136-2089-4176-9B1E-094BCDEE09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2FD169DD-D8DB-4A00-A629-2B7A5798A85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25751943-D9EC-4105-B352-2A57736F262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CCB9685F-4797-47DC-BF73-7F48C4C902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226DA5BF-8A70-4100-A124-66A33860E18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E0A8FA6F-4D1F-4D10-B779-A5147315987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16279C09-EE6A-448B-80ED-C602EF0168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809BB597-5148-42DB-A7AF-AC540B04BD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7DAF6F5A-C596-4DDE-B2A7-9E175C56421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E21854B4-3A11-43ED-BB52-724AE3DDCCC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810C9D0A-6A79-4E1C-90D7-165AA59EF5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C6FDDC26-6E7A-40D2-ACB1-BB07B6019E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91897CCD-D2ED-4A53-A239-225F6164AB9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7E4800AB-C7C1-411E-8332-14F8774CEC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AED35141-9E07-4DB3-8C38-9D51AA195F1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7CAB046D-5E48-4AAC-AA5E-BAEC877E908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0BD4247F-FEB4-4A29-9C86-7DB3F85668D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0ED57FC4-0061-44E8-95D8-296F6958F8A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5B739621-82DA-4B77-8A28-9330FBBBE6B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80D917C5-D478-41D5-B890-95000D31B8D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B7F2DCB8-338D-4E65-8A55-50CEE2741D0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ECAB8BD4-DFB1-4F23-A154-F6020AA6042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A48F244A-44AE-497A-AE4C-85A699E622F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DFF5AEDF-B90E-4188-92B5-BE7EA83AA9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FAD11CA7-993F-4D04-819B-0DA8E992926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342E7BCB-64F6-4F50-AB36-B9DA78D9B57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B08C8CAB-54D1-428B-8056-455F06812F4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76CF6FD4-AB2D-4C0D-85AD-E02336D6555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A2DBD5D4-4460-44E5-A252-41EFF87D46E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C8C64697-051F-457E-9E03-936A513163A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65A3F1BB-2C8B-4476-A387-FF73FE0B464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3E6F8543-318D-47B8-B7C7-B3B0051F7B4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E2627010-3790-4DDB-96CA-71990298DA8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93FA017C-0AD8-4799-AD9C-07D288641C4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BA683A2C-0A34-45A1-B0BC-F4FED2601DB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B5516EB0-32EA-4947-8C00-C0C8B469BD4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60854258-75F9-4709-96E9-D81D05307F0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B8DC8916-97A6-4A2B-979B-7F7A204EAEC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D0AE4DB9-4CDD-49F9-8D5F-82708D51713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5EBBD315-454C-41DB-9896-B09E1009CFC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0128018B-210B-4270-A7E3-343827D782F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AE630252-7B53-4B2D-AD20-D4BCA334E31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E7EEF9B0-53A5-43FA-A059-D04C4F7E39E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85935DD3-682C-46CB-9E65-8D591BC1F1F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DC2D0B3F-852F-4C55-A862-4D8E2C52173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49A8DB02-190C-4A8D-A1AE-9E8BC7F792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D1B43ABD-9C00-4BC1-B5D0-CB40F780C5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F81EFF63-097A-4DA7-AADA-63C18E47E17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F8551BAB-F7A1-4B5A-904F-9C13EA96DC7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1D931D6E-5A15-435E-8F7E-AB36638F3E5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DA7FE8DD-E127-424B-B48D-2C6DB8FE8B6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056EEDB4-E155-4EB0-BD1A-30BB915B5B7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115815D1-AFAB-4B11-B30B-6407D4107C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BAA6B085-9217-4109-BB19-384D4F0C635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BBD8CBA6-59F9-4C33-B02F-311E5019B1E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7468BB6E-9795-48CB-93C5-09E7DEE83AA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0AFC193A-34EF-41DE-BA54-CB3638F01A2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B5D3BB33-672A-4926-B783-9B65CCF89ED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FFECDBD0-064B-491B-B052-15E9579755B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9B7BD9BE-FDA8-47CE-959A-5B8DB4C2373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9BE2D61E-88C5-4DBE-9287-FCE2CA781D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9AEF2FD4-0141-4E77-AE77-09A0AC9379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AC9B2623-F66A-43EC-B82A-4B291C41E90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7B2865B6-BCEC-4444-B542-C5ED4ABC3CE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B1CEF322-A9BD-44B2-A8E8-FB8F1F08E8A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DAA4A6B3-C7ED-45A9-BB01-148BF72611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540D5086-DCF4-4E75-8476-E4A7FD4D9CB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E8914244-205D-495A-8883-B65041EBEC6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7468A505-F65C-4631-8463-91FA8C57BE6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6C2EA3AB-9E5B-4302-B34F-85F4E922A6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F2288A83-C9B4-47FF-8385-06BEC8E1E07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609CB6AA-0540-4F23-AE9D-73FADF43E1F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0DFA99E1-EEA1-45DE-91AC-5D84D899D78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0F915CBF-6FD5-4AD4-83F7-3E4189C49C4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7C205838-6B6F-4B01-B352-827A2C0108D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777EB93A-FC46-43C5-B240-23524E49B66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2E9DE509-7AA9-4683-BB20-9CD168553C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D4D954A7-0399-4709-B5D0-8FB7B90356C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92C8C825-8461-4EB1-B1C2-24D368DD4C4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5D7032BA-42C3-4FEE-B882-26A01FD4ED7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B04B7CF8-8590-40ED-8D4B-F8FD2F8D2A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9F6C0ECF-D977-43DA-A5E0-35293669C29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36B63858-9C5D-4B24-B652-D72594BD2B5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75E676B2-7448-4F67-ABA0-7A05BDF12F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CC213060-87A8-4CBC-8B7B-FF8E49E807A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2C83D5F-9076-4D9D-A81B-2AEC91D564A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59553FB5-85DE-41F9-86EA-96FDE977E5F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997A33BB-B628-41DC-B4E8-D8D1939BF26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3CEAB96E-B2D0-4025-83D4-0E588406E77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C3C77D62-30C5-43A9-895E-54A0E461204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22EC5E32-396D-4246-B3BB-2293BE16477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CC614C0E-320E-4B4C-8BF3-D8ADD774E6F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41DA3ED9-D1A3-42C9-B5DA-46B7F5BF7DC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887ABD47-8216-4127-867D-5E22D0DB204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66FA0188-4450-4826-9316-39768538E22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AF2B29EA-A1B4-4A6F-986F-42DD493A783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1DE1758C-903C-4533-8D9C-1E9EB322C0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ED6EE439-950B-434D-8BC3-BEF9BDE7FC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6E365999-2831-46AF-BB5A-C94C3AD30BA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BD6C38C0-659F-4BB8-81EA-E194C360C7C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F15629A8-1F67-4D8D-932E-B1F926580EE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F6325C41-7790-41D2-A235-C9199E095C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FCCDB558-9178-4592-BD87-553ABAD3A13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1CDCC026-2653-464F-A746-02D23495192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9AA30C95-A89C-4ABA-BA91-A7514E995C0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E82EE44E-385C-4880-AA7F-51508045CA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CC571E2E-0774-471A-9B8C-9C852BCA89E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C6A60158-8EAB-4E6B-BA31-E2D3313A72D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270A7C56-985F-4B49-8802-556898597AB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BC758854-6C62-4A77-A7DF-F75F1A11A5F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AE101599-FA90-4630-B8B7-6F02DEF9F4F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DEFA2F7-F789-4400-95B1-A57E4416846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4D823133-8659-498A-BFB4-CD8B6AC573E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018383C5-BD55-4904-BCC7-88BC53B8B4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431CF0AA-E8E4-461E-8C81-5BD259EC3CB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9ADE1256-8B26-44C3-B1EF-B52F02EA82B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0C88621B-8B2C-4F77-8161-4708D14A754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8D1030BC-4172-4BA0-A005-DC3A955B4A6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7AFE88AD-A9EA-4945-92CF-53D58CA157A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D6D15951-5ECB-4E0A-8635-52559F453FA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A035837F-7DF6-4DCA-B957-E9B4B7C6EB8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1D0F6490-FBFD-4D91-B140-20AA10804C6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E073E847-21CC-4FEE-A79E-E85BC1CCFCC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0839FF4C-6C39-4CA1-B38A-7125A1645E8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5191A6F3-ABBE-454B-9412-BDC75804F3C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3703BF13-F68A-4196-963F-6F5BC0B67B8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0F288858-36BB-498B-8A88-363AD7DC887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D3BD2364-4A85-44AA-8ACC-28FDCB8F235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BEB91879-78FA-4699-B7EF-23436089A35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28285CAF-8753-4F06-A207-621273FF4C4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BF7AD07C-8A9C-4EA6-99A2-1AF08A32EE6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70B772EB-0C78-47CB-996E-328D323A66C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A57757DC-59BB-47EB-9729-7C1B9AE29E5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8E2C1FEA-1867-4665-944A-C5737EAA009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882B81F0-854F-497E-9FED-D8649CE2E6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F0D521F8-4832-40BA-B091-9F43C4EF2C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FD6A4B3F-CEE4-4C8F-BC2A-877BA40DFB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9B227F42-BB70-4D6D-9FE8-A021FF5BFA7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8E0D0EDE-FBD3-498B-92F8-2043920B5FA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06ECD1B6-48C4-47AF-B5AE-7EB0F89F47F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CB6B4153-DC02-400C-AB93-A846BC469D5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04C0F39C-91E2-4E5D-A383-2AF6088EE6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F03FCB09-A0DD-4AA9-8D75-EE817993239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E60313A4-3FB6-4ABB-98CC-9C124A2602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27D9632C-4C3A-42F5-BD50-57902B19B1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ED7B2549-F4CD-4D24-929F-6C47307E92A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0]!영양지" textlink="">
      <xdr:nvSpPr>
        <xdr:cNvPr id="93" name="AutoShape 1">
          <a:extLst>
            <a:ext uri="{FF2B5EF4-FFF2-40B4-BE49-F238E27FC236}">
              <a16:creationId xmlns:a16="http://schemas.microsoft.com/office/drawing/2014/main" id="{3EA22BB9-3513-47A8-AB41-779F4EE81B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4" name="AutoShape 1">
          <a:extLst>
            <a:ext uri="{FF2B5EF4-FFF2-40B4-BE49-F238E27FC236}">
              <a16:creationId xmlns:a16="http://schemas.microsoft.com/office/drawing/2014/main" id="{E29497FE-7038-4CB2-9110-74314F00192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5" name="AutoShape 1">
          <a:extLst>
            <a:ext uri="{FF2B5EF4-FFF2-40B4-BE49-F238E27FC236}">
              <a16:creationId xmlns:a16="http://schemas.microsoft.com/office/drawing/2014/main" id="{4A6BB2CC-F929-4A10-B768-06C1332DDA3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6" name="AutoShape 1">
          <a:extLst>
            <a:ext uri="{FF2B5EF4-FFF2-40B4-BE49-F238E27FC236}">
              <a16:creationId xmlns:a16="http://schemas.microsoft.com/office/drawing/2014/main" id="{AD52B0DF-195E-4730-AB10-13290AB5665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7" name="AutoShape 1">
          <a:extLst>
            <a:ext uri="{FF2B5EF4-FFF2-40B4-BE49-F238E27FC236}">
              <a16:creationId xmlns:a16="http://schemas.microsoft.com/office/drawing/2014/main" id="{BA95E849-E820-4E92-AFB9-355EC907FC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8" name="AutoShape 1">
          <a:extLst>
            <a:ext uri="{FF2B5EF4-FFF2-40B4-BE49-F238E27FC236}">
              <a16:creationId xmlns:a16="http://schemas.microsoft.com/office/drawing/2014/main" id="{24660B07-93C3-49C6-BF2A-CB97956539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9" name="AutoShape 1">
          <a:extLst>
            <a:ext uri="{FF2B5EF4-FFF2-40B4-BE49-F238E27FC236}">
              <a16:creationId xmlns:a16="http://schemas.microsoft.com/office/drawing/2014/main" id="{403F3D56-325E-4E6A-8CE5-0FB72EF3075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0" name="AutoShape 1">
          <a:extLst>
            <a:ext uri="{FF2B5EF4-FFF2-40B4-BE49-F238E27FC236}">
              <a16:creationId xmlns:a16="http://schemas.microsoft.com/office/drawing/2014/main" id="{12F289DA-F0E8-49CD-9CA7-EE055115308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1" name="AutoShape 1">
          <a:extLst>
            <a:ext uri="{FF2B5EF4-FFF2-40B4-BE49-F238E27FC236}">
              <a16:creationId xmlns:a16="http://schemas.microsoft.com/office/drawing/2014/main" id="{06679C17-6A7E-4D1D-B05E-5C9CE941768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2" name="AutoShape 1">
          <a:extLst>
            <a:ext uri="{FF2B5EF4-FFF2-40B4-BE49-F238E27FC236}">
              <a16:creationId xmlns:a16="http://schemas.microsoft.com/office/drawing/2014/main" id="{3D6277CD-45BE-4FBE-9BC5-98AB58FF091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3" name="AutoShape 1">
          <a:extLst>
            <a:ext uri="{FF2B5EF4-FFF2-40B4-BE49-F238E27FC236}">
              <a16:creationId xmlns:a16="http://schemas.microsoft.com/office/drawing/2014/main" id="{E38402FD-20E8-428A-8B3C-29108110A0C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4" name="AutoShape 1">
          <a:extLst>
            <a:ext uri="{FF2B5EF4-FFF2-40B4-BE49-F238E27FC236}">
              <a16:creationId xmlns:a16="http://schemas.microsoft.com/office/drawing/2014/main" id="{81E9A0DB-BE4D-4605-BD76-4707BAD813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5" name="AutoShape 1">
          <a:extLst>
            <a:ext uri="{FF2B5EF4-FFF2-40B4-BE49-F238E27FC236}">
              <a16:creationId xmlns:a16="http://schemas.microsoft.com/office/drawing/2014/main" id="{2C371095-FA2F-4026-B2F6-B53E60419BA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6" name="AutoShape 1">
          <a:extLst>
            <a:ext uri="{FF2B5EF4-FFF2-40B4-BE49-F238E27FC236}">
              <a16:creationId xmlns:a16="http://schemas.microsoft.com/office/drawing/2014/main" id="{6B691A14-6D27-456F-A43E-E6D23B79EA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7" name="AutoShape 1">
          <a:extLst>
            <a:ext uri="{FF2B5EF4-FFF2-40B4-BE49-F238E27FC236}">
              <a16:creationId xmlns:a16="http://schemas.microsoft.com/office/drawing/2014/main" id="{212E77A6-0CEC-40AF-BABA-FEBC7536D3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108" name="AutoShape 1">
          <a:extLst>
            <a:ext uri="{FF2B5EF4-FFF2-40B4-BE49-F238E27FC236}">
              <a16:creationId xmlns:a16="http://schemas.microsoft.com/office/drawing/2014/main" id="{A90D63BB-7EF3-403F-8266-16EF931CCB5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09" name="AutoShape 1">
          <a:extLst>
            <a:ext uri="{FF2B5EF4-FFF2-40B4-BE49-F238E27FC236}">
              <a16:creationId xmlns:a16="http://schemas.microsoft.com/office/drawing/2014/main" id="{707EED79-776D-41A5-A118-00113A04CC1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0" name="AutoShape 1">
          <a:extLst>
            <a:ext uri="{FF2B5EF4-FFF2-40B4-BE49-F238E27FC236}">
              <a16:creationId xmlns:a16="http://schemas.microsoft.com/office/drawing/2014/main" id="{4547B050-02F5-49CB-9551-8C25DAB2647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1" name="AutoShape 1">
          <a:extLst>
            <a:ext uri="{FF2B5EF4-FFF2-40B4-BE49-F238E27FC236}">
              <a16:creationId xmlns:a16="http://schemas.microsoft.com/office/drawing/2014/main" id="{4FE75D78-5A81-4719-8DE5-29D6C817933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2" name="AutoShape 1">
          <a:extLst>
            <a:ext uri="{FF2B5EF4-FFF2-40B4-BE49-F238E27FC236}">
              <a16:creationId xmlns:a16="http://schemas.microsoft.com/office/drawing/2014/main" id="{D502B274-5CBE-45B4-B667-302530BF49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3" name="AutoShape 1">
          <a:extLst>
            <a:ext uri="{FF2B5EF4-FFF2-40B4-BE49-F238E27FC236}">
              <a16:creationId xmlns:a16="http://schemas.microsoft.com/office/drawing/2014/main" id="{88B52E18-3994-4835-87BA-766AEA9A03B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4" name="AutoShape 1">
          <a:extLst>
            <a:ext uri="{FF2B5EF4-FFF2-40B4-BE49-F238E27FC236}">
              <a16:creationId xmlns:a16="http://schemas.microsoft.com/office/drawing/2014/main" id="{A0EB427C-2E92-4CEA-A8D8-D3036B8ABD9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5" name="AutoShape 1">
          <a:extLst>
            <a:ext uri="{FF2B5EF4-FFF2-40B4-BE49-F238E27FC236}">
              <a16:creationId xmlns:a16="http://schemas.microsoft.com/office/drawing/2014/main" id="{DE34A1C5-3580-49DD-A39D-3205E0D10C3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6" name="AutoShape 1">
          <a:extLst>
            <a:ext uri="{FF2B5EF4-FFF2-40B4-BE49-F238E27FC236}">
              <a16:creationId xmlns:a16="http://schemas.microsoft.com/office/drawing/2014/main" id="{E6F8E1F8-AEB0-4D66-8E1B-6534495170D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7" name="AutoShape 1">
          <a:extLst>
            <a:ext uri="{FF2B5EF4-FFF2-40B4-BE49-F238E27FC236}">
              <a16:creationId xmlns:a16="http://schemas.microsoft.com/office/drawing/2014/main" id="{36F53DE7-868F-421B-8180-03B591E4BBB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8" name="AutoShape 1">
          <a:extLst>
            <a:ext uri="{FF2B5EF4-FFF2-40B4-BE49-F238E27FC236}">
              <a16:creationId xmlns:a16="http://schemas.microsoft.com/office/drawing/2014/main" id="{F2EFA8C0-569D-4ED0-9094-C33EE19ECC1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19" name="AutoShape 1">
          <a:extLst>
            <a:ext uri="{FF2B5EF4-FFF2-40B4-BE49-F238E27FC236}">
              <a16:creationId xmlns:a16="http://schemas.microsoft.com/office/drawing/2014/main" id="{70BC9C7F-9302-46B2-A4FB-62DD63701C6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0" name="AutoShape 1">
          <a:extLst>
            <a:ext uri="{FF2B5EF4-FFF2-40B4-BE49-F238E27FC236}">
              <a16:creationId xmlns:a16="http://schemas.microsoft.com/office/drawing/2014/main" id="{C205F219-266C-4154-A0E8-B5B27BBAADE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1" name="AutoShape 1">
          <a:extLst>
            <a:ext uri="{FF2B5EF4-FFF2-40B4-BE49-F238E27FC236}">
              <a16:creationId xmlns:a16="http://schemas.microsoft.com/office/drawing/2014/main" id="{D4B45A23-DA7C-432C-8ADB-F5ED2B82468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2" name="AutoShape 1">
          <a:extLst>
            <a:ext uri="{FF2B5EF4-FFF2-40B4-BE49-F238E27FC236}">
              <a16:creationId xmlns:a16="http://schemas.microsoft.com/office/drawing/2014/main" id="{2161FE8A-1324-4E74-82BB-3356BD43A96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5]!영양지" textlink="">
      <xdr:nvSpPr>
        <xdr:cNvPr id="123" name="AutoShape 1">
          <a:extLst>
            <a:ext uri="{FF2B5EF4-FFF2-40B4-BE49-F238E27FC236}">
              <a16:creationId xmlns:a16="http://schemas.microsoft.com/office/drawing/2014/main" id="{C97E1E49-F288-4F53-B7D8-7BE01A0EBE1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4" name="AutoShape 1">
          <a:extLst>
            <a:ext uri="{FF2B5EF4-FFF2-40B4-BE49-F238E27FC236}">
              <a16:creationId xmlns:a16="http://schemas.microsoft.com/office/drawing/2014/main" id="{9A3095A3-6F88-4E69-85B0-5F76DE179D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5" name="AutoShape 1">
          <a:extLst>
            <a:ext uri="{FF2B5EF4-FFF2-40B4-BE49-F238E27FC236}">
              <a16:creationId xmlns:a16="http://schemas.microsoft.com/office/drawing/2014/main" id="{1877D15F-8BDA-4F0D-B203-CF1EAC662E2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6" name="AutoShape 1">
          <a:extLst>
            <a:ext uri="{FF2B5EF4-FFF2-40B4-BE49-F238E27FC236}">
              <a16:creationId xmlns:a16="http://schemas.microsoft.com/office/drawing/2014/main" id="{0C19BE55-F580-4078-9793-100DFC411CF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7" name="AutoShape 1">
          <a:extLst>
            <a:ext uri="{FF2B5EF4-FFF2-40B4-BE49-F238E27FC236}">
              <a16:creationId xmlns:a16="http://schemas.microsoft.com/office/drawing/2014/main" id="{FC092C6B-4511-4F9B-BDFD-588E6B9962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8" name="AutoShape 1">
          <a:extLst>
            <a:ext uri="{FF2B5EF4-FFF2-40B4-BE49-F238E27FC236}">
              <a16:creationId xmlns:a16="http://schemas.microsoft.com/office/drawing/2014/main" id="{BFD7BE1B-CEB2-46D5-BA02-FAFD048D228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29" name="AutoShape 1">
          <a:extLst>
            <a:ext uri="{FF2B5EF4-FFF2-40B4-BE49-F238E27FC236}">
              <a16:creationId xmlns:a16="http://schemas.microsoft.com/office/drawing/2014/main" id="{EE53C6F9-FA2C-4AC5-ABB0-A17EFD29D9D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0" name="AutoShape 1">
          <a:extLst>
            <a:ext uri="{FF2B5EF4-FFF2-40B4-BE49-F238E27FC236}">
              <a16:creationId xmlns:a16="http://schemas.microsoft.com/office/drawing/2014/main" id="{A1E2590E-E27E-4839-BB02-0DF9B67D4E5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1" name="AutoShape 1">
          <a:extLst>
            <a:ext uri="{FF2B5EF4-FFF2-40B4-BE49-F238E27FC236}">
              <a16:creationId xmlns:a16="http://schemas.microsoft.com/office/drawing/2014/main" id="{83589B18-52CB-45ED-92F1-277CE793C51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2" name="AutoShape 1">
          <a:extLst>
            <a:ext uri="{FF2B5EF4-FFF2-40B4-BE49-F238E27FC236}">
              <a16:creationId xmlns:a16="http://schemas.microsoft.com/office/drawing/2014/main" id="{F9EDD4A4-0E73-4C33-92D5-DD9A65A8341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3" name="AutoShape 1">
          <a:extLst>
            <a:ext uri="{FF2B5EF4-FFF2-40B4-BE49-F238E27FC236}">
              <a16:creationId xmlns:a16="http://schemas.microsoft.com/office/drawing/2014/main" id="{AB9D9137-F657-4BDD-A12B-C6F6AB5D20D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4" name="AutoShape 1">
          <a:extLst>
            <a:ext uri="{FF2B5EF4-FFF2-40B4-BE49-F238E27FC236}">
              <a16:creationId xmlns:a16="http://schemas.microsoft.com/office/drawing/2014/main" id="{7AB6B9D3-432C-4684-9CE3-B0A87AA82F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5" name="AutoShape 1">
          <a:extLst>
            <a:ext uri="{FF2B5EF4-FFF2-40B4-BE49-F238E27FC236}">
              <a16:creationId xmlns:a16="http://schemas.microsoft.com/office/drawing/2014/main" id="{3B6F2604-74E8-4EF5-9AFE-64B2A4F9B96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6" name="AutoShape 1">
          <a:extLst>
            <a:ext uri="{FF2B5EF4-FFF2-40B4-BE49-F238E27FC236}">
              <a16:creationId xmlns:a16="http://schemas.microsoft.com/office/drawing/2014/main" id="{3FCAF07F-510E-43D2-B7A1-2468344774A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137" name="AutoShape 1">
          <a:extLst>
            <a:ext uri="{FF2B5EF4-FFF2-40B4-BE49-F238E27FC236}">
              <a16:creationId xmlns:a16="http://schemas.microsoft.com/office/drawing/2014/main" id="{92E628CF-8785-4C11-A5D3-CB4E263685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22455629-2E5F-4418-8846-ACF57F99C3B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9068090A-AE16-4EEA-9B30-519669EE029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05760896-9613-4528-A775-CCDDE8DDDD6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2DE17187-A8D2-428E-BDD0-E91387DAFE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CD5C4F02-11C1-4BA4-BF9A-B0BDDA7566F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2EB9FDB3-2651-4956-B95E-F7B910DC489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3D8C1179-F6CF-4777-A417-CEEAFDE9B4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5B55087A-468A-40CE-9F4E-B319CC9352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89D75FFE-3ADF-4F28-BAD5-54B0E7B3A1B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B688EB74-FC6B-4AC3-83CF-8EFE09D42B4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0C9D4ABF-AC28-49C4-9D23-8F5B280DA96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E7F8161-8F91-41D2-8C5A-953AC587DBB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37D2F00E-4D1F-4254-BF6E-ABE8510E63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92F47A62-C89A-437D-B492-3AC1247F3E0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270BFEAB-D85B-4341-8217-DBE0459E316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0C1B3773-3CE9-4150-9690-52627333C40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82C991E4-384A-498A-B3AC-D942F7F8380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A06BB748-5CC3-40D3-B8E6-A4C102039D2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CBF5603C-2FF4-4407-91D7-3660609169B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7AD663A2-0AF6-4481-9668-2ECB131585E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9724B68C-1A26-49AA-8039-3F6666C21BA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061D25DD-7EAF-4DC5-BB74-01F8E67AE2D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B0BEB0D8-1D79-4597-94FE-6D744CBCC7F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DA96DB8E-98D1-48DD-A797-3C9F2F2E401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EDEA8756-5BA0-463E-88DD-49E0F48C3E3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E6EF12DA-1CB5-4F2D-9B5C-B374B7B105D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D56E3E29-34BC-4193-9F64-6973D1812C1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ED164D80-0820-402F-A0E8-6EE14943A5C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DD8FC799-61BF-4A10-B11E-970132570C1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847FCD38-6002-4EE2-BBA4-5F0817F9EE2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8687B81B-8E1A-4146-935F-3E5C3196C50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CA2D1F99-D836-43EE-B615-02A98E9FDE5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F93B6176-9FDA-4831-A1D7-9097358C68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EC9AE0E7-006E-437B-907B-AE537540A76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56E570AE-E388-4DF1-8FF7-FBACB37272B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2FA3FA7B-3551-40A1-A693-F26E2EAAE68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D4017699-17CD-4B66-9DBC-A209F021836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5F4A0070-9F2C-4A07-81D0-C5474119E41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F90B26C0-407D-47FE-929A-3FD81F6F98E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D23CE3F7-7666-451E-8092-AE56A6BDA13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8D993685-8761-42E0-93FA-1A287DACA83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9744887E-EEA1-47BB-841C-B76A1D85288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489B95BD-0A5D-4FE4-B423-1F696DEE32A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33EB9C24-7ED2-40F9-8BAB-FD4D94EAC46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B7BCDE45-55F0-47C6-8B35-AA325E03121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2CC9B8C4-FC9E-485A-8EDC-DACE909DC04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31066DAD-8BA1-4614-8F81-3882C5F5580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85515A3F-0AD9-49DE-9634-3AE16BD6C92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17BC8D5D-BA6E-490F-8A66-312386540E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CFFEC606-CD57-4DEC-BFA6-EEB2B0DDFD3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6C612A4D-B3AA-4EA9-A6DA-33F575909C0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03C46A8E-4E49-4E99-8B40-B7D5C3D12ED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E9FFC489-9AC6-4C9E-8448-D214D15A458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2DED8EE1-0B12-4B47-B52E-3318B0BC05B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EE07968D-291C-445D-BADA-1A1A9A0D0C9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F0F496D9-E7FB-47CA-B34F-2274447758B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B48CCFF6-23D6-4645-A708-3F375E656E1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CBCEC8FF-9D88-4708-A995-5DF8380F6E3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E5AD2EF2-ECC7-4894-AA6C-3BD9C12C56F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254CF6CC-C8AA-406D-80AF-ADEF03F23D6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1C84E5B1-CE74-4271-94F0-40FFD15BADE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4E988CB1-46B6-49AA-9D17-8E4C76E4585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5DA5D337-7B55-4601-9DAA-68C3A9FCFB7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FFDD6948-058A-4E6A-A7F8-1A604712881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1DE7E443-2F7A-4523-8B66-6AC3C9ADB1E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FD4DDC33-0721-4AD3-B8D9-B7D1B433F19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B79DE38D-466E-4A9C-9FD2-38054DF8519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2A73AFD5-B6A7-4FAF-8FF8-565E788C905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EBABD7A7-3D79-4737-945B-7D0713A018E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996B41E2-9FA5-4867-AA10-968A8416C86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984CEE4E-C2B0-4B68-9F26-1221FAD1802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EECB4053-DD99-4BAC-A6CC-9B757AFB846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15826450-166E-4F79-87D5-BAB93B1C483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858E71D6-2FD5-4CE6-A266-CB10F9F10B0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A03CD0CA-136F-4E46-83DD-06AF4A784C1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1B57C365-4066-4055-ADCC-826C452D812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EB27638-2554-464A-859B-4F41504A4B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6A4510FE-229F-4633-9B48-C738A30F8E4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04047DA7-C66C-4E77-8F4F-939684F86E2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397F49F7-DB7E-4D2C-86FE-9A904C57712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1E0F7157-D249-40A6-B908-B5A7334DC91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91ABFF3B-A0DE-4CB3-A90B-ED04F2E1E7D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CE70B3B1-0107-41AD-BBBC-DC23421DF9E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7E8794F0-376E-4739-8171-5AB0E169BE0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4D0BE519-6B99-49AA-A3C6-5F136E0D53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ABE5E203-1C46-4D4A-96D3-13818F0910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8CEFBA06-8CE5-4B78-AC09-282E250AF9A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8AC164DE-A208-44E1-8477-07ED71C80F5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F6404F34-904E-45AF-921D-9335BC50E31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A9BA2324-3E05-4E31-96A3-DBFDEC2FC51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80A53CFF-B095-44C1-9D9E-FB33D77024B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A74DB4C8-A620-40C5-BB8A-CFC95FABB37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E6186DF1-22AF-4731-BEAC-FCDA123212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DEF5CD8B-0012-4B76-8786-2D36C636A7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FCB14CF9-0024-494A-A787-37CCF1DD1D3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213374C3-E11D-4A74-8288-9A11C2B6A4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BD1299F4-2F7C-477C-9BA6-F50CFC9A92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03ADB3DF-31E7-4D2D-B627-92CF2949B6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ED320B1B-AAB1-4553-9BD3-14AC2D32D7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6A126821-912F-4D65-8F45-6A2C1E2401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D4478EA1-FBD1-4658-937A-A37BC3E715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55F20EF4-2587-4187-8FEC-453CDCCFD5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BFA237B6-F13E-4CB4-966E-6B4C38C2302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1C7D379F-8733-466B-A669-451442FE77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2F1E27F5-DC4D-4439-BDA5-595434D3B3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21779A96-526F-4A9A-9DF0-831529374D4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A672B7E4-A139-4AC9-9325-BE3DAC2E4B4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B004DD98-FD6C-4879-825D-B36C1FC2E89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F8FA6BAB-3903-4DF7-B997-A0673FB9B7A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CD4B4B67-4239-45FD-AFA9-8ED0718BE70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58064F47-5367-4B83-88BF-C453ECC671F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BC3C9998-0281-4C1D-9B8A-962518635B2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04924A65-1A2D-4E2C-BB63-1A322E6969D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80E8C787-A609-4C5E-BBA4-DA7EEEF40C8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724430BE-7405-4FBD-8098-3C154E9CE20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DBFEC77F-068D-4E89-B24A-C5AEA0DD5CA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F408F8F3-0E17-4723-AE9C-703186DA36A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47C1B253-52D8-473D-9214-D508D754128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56E0EF2D-34B8-4A6E-AF49-F160D06619F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680AB433-237C-4E6C-89E8-3F4E204FC39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BB62CC09-3559-4D02-9B5A-9359C2B9D55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11C72345-CE44-4CB1-AC02-8E88F0DDF2A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9E7F5291-4198-4BE3-A38B-E2D7B5FB11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41FDD163-F07F-44FD-84E9-7C9257058E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138F6A7E-AE56-45DC-9664-02482894151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532D722B-223F-4DF4-9373-1BF8461A8C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C8642C93-8FDC-491A-BCA2-58CA5E9B767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5DE97EA9-F965-4649-9774-DDFF647F29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56A196A9-C5A0-41CC-9F51-5A2E933E669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9C9F5464-3925-4C1A-B0BF-3894A421AEB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38CAE7D9-3E9C-44C9-9E62-297C6F08C21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261DA5C5-1AC6-4AD1-A71D-6C743097763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A9488DE0-471B-40E9-BA5D-691D1D73384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58091A55-B620-4CB5-9B5F-B9AC59718ED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D637B911-7360-4218-92ED-A16E282DE28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D9E79019-1065-4261-A289-118BCF2223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9B3DF329-0A4F-4691-B2E5-D18A9BEC08E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3F3D0866-5550-42EC-8CE0-5B9D2A6776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B90569E0-18BC-4D78-8B47-4ACF6AC9F66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16E98315-65F9-451F-864D-ABC0C9092E9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5978694E-2AF2-441A-A982-5E498DB619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5D40E74E-526D-4C03-BDEB-0FBA4A053D4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88573F80-A430-46B4-A058-74EA2F9B3AB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A97742EF-2793-4220-83F8-650C49BBDE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5340528A-3026-40CA-86AF-3DA8C770CC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C0E7BB86-3F84-4C05-B076-85F3732D39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6729793B-A8EA-43D5-BC46-8D7F64538D7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6DCD658D-D486-4FBB-9BB1-40D3D57D874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049D114F-EA45-4362-AC99-2F782FA3CD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C046F0F1-6748-408C-BA94-0B3CA7AAE05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6DF6A8EF-0B37-4109-8BB6-798D5AC86B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04F1B06A-4DD3-41A8-9250-FED89B5001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BF7A148E-92AA-46DC-A25A-ACEE981C753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1866F651-4C1C-4D02-BF43-4A4A7CFC27B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1E061F82-4443-4841-9A16-C1D8ACFCE1D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0BF71B2E-FE83-4BF3-BC32-09CB5C09DD3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7619FAB0-8978-4DA2-A6BC-7442228D508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4D39EBB1-F436-460C-83DE-CF36956E50C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56D8A165-E54E-4547-A8CB-D7B9A00F01C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90602CFB-9143-45A0-BB06-7B67907A4D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951CEB29-6A05-4A7D-BFD5-32C2CADD963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90B5A3F2-B05E-4364-9EBE-50BBEED1F1F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289319FB-E2B2-4741-9852-2B0386320A8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BAE58C42-6BD9-4A2E-8059-7693866EE11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18C32B07-A3C8-4AE1-9E89-B27AD9F0934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056B4F28-7AE5-4633-9EEC-E2990348827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EA893AD0-5094-468D-937C-B4CA337E46C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D12FD449-E852-4383-A1FC-6BF8886E39F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7A67E5DA-C4E7-43E7-94F1-8AE5D0E131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996F6FA4-9885-4689-B34E-9337915F574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057CBFC3-855C-47FF-86AD-C357493274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52C32DFE-7F40-4728-B700-9C87FE570B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77F24197-33C5-47E5-9B84-F121BBA6CF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7981B539-5D8C-4086-B96E-704EC5AA177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7FD353C6-6260-4E53-A674-144A5C62C72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D7E224BA-E6CA-4433-9B05-25AAB31A2D7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4BB9AD5E-88E3-40F4-BAD3-05FA3C340A0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8FFCBA59-DAE2-4433-AD2B-E33ED7BA4B5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681C2D29-4ED6-45A9-BA8B-1D566CA02CB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6B3B650F-81DB-42A4-A1F7-29BDB0F5DA7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BB54A77B-DF11-440D-80AB-7EC2AF5121A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502D7245-0804-4BF2-9354-7A81E8619C9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2D4E9771-D048-4AD3-B1F4-346B4A68A71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19BE613B-0163-486C-8D61-216B88263BA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F4A74BE4-37C6-45C5-812C-89375B228F3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2F4BFCDC-1B2D-44F8-AC53-624AF3A09E6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E2560EDF-AA19-4DB0-927C-4CDE3F70F0F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0DDF8FF9-7D9E-4BCB-B97C-9856AB4CB01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E9AB2E92-B33E-4912-91AA-3C3AA307A51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902EB9FA-E032-4CDF-81C1-D2C4FF9B922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118DD1A6-0EA4-42C0-9B00-F077F691BBD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1F97234C-F6A2-485E-ADE8-060F88775E1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DB39CE24-FAD6-46D6-9132-4066504B59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A9D9626-6784-4A01-8391-B595709400C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428E3D28-B0DC-4627-9FA4-6B7E71ED80C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9D04FE89-DF54-448A-B85B-312DE649ACE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DE7AC92A-FA63-4E85-9612-0D384A052C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CA512694-7FCF-4D8F-9987-603B9C8231E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8CD3E16E-5641-499A-8093-27B7B2B636D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A2A97F3F-6F96-43EB-985D-73E536BB741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B8C4483F-792C-43AC-9EB6-28C25F7AA12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FDEED135-3FCD-4A49-A5E0-B138CB26DEA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B783C353-1213-481F-A231-A75538DF1C4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23929B7A-8F06-40EA-914B-909BECF017A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9C9F2EC3-C1B4-4BC9-AE91-8FD46FA3DA4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31B4EEE5-094E-46E6-9E4D-ED3812323DA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1F21A1D1-7A26-43BB-BB7A-FDBB512EEB7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FEFA4956-09EC-4B92-8373-68D2E50119B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BAD3B252-6F3A-40A4-8B56-2065C91B77F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0682F7CE-AE52-472A-BD21-87C1F55EFC5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D16AE408-A3CE-487A-A823-44275B7F0F7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34BAAF74-7725-4594-BDEB-910048535FA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5D4DC251-47F1-47FA-9116-80A604D06BD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EE204477-CC17-4D46-9DA0-8EADC8A1880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E1A44395-BB7D-48CD-83DD-2A1948E1AA5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D7D072D4-9916-4088-AEA6-998D047634C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5891E8C2-2B2C-4419-8A0A-AB4FC63D2FE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9068EFBE-1E34-4D68-B861-A7C73A24C14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40E9B23B-CC17-46CA-BA15-FACD501865B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8BD15B82-CC3C-4385-800C-9A69204F146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9ED17393-622C-4F23-AB9A-212066D6502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B59535F2-7B1F-48C6-B8D2-93405389032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E7195105-CAA1-47A0-B088-C2EB9909F18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9BA4C093-9F9A-45CB-AEE7-73B114D6F43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67E39269-5268-479F-84D7-880B5E16970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47C6FFC4-F5F8-43C6-A684-F9296392678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2FBF6864-F175-44EA-8809-1D221476202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96D86CA7-20FF-4840-873A-F7E1D2D6412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730C89EF-1C1F-4FAB-BE89-3A629A99E43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4630DCAD-FC6E-43D0-B81D-844F19B5A5F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24A1A5AE-6322-46D2-BB81-1AE87E7E3D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EBF96DBA-E286-432B-BB64-D97F7908D9E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02A5E912-16DF-4EB7-89E3-3F572E23E2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5C111998-7BDB-40AC-90F1-CE94CB33325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2ABBC0EE-2820-4A57-ACD3-6E296232BE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DB4A1B0F-9BA4-485F-A519-064FE9FDAD9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32C0CEA8-872F-45EB-898B-4DB5F3E8D16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706887E6-2A92-49FD-BA24-7B24B6C6B09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2FC825A0-B791-4D61-AC93-7CEDDA6390C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34E4A597-6D36-407B-9A6B-2779616B1C3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69FF3D98-B288-4ABE-B1B1-71B58B24730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27BFA914-EE70-4E4E-8C0B-29EB5465930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D210D4FF-66DF-46B4-8623-9AB45AF77E9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FAA2F5CC-AE3A-4507-AB8D-4978E648D98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89A490B8-EAC7-400A-AB3E-ADE2439B236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EE684176-BF4D-4DA4-8A01-4B8FE919DDC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3FB35885-A0C7-44EF-9478-FD7D824F0AE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023F2C00-6F54-457E-A474-082BB59B83E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966A68DF-1167-419C-83BC-6CDDAD535FC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F631B427-91AF-4E1A-A4DA-8FBE1668791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DDEA7E82-92AF-4032-8B84-298C386FAE2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92F7A915-9643-4603-B48F-E8D2B276DAB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66F4FAF8-18E5-4EF9-AC02-4EC9DA2BAEB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EEA393CE-6E7F-4F8B-BD61-F5585DCEE68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CF75B973-CF46-404E-8DF9-EC6ADAE1D75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B598723F-D8B0-4ED0-91F5-8E975CD22DD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30345EFC-CCB9-486E-B1A9-4BEA447DA94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2CF323B3-4BF8-4084-9F04-626DDAC3BB8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8ED28D7A-27A9-4EC8-BA25-9BB9ED0BFEE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901A5B9F-9418-4B53-87E7-D1853E17F39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FC7A3C14-6618-4895-8BB5-F8994B002A6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9058DC5F-CC60-4948-B445-D24E49257A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D4BADFD4-0CFC-4900-99AB-718937039AC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22557C45-A926-4DA0-9149-E95A953E99C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576B1A55-5E4B-464A-889A-9A559E1DE0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F6F3B856-7D8C-4408-BD77-6A3EC954F9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60874321-3C5E-46DF-99D2-56380A46116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CC98954E-CC63-41D7-AD64-A02CFE95CB5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900AE650-7B1E-47EA-936C-FA4824FCC68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1564BDB5-9559-4953-8BD6-BA33E87087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809FA784-0FEE-409A-8467-31B429D895F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5B9FD2B9-836D-4298-AFBC-485B44A319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B00C2967-D778-41A3-AA11-0583B1888AD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81DB490B-6A9A-483F-BE7F-2D1679355CE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9A131E62-41FA-4957-97EB-632D998598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422C3A7D-83FC-45FE-A9C5-28218951274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0842169C-A391-4B82-BEDB-015417FBCDE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B8EBAB69-4DD8-429E-A331-E216601FAF6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41548312-F31C-4553-ABE9-3CF5BE4B17C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83D69CAA-B3D8-48D5-90B0-EBF02CC38C6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32F077EE-CF61-4C55-8C4A-99F2AEF0A7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4902BB0E-F7AC-490B-8964-F844F450FBB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E93F6262-7AD6-4400-9741-420BF22E714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DFE0EEF2-197B-4A68-9108-2C8C3DC528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864842A-709E-40C8-B0D2-960BA367E7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78B74E08-F51E-470E-804A-BEE3C47478E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E712DE69-4020-4B7F-8C13-C4413CB92B0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49BAB26C-E9D8-490A-88AD-6BB787369A2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8C13E879-9DA5-4639-A171-CF74D670C7B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FBD27BC0-7D87-4794-8DF6-1A43B9A0753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54AC2E22-0F17-4218-BFA8-7D51F353D16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26171259-191A-4D36-B064-5578AA4E228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C635E1F6-F1F5-4CE2-831D-4F9E18E3A59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CCC3D108-8755-4EB8-9611-5443A158C94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A229AD65-7BF6-4155-ACAF-2D44BA21D89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401ACCDC-A998-4F10-8C6D-F359D207807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1E12A1BA-28CB-482C-A3E8-CE5B038D616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20A8B7EA-FBBE-4758-8AFF-038CB22D0CD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ADD1ADCD-BE69-4253-8663-B40AB0C8636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66B77731-170D-478C-A331-FACA078F0D3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76ED0567-0E54-4FD6-9931-03272065212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62EF6FA4-E126-4794-99B7-E9CF9802593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9B823167-8E50-48BD-9260-2935D59E7B3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5A753358-CDC1-46BC-8C39-00328C745EC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DC6B5D42-C49D-4B37-8355-A5DFC551EE9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359AC1D2-2F89-4950-8193-D4B832BB049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3558231A-7AA4-474A-91F3-6ECA8A59A0E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A358E118-7F38-4DCF-AD77-CF519D6CE85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793DC03F-725A-43B6-B7FF-66713BBC06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E7E92A79-44DA-4ED5-9A10-65BC02CFBF0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470793AB-2B4D-40EC-A452-7A83C8D6A24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FB35A5CA-243B-473C-90F2-9649DA0772D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F8EE5774-E9EF-4D13-BEE8-4803BA6CD2C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9C98E679-4D05-4D72-8838-AD5B07CE16C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D07FBDA3-87FF-4BE3-B0B3-20FBCC1227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29B255FF-C4DE-4C31-B187-3099EFA5552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214EE92A-88E7-48DE-98E7-8A3AC13D3DC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3FFF3993-C8C7-46AE-891B-C53046DCCA5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D70A06BC-3516-49A1-96DF-4EF81B01AD5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89B104EC-E750-4285-835D-D2CFCA2749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EC6FAF85-CFDB-4918-AE6D-0FE944C95E0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EF8B7104-0D6E-4EDF-8BA8-5DA8C7E9AB7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A9A83C06-6BD0-4FC9-A6B0-3554840EF3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8032912C-C281-4FB7-A9A5-98EA2962A9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582F21C3-479D-4A10-BABA-6FDAFEB6F45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39204700-BB34-4BF6-B373-69E2034F22D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79CABA46-C19C-45EE-A2DD-129D6423010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10EBA6FA-FDBC-46F9-8520-7907EF58D5F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570FEB67-0429-4FA6-9D14-07DD8941C0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DAB9109F-1DC9-4E8F-B7F4-D9E666139AB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3CC3155D-0884-4F22-AEB2-E6C98171C0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A6C5FB76-91DC-4373-8C88-2F136675BEC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4FF4C600-001D-4404-982F-DF6C47B35AE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2A72F42F-4C51-4B9A-9486-7FCD1D0FBB2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75F2574D-C1D9-4308-A669-CA6B4233D00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E3A64752-A03F-450C-8E0D-114FD77CCA6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925E6A4F-B390-410D-B53C-4F0EAE55D1E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F6986998-4F0C-40F8-AB98-75C06091F0C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72AB02AA-1AE7-4BF5-8B55-6099CD6E9F3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2BA0317B-A9AA-4165-BBBC-3677CAAB423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2B060CD5-0727-42E7-90B7-D377BB678F1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12CEB5AD-36E5-4EB6-88C4-1BE66DFB4BA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28F6382A-0A5A-4A65-B0AB-A72A87132FD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40B20CD4-6403-49B9-8AB5-B585D1379A9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F757EFED-ECEC-4A29-8F19-9F434764616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A76920B2-AB81-452A-913B-49C05CC5585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7B801EAC-DB22-43A5-8314-CB962650CE9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E2E1032C-69D1-4979-A869-55F1A3E33F1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8D3860F8-E2DD-40BB-8155-81B36E6036C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CCE9E1A-D40A-42FB-9F7A-DBF632D26C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908B5CBC-B24D-43E3-9C10-AC96A97D4AC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1AA73B0B-55C3-4101-83B9-DB12DC32F62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AD8ABAC6-E2B3-473D-BEF4-CEE24D96FE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060DF6B7-E258-4289-B8A4-D29CFC0083C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32A1F6EA-5E6F-485D-8411-738C59E789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035D3EE1-A265-47ED-8C92-487FD6AF847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505D4B6A-4A5C-4F1A-92E8-C2EA98335F3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D72E23A9-6A42-41C3-9B87-AE0C2C292F1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F553BE4E-5302-4F2A-8EAC-0618A5C96B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B9A7C5F6-1165-4116-A69C-33C7F111BF7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694392F2-A5CA-47C0-90A9-5214DE44DCB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E32D02F6-6A8B-4FB3-8957-053C8E48951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F86411F5-E638-43D1-90C5-1611BAF5BD9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7CC82578-0CFD-4C49-90E7-30C64C8DB9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1A194A62-A558-47D4-84D4-AD43ECC1296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C8CD4A04-4640-445C-A46D-35E406C1E3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52235219-8891-4DB2-88DE-941EE82BFD1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A732C22D-E0DF-4E4D-BBB1-CE616C7F2C7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50142B98-D64E-496D-99AC-9139DA90AE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6000B852-201A-4755-8A69-2404990AED0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923FB707-F09E-4D08-B0F7-5C976C31798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7D2C10B2-BF2E-4AFD-840D-D3EF0D7CBBC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1FCD200C-95C0-4E5A-A734-5902F869943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8CB5F95E-9443-49E4-AA8C-049DBA2608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FE44ECAF-86C5-4393-A86B-5AF209526CA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F34C68BB-D45F-4BAE-A40A-23DFB76FBBB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041F25A9-FB90-4FC6-A2BA-64967D7753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BD7F7481-589E-4693-A007-DB8C5862290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101001DB-3E03-43F6-BC06-DF4B0B8FEF0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CFA5EFCD-3BD6-4B81-B4E7-F6289F5B9D4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A96AD7E6-FF90-4B32-B64B-28DD61EC262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94DE611B-0C14-48CB-AD1D-BD96E8681EF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70503177-B855-42C5-B1C9-97D12C55710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C1E414C8-4014-41FA-8409-29B564A1111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D920C1D8-62B7-4FFA-86D2-254A108FE62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4EFD62AE-C640-45F2-AE98-BE2447239BF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A37DC91F-2B4D-450A-84D8-A3E2E2616F9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22C4C14D-41BB-4F4C-8B42-5F9A27EC23B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474756CD-69EE-452A-92D0-434DDF6FC29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1000736F-BE54-43D8-A34A-E793E1EC367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CBB44ECF-78FF-4E20-B546-BAB71009C72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28E53E71-20A1-4F46-B91A-7063375A05F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EF7F9D48-64B7-4B4F-87F0-77043DA1EA3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6577F5F5-5DD7-4E11-B158-E4700FDF1D1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38522263-B9A3-4FC9-B99C-281EAF13FC1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C4F35C83-601D-453A-8C38-9FCE63EAEDB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55A1DCF5-4A3D-4E44-987F-2232528BE3F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EB2DA20C-4437-48C4-8968-3A34B17099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DBFCF199-1FB9-4926-B9CF-F6B56AE4DF3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7EA66B86-0522-4B8D-829A-7686F29B1D5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922F099C-800F-4E7D-AF3B-1F4AF782DA5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4B1105CC-AFA8-4FE0-8453-12980549DE5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09BF4C1E-B88A-4C7C-95DC-0E8C040D1D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13150085-12F3-4A38-8CE4-5D2CB7EE0B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9F98A2C7-B160-481A-B494-89B3510D6E1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E54D4C22-C4D5-44BC-91B7-54359A8FF33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C54F5176-0044-4772-8FE8-1D8AC9DD08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ACDC5399-FEFB-4BBD-87F5-F9D4FC58F59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918D56A7-8EBC-439B-A4E3-6C4ECAC3958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C11A4BAE-3CA5-4902-BD92-760A47E55E8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A65D7B79-FCA6-498E-AABE-66917F1CB7E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633539F3-040A-42C3-A48F-51581F9830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1BD62716-1050-4160-8375-19D79A810D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7FAE2D21-6A03-4A5A-938E-E0659705C6B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EB3256BA-052D-47ED-B365-7F66F4839E5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A15F27D5-43C0-47F8-BECF-E04A3D894B2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2AD5BF67-092D-4A99-ACC9-6DFCA7A647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B1A3023E-3D7C-4864-B020-C8A0D56079E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CBC5222C-3C9B-4AC0-83C2-BC8B913228F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1D208DA9-846A-4379-AED5-053285917B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A95E7745-AC77-4A4A-A2E4-1F9B95E8C27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D273475C-3D45-43DE-9A12-4D252108F5A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A0C5673A-B140-45BF-BE9D-5EC5DDA029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A318E197-BB4E-49BC-8A99-06F194626F2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DC62343E-86C9-43AC-A6AB-FED4A53FF09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4D97401E-9465-4DF0-95FE-C5D8AE8B064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6C8748E9-B930-4351-A59C-79793FCCE70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4E5AD045-2BD0-454D-A047-B3ABAE31BF2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754D6752-5B87-4849-9C98-E95EA483B31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EF816E35-90F3-4E43-B722-683CA917699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6E893E1F-5FAE-4117-A96A-C8FC878D696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952A871D-5318-4E5A-8AB2-ECB7099E158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4C799E73-AC08-4F51-B4BE-5749B80405E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0D12D83B-46E2-4CE3-9974-FE21F67BAF6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574A19D3-3283-41A2-B740-270D0F90408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F24262CE-BBE3-4406-AD8F-2584ADF479F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DDCE4926-8471-4351-933A-F4945D5BFC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1A35FE41-1014-485E-88B7-0B5EC93D12C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409C9232-3C0B-4D3F-905A-5A51D5445DC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15087C05-E7F8-4199-AE3A-FC64BF97DDC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8FB5CC7B-C233-47DC-B9F2-0C8F17F57D7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4A6E7EE6-94A1-4E4E-A2F9-54D27AA159C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F9F36A8F-F9F0-430C-8CA8-8C955A1B1F4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B37DEF93-E58B-41A5-872A-18022B9107E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7204319F-2729-4484-9089-DD9C1E3D12D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312E9277-E495-4790-9A19-47D7336B3C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26CA820B-510E-446B-AD36-812DE6B724A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D789790B-B5C4-4A75-A5E0-A6F3C4D246F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D5548CA4-0700-462A-983D-8BC5424646D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25548826-2CFC-4856-A0CB-0A9766A108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6E840C26-FED6-4ABC-955D-A72CC8FE5A8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E9D17BF0-B9BF-47A1-99F7-293915C85E9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4F650884-FA06-4445-AB60-2B414B3710B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E49E31CC-67F7-4F75-9E78-2D098B07949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FBDB7CD8-362A-4087-A570-7F48A6D8047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FD0D08BE-328C-4A87-86DA-4370023BD6F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AE9C75F0-2B52-403C-BD30-AA9E47D8577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19AE532B-5A31-4EF0-B39D-31CABD5937D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B1AC49AB-42A9-470B-8E7F-F60A8150DD9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E66A9EF5-28BB-49DB-8A11-18E67D3EA69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37E5D0C1-2311-45E4-96CE-1DA59511AE7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F167448D-E116-4D70-B143-B8FF85A4AEE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CB4E3208-C33D-4715-8384-15BCDF037A5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48134BCC-9C77-4372-8C12-19BEAC9F0EA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9DB1B2CB-B3EB-474D-B07C-EFDBFD426B1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ADA11C7B-61FB-4F31-B8A5-4F10C7BC42B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F8D8875-6C23-46B1-A6BD-04037CA4656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BD04C854-759E-4BB2-BCF8-773AFC48124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972CEFCE-DB9F-420D-9DA4-867FFCDBCAD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31B1CE91-8644-4751-A0D0-4794E74C1B8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6EA7A7BA-4EDD-46B7-9C69-F6E1BF5A8F0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D90C3F69-A1D9-4AE6-B5D5-BEE6EB8B065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605F0054-609C-4545-87F7-0132E33F903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FF8325F2-D0DD-4C3A-A723-405BFC64F2A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958C7369-C638-4AF4-958A-4C4EF10B150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4DA152DB-1CD6-4394-BEDF-0E6A2B48FB0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FF368615-0D06-4EC2-B840-90885F57C03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D638715F-FE48-4E70-9110-0C072D46EED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643A456B-5B54-404D-B728-9A657E8DB80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4324024A-CF42-4F3B-A081-431F6AFEEF3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C4A503B3-D077-4098-863F-3323A1968BA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BE743870-B6B2-41EB-8E47-3F574A34BB3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2E26C50F-9145-4C96-AA50-3C266DE1CB2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0B5BEA5B-E9BE-477F-A1F1-2ABBE5EDBE7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EE86958C-76A8-4E18-8521-18B607C64F7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481414CB-2073-42A1-BE98-9AFEFB9654F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8207A3DB-DE11-4946-A943-C45805889B1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D9C70C77-CEB2-48F2-AAC3-038293A631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3E29E454-26F8-4098-97CE-12A556B30D6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D321D79C-BDA3-46F1-A1CE-F2DDADB3AA4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9A08C2B1-9DA4-4818-90F6-1B1FDE91220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B0C38EF0-753C-436D-8490-3AB4793C6EF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DE8DD79E-6C70-4FC1-AABF-B2E16735809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6895A0BB-FDE3-434D-905C-7C17CDCC20E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3AF45B7A-FAC2-4312-94CE-DF7B8080A74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8A462E64-B1E7-450E-BC45-89940661B00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5D0A853F-4A44-46E6-9FDC-5A7B291C79A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BC9AAD1E-C18A-463F-8CD7-38B8D81E785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1189CAA4-9E92-4FBD-B462-A6C719DA658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09F9B568-D80E-4D8E-A3D0-CD4F75B4E24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EFF38C02-3499-4A25-A189-AD1AAC23D20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E9D5D147-4C96-4505-B82F-4217C303339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5B7B714F-2586-4849-8C5E-FC40A3CA836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5687EE3F-9E01-4B12-886B-27554F63E04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CB5D297A-15FB-46BE-B55E-321EB55D99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5DB19B1D-7681-4C66-93FD-1A83980438A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7B404391-8928-4531-B6F0-31DA934A21A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C2ACD5E4-F713-4214-83BD-665BAFB04E7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5C15CC32-74AC-4163-8DF5-F5E41B47C45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695DE8A6-0FBF-4A72-8CA0-99FE0F6CE87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0D133BC1-C5CA-46BA-B399-6D6356B82C2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8C8CB9C8-2845-4CE7-9DB3-44700262BEB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76F4C4EC-B899-4DDB-B158-E6BE8443078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4FDFC111-A2E9-4C92-A1B6-97E9CF8372E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6C690078-2322-4E0C-82AB-33C06BEBC27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E3BE0409-C3D7-48B3-ADFC-B8635CC92A4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9907B355-1331-410E-9D8E-F3DD873881E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84D19DDA-9C6E-4E5F-BECD-5C761CB0FD9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3876A416-629E-4584-AB09-9E9BC33F50B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D43831D3-C0CE-49E9-8F05-93290F6378B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3B6FC327-6087-4DEA-AE83-B13743FF07E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507BF000-74CD-48FD-95F1-BD7D5F1C065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9ADA940D-1195-4302-8924-15538AEB668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A1F0B43C-6ECE-4C5B-911C-746789C2ECB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23D8AEF4-114F-45E7-91EF-2D37A94017D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6A7CA8E3-BE75-432B-AE5D-9B3D82E7713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0CAF3373-7608-45F3-86A0-96657242F25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3CE2FC81-26CC-412A-B5FE-360DA8582E9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BF6CE357-8377-4118-809B-E880A7B6954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310FB88F-199E-42FE-997F-13841ED5E76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3860195A-A201-4B50-8A09-AB9C4C028C9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FD69A33-FE5E-4C90-89B6-515420331E0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33F36677-2426-43D9-B891-B424EF93B41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A2BD2B97-5D33-4035-8717-49EA911A7A6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3A97784E-5FDB-499B-8ED0-3C7E150C43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8EDDFD7C-DB22-41B1-A05A-9FA99A75F1A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2BFF036F-FD00-4477-8207-8F88D5F6A96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F17CE672-7076-4C0C-B46C-9C1C080000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48683748-1A9A-4E62-A3CB-425D1232D7C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B0202674-64E0-4285-8E06-21E23C447F8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7BC30B76-F0F4-4B30-9CF8-67882CBE91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568761B2-EFA9-4178-825B-FE064378F5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B0E44AFC-8F94-4A40-889C-3C15244ACAB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804C475B-E5A1-4E4E-B091-415DD94F2E8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D639130C-206D-4782-88C5-7590BC833FE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09FEDD97-F916-4D59-B5AD-9F128840563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E33F459C-A07A-4E40-BC7B-1152A7AF3AB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D495FEB2-4FFE-46C2-8198-A88885BF4E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DC811627-AC60-43E0-B9E8-151851C4DDA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4DB168DD-1434-4BED-B79C-C58FE973901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612EF4F0-4E96-4C29-89DC-190966466E8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C6D289B1-1C6E-4890-B63B-F932FAA8520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87677C7A-6F19-492B-9675-7930417075F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03FF6049-1006-4592-8CD9-D8D281ED72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C6431276-F81C-4FAF-B056-8973F275AF7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3126D8AF-79BC-4577-B2F3-62088C0257A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105AA21F-83BB-4551-827C-23532877E2A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7165A643-C6B3-4ACE-B360-78D6D3C7AF8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154915E6-A7BA-4388-990A-383A2958A79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58D17644-1B5D-4587-9FA6-3E66CCA084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CF8A5C3C-120B-4D73-BA11-C3D903763D2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51DCB3CE-4E51-4F96-A26C-6DDD62C7229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4822FC1A-6228-46B0-ADBA-7F0B904DEDF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591EC314-8D4E-4BCF-8ED4-5E09671417F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B319E51C-2BF1-4DE6-B019-11E81F23AD5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2C3F69E0-A73E-4A08-A34F-BC3654BBB62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E72BB9AF-9265-466D-95C5-737BAFC94E6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42CB187B-7624-4651-A037-A4DD1D361DA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86FCF1DD-9099-4899-AC3E-9F99E540FCA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DE8D48BE-1F18-4172-A767-C9BF6D7DD1B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14D048AF-DB03-4475-B241-C4E7F2929A9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D0FD8E84-B948-4F49-AA37-11B28C23AD3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D366F912-0D99-429B-9188-5809D4053CB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31D25B14-35D3-4AFE-A914-C4156891CB1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E0BA9C1B-CFC2-4793-B089-A55EB5B293F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9195EAD7-6F03-442E-8345-61D701CA503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FBB53D03-8264-4742-9373-F46E0A835BC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37DA7343-DF1E-40FD-9496-9A43F0B4309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7CF62B32-73F4-44A1-ABCD-70C09F52BDB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FF0B1FF5-6E50-4E47-8C9F-40516FEC62C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82D4E500-1269-4774-9165-9D25FD8DC3E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68DC7ABA-5594-4913-994F-3EE3BE2FB5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E3DA884F-F832-42A7-8D28-013AE3794D8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88CFC990-FD3B-4272-A846-0F096627A40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C6E3AC66-9225-42A2-9D0F-83FE706E0D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18FCC20E-83F0-433A-BFA4-64D8D44B98C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B971C9F6-4AF9-43C0-8A61-E6529691D1A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57A98C05-2981-4073-8728-87CCFF7A8FD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2585E7E2-AE44-4659-B807-F8A6D053B9B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4A75BEFC-2DDD-40F1-A6EB-5EC89D4675C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2C634A12-1C9E-41E3-9078-112D100668C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7F43E9E9-5FEE-4A51-B2A2-09006A2D672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50E85550-E32A-43F6-9542-642E14124A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A365A3DD-0B81-4559-86B7-FBCAE2A1556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5E71ADCB-5D16-4690-913D-94E4F8ECB0D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11FBE55A-B253-4495-9D7B-D34D5D14EC9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1CCC27C9-3161-479E-A8E3-5FCA2D3FC39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F6BE0494-CE8D-4873-9D4A-BF8F6392F9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09ED5D61-EE6C-4EEF-B07D-5F4642A21C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90A2B824-9F23-4433-A4C5-F7A4FDFC23F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EEE53D37-94CF-4D6D-A27E-95066B4DB60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EC0C2A3A-7D9A-4E2D-976E-175F6D678B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AB22993D-7A30-4256-9826-DA77763239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91A5A973-0833-4991-939B-1731287BCB4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95B77D02-B5DC-41D6-9DD9-6C58079D89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9AF595DA-D774-4D1A-9EC7-A031896579D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167AC714-AB27-4872-89FB-C03F345C39F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9FB50BF2-0992-44C0-A77D-680D2D6FC26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9652B45A-707D-4C12-9DB6-429412A865D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FB774B02-EC18-4C84-BCDC-5BE12497578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75ACC018-FE99-4D3A-8D0E-F8F33183274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0DE84C33-7CB5-4027-93B8-4528ED2FFA1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810740F0-6C26-4F93-AE5B-FB3FAC30A59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C8AEC75F-CF2B-4DC8-AF9C-23271F1F8B7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F3AE5856-4118-48E6-BE78-D76FD48F02B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979FB620-3445-4C26-9BB7-2CA95486844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7CE30062-958E-4F29-A396-2A4416B4FD3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36E43575-4226-42A7-8353-F1C9910168C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63812347-7877-4226-8B8C-AF0376E92AA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FE2B9F9D-E2F6-4201-A42E-E9A357CDBD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9B92E9AD-EB80-4487-B583-F18F5B3B92C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1B8D42F7-F4AB-4B9C-9CA7-5CAB8930471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1B102F1C-0D38-48E1-9D2E-5F2A67D9827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CCD71197-29F8-4C2C-83D9-64EA514CC86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4C4EE840-238E-465F-B9DC-53F566F879B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4F7E73B1-4810-48B0-9E96-CC3036EF017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37155919-FE11-4379-B943-6FFD3DE0DE8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4B28C3E5-EB6E-44DB-8B5F-7788A06808C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EFFC07B9-585A-4A47-965C-ABC3508ACE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2161169C-8E35-4533-A685-910B5443B6F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3A2B55D4-C0DD-4619-B2A6-1748CC112DB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95664EB9-065C-435E-8C57-21B74F450C3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222E03D0-69AF-4E9C-A9B3-8D9DB38CCB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2134C632-ADE3-4D8D-9A19-B7C96A45B8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69CA15BA-276C-4D7A-8308-D9B1F372195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A6280991-F25D-4DEA-A51E-D910F041BC8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2D435481-5288-4F4C-AF3A-FFFEA211B6C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0C68249A-ABBF-4918-ABCB-7DA13A50CC4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5233E793-02C1-4EC9-88FF-CC28A8BC37A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92B57214-A76C-4E5F-8045-7685CA01268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61E696E5-BD60-4D65-B57D-11AB1A644FD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C85C4DA5-D69A-4470-81A5-C9F96BE51A9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371F2B17-43BC-4CF2-8360-13DAA7EA8AE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24DBDA63-3FD8-46F1-93EB-48F302FBB70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C736488C-B7BF-4AB3-8487-0E6615DC52E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9B56231C-22F6-4254-91AF-0FF56FF130F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5F7366FD-21FB-4320-85E5-7AC18D501EC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6D810B50-850D-476F-803F-9ADD3C5C5C4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F25C13FC-EC9B-4F8F-B417-478A10AEF02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54107AE5-394F-4CC7-AF70-4C9486D9CDC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AF661D50-EFA6-4319-B31B-F1A00AA44BF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644473F8-5639-41B2-8FBE-0553119030B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80646EEA-6E03-459A-B9E5-87686B7BC65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CCF71E5E-10D2-4EF1-BB87-1A9ECFCB0BA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24F340E3-CB1F-43F5-9031-A7420A6EE41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A60A2CE0-E17D-4639-85CA-0A913F79457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664A2082-899B-41C0-956E-321EA1786B7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43E57E23-7DC7-4ACB-AE0C-6A61E0598B8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6271D2EE-B505-4985-AC00-619B3112895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77107D4E-EA4C-4510-A897-7E1F553B1EB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A57039AC-C7CB-465B-AD0E-ED1E258CD2F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56DCF36B-7673-491A-9C6A-B45A2074E9C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60395EA4-22E2-49CE-841B-ADA35A4ECF7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588AA1B1-2680-415F-8ADE-8DE9A541E25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483741FF-0690-4292-BB0D-272F318DB9A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1E2DA583-1378-46AC-B6DF-D6EF940D346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44814790-894A-459D-BE78-141AE56AB8A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E08E552A-9F67-4734-8F77-0C820D235C0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D21A7BCB-81F8-45A9-9F15-4AD20B702B7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0D07EC27-9DBE-4147-B144-326F2950BBA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2C855F85-BF8B-404C-BEDD-60AF11AF28D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0211FEF8-739B-4BBA-97F7-CF485E693F2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D3A4E375-94D4-4B10-843C-F1E3761E6E5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8C24607C-09F1-46BC-A1DC-42A84635989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93D67D15-EAE3-4D98-A5DE-0C346F4182D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CC14C715-33A4-4074-9E19-FD73260BBD6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36749C1B-3B5F-4D77-B193-E0F58C613F4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0107C022-1999-47DF-BD71-DF0D8FF1556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C539ED2C-43E4-4CB5-8756-02B76CFEF6E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CB61F337-E81B-43D3-8918-2F8346DE5EB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B1000B70-2A2C-40C4-8BCB-CA7CD995469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4E840837-84FF-454E-84B8-53B227F2E0E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5F79A5F2-8467-4B36-A832-3C903E8FB12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977CD07C-B577-4451-A1A7-E31C83125E4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32F5E015-0805-4A81-8C44-31EB062E85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E4C4CA77-C6B3-4E8F-963F-58C8CE71CCB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53A0C91D-F4F6-46C4-81EE-E906487573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177031FA-FD0E-4561-94C0-CDB39D07BF6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F8786178-08F5-4653-A83B-1DE44432B95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0DB2A2F4-A52B-456D-BEBD-313CD031596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23BAAD06-3CCA-46B1-BC1B-EAD5D90D4A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5D73E45A-09FC-44CE-A1BB-BC8A40041FF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EE42830C-DD12-422A-8F14-7777C72CAA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19C21F84-120C-4B69-A982-6D7D51D1CC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31B66528-29DF-40F8-BF6D-DD0F902248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0CFDC82D-988C-422F-A128-4280657575A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2DB8043F-F3AB-43FC-A54D-421799079FF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4892F2A1-BABB-4669-8176-A4027DCBF3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50BA5A8C-509C-45AF-840E-1B00292C239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2DD15B55-0C64-4232-B6AA-74CC8CFA1A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63C538AC-BF7A-4D75-B8E4-A4AA0A1FE8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D199497F-06B8-463F-B455-91497ED9531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FE477D05-885D-4752-B208-11D4A1584C5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371EC88A-637C-4F99-A09D-F52825E0FE1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25CA38C8-C0AA-4E98-8F6F-5C7E9AF3072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EE97B9A6-BEDF-431A-9C79-3849C4E3C9C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32F9C1C2-26D4-479F-9FA4-A0A1D0745A4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1FAF2AFD-E907-4CC3-B28B-6CC446BA83A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8EA51962-F5E6-45DE-BDE6-9C959050761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DB0C8C2E-A556-435A-A768-9810313F3F4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E2F90A9D-C87D-4E4D-B101-AC2980AD770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7AD4BEEF-30E6-4026-ACFB-92E85CB2616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668F152E-72A8-4BFB-B1EF-BDAD8A54707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D1D4532E-6DD4-47F8-A707-65AB7D878E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250FF430-4A72-451C-9E2A-03C2E581F14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23BC4462-0400-4A1C-9C44-13164199203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A0CF9FA5-D366-4C01-9934-5DEFE22F76F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5CBB6966-15E1-45DC-9FB0-6487372D5BA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A5350A8D-903F-40B9-B46A-3A5B5761193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90195F07-A794-4112-BC73-EC2089A6BC4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D4E36AB9-11CF-43E1-9263-6839B1FC1A5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76DF0791-535B-4D58-934F-243127FB40B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6D5B98A6-6B1C-48E5-A1FD-FDD311F554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C1697CAD-73D3-429F-BA3D-7E9CB6754AF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4F998992-752A-40EA-8332-51F1974C412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FBCCE186-5838-42F7-819F-0395142769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9CF7C9B5-9E8B-4232-A725-A8E4BD2C315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7CA23F56-D88E-4350-B6AC-C660DFF4699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4DE8B925-05F8-4AE8-BB7E-ADD3558FFE8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2AF44D03-E9DF-4D35-A3C5-A258BD1040E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B2C9D6D9-A860-461F-BBD9-E325DA719F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88D0A95B-674D-467B-A084-0FEA72F8943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D1ECE533-7D24-4F1F-B769-4FAE5335C3D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A992874D-C9A5-4023-8ADD-345BA87A589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C7088650-3B95-464E-8DEC-4EEEDD3027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977B1A4A-9132-48E0-A1FA-5BF1F950736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E66266D9-E5DE-41F1-939A-A59E645EE34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465E3CDD-A5DA-484C-850A-89B25C0FE70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398C5752-4E34-4E2A-87A5-1F2C4AE6C1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DCFF12C9-30EF-449B-B1EE-859D22952D3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009B0118-6279-4DB5-BE12-4E69191BCB1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30BF5274-DE9D-4496-98AC-94B40B2C15A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1F238711-36CB-4AC4-918F-BF845778FC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BEB2BE05-D691-4D95-8A7C-BFC9B9389AB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FCE07117-75B2-4CC3-BE35-DCB3F15BEE3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84CBEF24-1850-471D-B84D-4848459A12B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88913BFF-0096-484D-870E-13B4F2454E8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F99CBA20-DAEA-42F9-8AF4-5DE238C7F47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D378592A-E274-4019-AFAB-0DE2E5AB7DE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32111D33-A915-441E-BDDC-6186A1CD245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5BEEB515-6FEC-4631-84AE-08666658332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6FAA1274-B1BB-40EF-B920-CC52A6FCF1F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77D5E1E2-96C9-4D8E-8977-7193B5F6070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18CE39EC-9B92-4771-9E3F-84E27081850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783122E7-3F90-40FD-B9FA-FAE45444672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8784DCB6-ED7A-4A9C-A3AD-62374E9D6B2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AB79B5CF-BD2C-4546-9C11-A21C78EAAA6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72EC8B0C-7A14-428D-B6BC-32FB2E46923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CFACF665-85BE-46D4-9E76-8397509FDBB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338215A4-416C-42B6-97C9-711D5F461A6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826D6F5E-2D33-49D6-980F-6E32434C162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744C15E4-66FD-40F4-89B4-E01E046522F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1FA21488-A6C6-4EF3-932E-050AFB5FAAF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43374FA2-55B7-43D7-8C59-CD5B2933B52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DCAF1922-075E-4D15-A71A-D92AF3D3777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2AC394C1-7A48-49BB-B865-88991F5031A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CD28251E-2FD8-43B8-AF32-33D6EAC698D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21A4AA2A-3F97-488E-B356-EF2BBCE53DB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0A1E7428-E23F-4E6C-8F7D-D86A899F7CD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D6A6AE17-2139-4022-9825-31D2A978529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4EEBAAB2-BD87-425F-963A-C9E5AA553FE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AF80C9DF-882D-460C-AAA7-6E69BE20AB0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9DAC6C7D-46EA-4FC5-9750-030E259A2C5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D5E36C90-C3EA-4D82-9359-D74578BC400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0B592D69-D254-47E4-8BB0-BF5B601D8C5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DD7D4CF8-C0D4-4FFA-9B22-C5C1BD69677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06636AA4-2D34-4DF9-8AFF-4AF11CCA1C7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04932A78-CEDE-4EB4-9401-DD81AB5E0FB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956F8F77-6252-46BC-85AA-F8ECEE7CBA7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28673220-8533-42A7-9E59-C032D219290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C73B1727-0503-43B0-9E86-5D7385E2D5D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8671DDF1-5EDC-4056-B9D6-56C32CBF088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3FE50296-C03A-4BFE-9143-AB435B46836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215B1FEE-7982-47A1-868C-34537C60951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492E4ACF-BE6C-4656-BEEB-7F109E8C654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BD706DA6-7391-4310-A481-C0F896210D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C877A195-3F56-4A47-AA22-35C49F2737D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3C540449-5DFC-4CAD-9C3C-88DF28CD2B7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DE24AB6E-C95C-47BB-81B0-804508548B8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8C772CB8-6419-4C5A-BF93-6E0EFEF066E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9A184418-22FE-450C-96FC-68F1E97D14F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7DB2ABFE-B57E-4C73-B6A4-D0B0785DFE2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42D6F49A-95D0-4323-B117-19050D17FF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3000D64D-53E2-49FD-AE91-DED22A3F5DB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B0C1990A-5229-4010-A254-4CE46AC0C0D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591C8ED7-1156-4C64-81EE-5D740CB8923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950B27A4-B15C-4FCC-A042-70547B5B478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73DF66BD-A656-46FC-9F97-652D9013D6D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DD85290F-EFD3-465D-ACAA-C55A5BA1D91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E6C6DD31-4B75-4CF9-B468-6A7D3A13FC4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2D3E66BA-8058-4ED8-AF33-4CF86237C84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316B1CB1-5014-4DA8-BFDF-453C548476C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446A4108-FA67-4474-8C80-A108A9C02E6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F39AA02C-FCB4-4BEE-B2F1-E25C1853CEC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7583C7B0-EC8B-4AE8-A23D-545D235C0D1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ADE1F511-3136-4AE6-AD0C-9C25C6C131E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842BA8A2-954C-4B33-891F-F3BF84DB02B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B001AD25-55F9-4D6F-8D3E-A75FCAD8070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B364451B-0E19-4823-B040-EE0FB8B47D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84FF66D7-53E2-4AD5-AAD7-007BDD8948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2D5B68AD-EA1F-46B4-8530-CC1952DE5E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229B6776-886C-4152-AE56-F51AA08C35B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F6677445-2D45-426E-95B4-896606CBF80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D07DDA15-F7FC-4EE4-A2E1-B007F764B0A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15B8306A-A697-442A-9984-3A82E77640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FD58FC90-60E8-4C1E-888B-F8A72408173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809875AA-4A1E-4D38-BD6A-235DFFA3E65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E3EE0A0E-1913-407C-8E35-CF19426AC3F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FC0C665D-6964-4D2E-9F0A-E4630290936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6DE44F28-1330-43EF-9A31-059B2CDF6D5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51256059-A0D1-4AC0-9C3A-2CF5A436AA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E1E43BB5-E028-4594-8201-9EDB7C7C1D7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3B5FCD04-8CA8-4584-86E9-E8EB569A198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C969C42B-F30D-4D07-B629-D76890414B6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E94CC811-8270-44DA-B833-A0CA38896B8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32603F25-080A-48A1-AA69-79155956307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F85153E5-5428-4410-8E58-78AB65D3308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AEE3872E-4EB6-4CE9-BD8C-58ED02B471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9643E86C-B60D-4F9A-9C3E-90BE1589EE7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7928B926-7884-497A-BD2B-2D01017CC9E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1DC1BCA6-5047-4F5E-BEB5-5252793A433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D0AEFE30-2866-4E26-BEB0-4367B10E5E4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71CFF83C-B8DA-4FE3-8D13-93167FEB447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20853126-B89B-4852-B06F-2EA0269B08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4A6C5002-C72F-43AE-80C3-A45BD893140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99559DAE-2CE9-4E82-B47B-F08FBF75EDC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DFBAD5E5-FCF9-4194-939D-A9F4AF04B99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1DAEFC28-5178-40FA-8D2A-DEC1B434B82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DDD4F2C1-B67F-4731-B4A8-7C8DA038D03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E8D90935-91A7-4D27-B9F8-4243EE12F7A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09386F6A-604C-4719-B3B1-5A2EB72E6EF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3DF8BA37-982F-40F5-BCE8-6A6D6F2A32D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04334A66-4908-4926-AAF4-B97453563CE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64299372-94D7-4496-9A1E-9F22FAEB45F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AA642243-BDE9-46B7-844D-76E91756C1E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C6525B27-69E2-42CD-AE41-9206B4256A2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1A03A7CC-DEAA-4980-8999-3BD81456620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A7B1E4A6-4F31-45B9-A46B-135F2EF0BD6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7C5434C1-016D-462D-B4CA-D18A9155636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865040F0-0C0A-48B1-A006-0C7FEA0CF7D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654583D8-E495-44E0-98DA-929A14692F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837E7441-DE2E-4067-93F2-94935A401FC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762E4BE2-E28F-43D4-AEF8-A3FFDBD55A7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C1EA6FF9-7984-4ECB-A3ED-9881176A685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6776005E-FC11-4A5C-B1D0-9E9650B5013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174F0215-3A1D-496C-ABA2-F0F702D83D9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355A8605-D709-4658-A194-3402109811E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27BD6A7C-6A29-4293-ABA0-2D7508F6A95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CBC8ECB3-E118-4F71-A6F6-C8D18EB372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BB5C04CD-25F7-45A8-BD8A-F1EEA76F1BF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618A7C75-B4DA-4326-B9DD-2523306A3DD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38D7E19E-3B57-4B88-90D0-564807C7BBD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6B388557-D066-4AF4-8F81-402A37DE9ED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F61936EB-A4BE-41F5-9BA8-0588C139AFA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618613F6-4F8E-44FA-ABA4-FF3A754180B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0D27E068-1485-4F7A-AE44-24D0E6A368F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5ED81388-B44A-4D73-BE2C-C30B5C0215E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5984A0AA-154B-47BA-94D6-0FA0DFB0A88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A4811658-BB47-4C88-8CFC-2881B82231B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60EA091F-10F6-444D-897A-5EC98C0026C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C7B7570A-84DD-499F-8635-7EB76501930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A14BC26F-1A8B-4046-99D8-47731337CD3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6A1F56BF-9298-48DE-B96F-3583D1CC38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72F21FDC-20D3-4671-94A2-D3591E74D4D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C2B822BB-71A0-485C-AE21-85240C18BBF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CEF878E2-3AF7-450C-BA97-ACF778CFCF6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7C1AE9ED-0C95-48A7-BD8E-6C119A4F7EE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A78FAA14-F2E2-44F8-8206-26902A3FCE4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A44A7568-B62F-43AB-AC34-91B2F5BBE25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8168B889-C2F0-4F32-93C1-D887E6D5751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C6DBE9E9-A8A4-48ED-9766-BDCB25A5313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9D5FAB9A-1BD1-4D19-9646-21894ED0AB1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31C3AB0D-AD13-4FB1-9784-2570F4352D9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66FEA73A-8FB2-445C-A103-ABB614C6E9B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4ABB534E-A6C6-4094-9B28-5336737522E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50D049C2-4F70-4965-834E-71821436B8A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4578D7A2-991B-4606-BDFD-6BF8224C765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6117297C-5CB7-4158-BF2C-6DC54FE6E5A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25F2CC37-BF05-4E14-B17C-603748DF469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8AC87CBB-7B18-49FE-ACA0-C6B3C87D07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50D6EA94-8602-4574-9EF0-6CCDCE8298E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AF51F52D-D732-41D9-933C-E88FC15598D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8B593254-A4FD-41AD-87D0-2B8C0E23FC2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465AEF82-B3AD-4C29-A7DE-908C7E17E02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20803972-2AF0-4441-BBD6-021DDA82266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91239883-3BFF-46FE-B531-76C26C14A55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72178AEB-64F0-4BC7-8F57-976FF87083D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EBB4F36A-577A-446A-B60E-3B47A03CABC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A57D7394-5684-4B6A-ABE2-DAC3A56A5EA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7F09EBD0-8B2C-4C48-B808-F7CF9D71553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B589B9A3-F3F5-42E0-B378-47E432F729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DF083211-7AA0-4A15-A4F7-7B099175444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D297FE20-D427-4EB6-B1F8-6FF04E68273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90040778-59C5-485B-8DA3-7BC6D2FEFB1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EC99D5DE-CCF1-4877-9A58-38BBA4FC3AF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353D68F0-5D09-4E55-99F9-8166F40E8D0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D94D0A4B-4AF4-4EE6-A00B-1916F1BDB8C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0819EE2B-BCBD-47A9-BD00-A596FE5084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FA71FE9A-CA46-474D-AB14-C9CFC4B7FE5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13393A87-5038-4051-BCE9-330FDED9D33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731025FC-1FF1-44EC-BB80-0D6ECE676D4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EBED5998-945F-4DC7-BCB5-513893DF11D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A9DDAAF2-6471-46C9-8C09-942C84A5C9F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A5CCC877-6F69-4155-9C04-7F890588404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842E43C6-23FB-41B9-AC9D-2950D99DF23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10213D5B-349E-4670-B118-0CB8C1656D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ADDDF86E-D2E2-49E2-A53D-EB25DDCC5E9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B4936444-3787-4DC8-8616-7A385F55B1D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F4A36988-86EF-46DF-B2A9-AFD7D83A759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7798B74A-E05F-4084-923C-23E32A86547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C32A5BCE-056C-420E-B1B2-ABE8EC9033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22277D1C-BACD-4B12-9FF4-461A3AA135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3F4B27BA-6EED-478C-ABF5-F70B86D0188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D25B5EC5-514D-46E8-808B-4CE9E4E3324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85BD1DFC-A8F4-4995-8F76-252CE5E6355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2276F0A7-D619-49E4-B3C7-4407221ED5D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04790E71-E0D4-4800-98EA-7F0F39B6534C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78727A66-0A53-409E-9DE6-0378C396965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A9568787-5616-4CE0-809D-F95AA307B7A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778BF844-E725-4604-9CA9-EBD2B958018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5EF2CDB9-9F41-4880-A869-07B32E382F1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9AD00C1D-A6B3-430E-836D-9518011E685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63AA61F7-B463-457C-A371-72FBB465CC1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42E70BEE-47AC-467C-BB44-726E067D455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06CCCAA9-A5BF-4976-B82F-5C03E2463DE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44050106-428B-4B78-A071-043B6C736CC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81DA32E8-23E9-4A61-90E4-1505391B17F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F58ED77F-36B5-46A3-A8BB-86EF6AF1FD0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477532E0-B2D9-42A0-B921-945BAA73B3F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84D5825B-B107-4875-9681-AE1D6DFBA217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9CA9C45A-B7FC-4D44-BFD5-F43363E5B7C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D6C95E5B-F49A-4C62-A594-8705DBAD906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6123126E-09E7-4C44-AE27-86F18D83CB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9ED823F7-9C16-4663-BC95-725FC67F52C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77B3575E-FD28-48A4-88D2-79CD29E1BBB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588A9FF2-8140-491C-B341-7F2887B5ABB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6AF31ED3-4516-480C-A3C6-4BB3CDF416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4FD61034-701F-43E7-B4D8-DBF6CA41443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8D4B5A08-57F5-428E-BF6D-1270BDCDEA6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8A85FFB7-92A7-4992-AFD8-7F9EEF9AF8F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D4EE9FC6-4EB2-40CD-B5F1-B65016A70FA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CEB83413-8618-4CCA-B484-42968702ED8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D5D968A9-76B9-4DCD-B7ED-DE1FFADE747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74FE6240-DB76-4970-BAF6-9E2806BE68D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A9EDA7A4-C425-4550-A3F1-C1372F360ED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20D8DC36-FC39-4AFC-B28A-05D67F8A4D5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43BF7A8D-60FF-443C-960C-22E4B16868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40894CBB-1C75-479D-AF19-6009761BDDF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52DB2B89-B47F-4A7D-94E5-961206C15AC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DFD59CF7-1A41-477B-B20E-CA08F9BA521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376D48A7-E50C-4DBC-A509-1AD924398B5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19D773F2-6FBB-40B6-BF2C-F26C62CF45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46303070-2F77-429C-B8B8-03C0BE09A00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4EFE8E17-1B6E-4BD6-8DA6-F88556D92F9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29CDAFB1-6024-4BA5-B2B3-39E5B68FF95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2956D726-E6EF-48F4-9443-EB3616017A6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AFD04BE2-2DC6-4E95-B462-2BBD4AAB53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F3EEFC54-0BAA-44FC-802A-1DD94585BC5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0164F5B7-72A9-4900-940E-05E023DA55D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649934E4-D61D-4FDB-943A-B081CAC2673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19B14907-ED11-4316-A042-F3A455F7A1D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674BBAED-D71F-4A32-88FD-C7AF59E7224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137BDCDB-4D9A-4D7C-967F-B1CC9A98723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BE6FC819-E995-479E-9B9C-B17442E6881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1794A6CC-C8F3-4174-8FB0-810C8B465CC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4D41D151-E791-42BB-AC44-E4429290778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0090C6C1-8DDD-479E-AA02-6AF47DB46F9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8BB24FE0-DFFB-4C1B-A9C6-8A06C8EFD3F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1F0332B0-AB96-4F8E-92D8-80295F509BD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54F5897A-FA9D-4D5E-B0E8-162C507B654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135364FC-CB4A-40D2-A607-9BF3486BC3F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96EF10BE-635E-459E-ACA2-1A8078B1D99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4031936F-A8F8-4262-B9C3-969CDDC9CCC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661AA709-1652-4496-9BE7-E7C47A57FFA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DF154145-A90B-46EE-AD81-786D40101CE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2403909A-A3D7-4318-B2D6-70DF064C02F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EF60FBFA-2BA7-4562-8774-0D20A18C902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21F1C623-B77B-4914-AE71-6CA1B11FB8D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23E0E192-57AA-4806-A970-597677746E5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0A84700D-3AA3-45E9-9FC4-BD861D8F776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E84D5FCE-3F86-4040-BA33-EDDD66A3E5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55A0D049-A133-4215-9336-326C7E81D95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012782DF-9803-4769-B8B0-9C0DFA2617B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F9AA31CB-611A-4646-A722-B3EB87D77A8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7A1C9CE3-3339-4B38-8AA6-6E6CE08299B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53CBB423-8577-4EA5-981B-317B6C90BC8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69D0BF14-4FEF-49C4-BB22-0D1B916F1B0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7466FC9A-ACC7-482C-9336-78A5DD0E54C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3C71BB40-9AE8-4383-B52C-162A1951EC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13FC8255-8C83-43A5-85A2-E9D9B903216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BF26C2D7-5616-4281-BA7C-45104344012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6C25D7AD-8D26-4B5B-AC62-789BFF504B2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D0B730C6-2865-41B9-9072-4E56B16976F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B4B0E202-4473-46DE-9F64-3DC88C24862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86C7E425-964D-44B5-AC45-559611A50EF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AD584B4E-BFBD-41ED-882E-174118AF4B5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AB24E2CF-4E4B-4D4D-A6C5-14AD776E7FC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4C218622-056D-4A88-B647-57A0B60E7D3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830DD223-D38F-4970-9CB2-F2BC77B841C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7111907F-5016-41B5-A7E8-1CB4E1E8B47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353354E9-4CF4-4C42-956E-2A0FDC56B48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43BB4046-9B9C-436A-95D4-AEAE3188C10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833912D0-909A-4400-BDDB-507749343BD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33FF8D26-F79C-4649-9BCD-25C51F1C821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B7DF9992-5C19-435A-927F-570D1EEEB4F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A6E5E4B4-9A73-43A3-8549-790622803AB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B978FAB7-6640-410A-8900-A3B1C8485A8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6038320E-7E1D-41A6-93FE-2993BBD94ADF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533C9CAB-0AD2-45FC-82FA-2841D9ED557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1E78D503-331F-435E-B9E4-087A5B2BC0F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569955BE-0CAD-444C-AC7C-E6F1F502417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1ACFF0AC-EDCC-4BD9-B17A-A8AFD48FD166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64E6706A-C44F-478C-AD3A-F1452FE6BC6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93904958-494E-4DA9-9B2E-1175AB142B1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DF330E03-E848-4FAD-8291-BA1B11E51EC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523174A9-AD8B-4404-B10E-53BA5DF7F93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8A8BE453-434F-4E76-9A5C-97EA330D4C72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87126296-7D45-49A0-91FB-36EDC51F50A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4D117D6A-51F0-4976-8535-BE3C71E645B1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614596B5-5772-40B6-A077-CDE56780A544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501F9F5F-36F3-4F58-BB53-AB1BC2DBD20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2B498737-1EA4-49AF-B3B7-D708D564AEA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A8233902-DDA5-41B5-AFC4-5E70449EDCB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9F669D2B-13AB-4EAC-956A-17B3B978494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164CC051-A92C-4581-A13B-A4B160A4665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B2C3A2CB-8D89-4E7D-A016-8785CA6943A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C2C5B9D9-3A13-4DCC-8D63-C68F6A28809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6EC1396B-51B0-4D2A-9945-EB33AACD369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4B575B43-542D-44AE-BF77-6D54ABAC20E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1CE45921-9383-4E3C-9DF8-35BEE04E5F0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7D17EE27-7B79-4E18-90D1-E4918475D46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FA3F9871-0C31-4C60-B1BE-9AEA04F15CA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566A9FC7-402B-4A49-A9BA-EB39C76ACA9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4FCE6274-28AC-4CE0-8598-F8E08E57061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C3764D2F-75E3-480C-9526-FD018A4D39C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40E9EF4B-FD4A-4908-B47C-7BEBC87AAC9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6CF837E3-02D5-424E-BA66-56CF268DE63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43BD3316-127E-4CFC-AA9A-4A5BDC1DFFE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59FD3EFD-0A12-4EE3-BE6F-1C2C18E4296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7B22D012-51CC-4FBF-9753-E4894EFC4C1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9B0EAAEE-DA5B-4AA9-9968-94BF8A6C8F1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750AD869-1209-431C-A93A-F90A45F6370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77A2B7F3-C81B-4470-BA81-706F0940717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674D10E4-9798-4DD8-A24E-7E486822F9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D261F059-939D-412B-A322-270F1BFCF4B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1E8DC64B-192A-42FF-8F87-E545E2C8C30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A68CC0BF-0AAF-4793-9963-19AB6E1D582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D8387376-DDFF-426F-B340-99C43086718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EC9207DE-C0DE-4320-AFAB-C99A1862126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0535A877-30FA-4474-85E0-9D3C11B837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DD1664ED-0CFF-43B2-BBAD-1C59498DF52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4D808E08-76A0-40DB-A230-63CD049E97D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9580B1BD-9EDA-49D5-9458-AAD5E42358F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144AA06E-528E-400F-AC2D-2BB984E00E7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A6818727-A4C2-46C3-BE21-465015B649F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10E99B20-B9AF-4D00-A417-BFA4F2A05813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200B4D36-004B-4442-847F-8BD587A8228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BF2E26BA-2552-4991-BF7B-062AC4DBC31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EA5E1069-E9B5-4D89-8EBF-FB738BB3B64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BC9DE6AF-AFC1-4A9F-A73F-035356BB0EE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B7F58D20-2D54-4F6A-BE83-43434041A4E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96D96ADD-3DDE-47D6-BD40-04B1EAF34DB2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D5849473-F141-4A67-8EBB-AA8DC6969DE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F8A5B0BE-6C74-47E3-9E47-8AF5B323FD7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7B7CC7B5-EEBA-4C65-8473-153894645B5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D063D2E1-0FC0-4555-8779-86BF77F2169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31A96900-063E-4F02-84FC-0AB5DEABDC8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E281A25C-4BAD-4A30-8F25-5B58D21DE91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74673815-7CB0-4566-9B2A-0F9C797D8AA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8BBD4072-0E42-4BF0-973A-389A028CE0E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34CD85F8-D49B-40F0-AF36-EA1DE28C069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50FCE231-69CF-44D7-854A-8AB9FA7C73B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2972776F-FB22-4205-BEA3-D986ADFF57D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5560AA11-A3EF-4AAF-8D07-9ADDD17A335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4DEF7881-F2BD-4ACC-915A-7708081DD23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2973BAAB-53F3-4C5D-AE1E-008B54D4B48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522481FD-4AC3-4FE2-843E-97D140A18E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3632977D-E9B2-48CA-A7E3-EA4ADB708D8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65346BA9-6C7C-47DD-AB2C-D441B5BC4D6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3D6F124C-9DD5-4D7F-A740-9052D74FEB7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9C804FAA-FD59-4C15-9811-758C768289C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382C2BB2-F3F1-4ADD-8832-1DCC9D8C95C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2" name="AutoShape 1">
          <a:extLst>
            <a:ext uri="{FF2B5EF4-FFF2-40B4-BE49-F238E27FC236}">
              <a16:creationId xmlns:a16="http://schemas.microsoft.com/office/drawing/2014/main" id="{1298710C-0B5A-4C5B-B0BF-35A5D07E7923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3" name="AutoShape 1">
          <a:extLst>
            <a:ext uri="{FF2B5EF4-FFF2-40B4-BE49-F238E27FC236}">
              <a16:creationId xmlns:a16="http://schemas.microsoft.com/office/drawing/2014/main" id="{D437655A-F97B-4992-BEF8-99E0301D2E9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" name="AutoShape 1">
          <a:extLst>
            <a:ext uri="{FF2B5EF4-FFF2-40B4-BE49-F238E27FC236}">
              <a16:creationId xmlns:a16="http://schemas.microsoft.com/office/drawing/2014/main" id="{695D9ADF-6214-4B19-9C8A-18BF41F8B79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" name="AutoShape 1">
          <a:extLst>
            <a:ext uri="{FF2B5EF4-FFF2-40B4-BE49-F238E27FC236}">
              <a16:creationId xmlns:a16="http://schemas.microsoft.com/office/drawing/2014/main" id="{4ECC52D5-49E7-41B8-8B13-9F44B8D76AA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" name="AutoShape 1">
          <a:extLst>
            <a:ext uri="{FF2B5EF4-FFF2-40B4-BE49-F238E27FC236}">
              <a16:creationId xmlns:a16="http://schemas.microsoft.com/office/drawing/2014/main" id="{E3B0F5EC-B346-458A-941A-A06847D59D1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" name="AutoShape 1">
          <a:extLst>
            <a:ext uri="{FF2B5EF4-FFF2-40B4-BE49-F238E27FC236}">
              <a16:creationId xmlns:a16="http://schemas.microsoft.com/office/drawing/2014/main" id="{AB4DBA26-1971-4244-AFFB-9B86BFFAE66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" name="AutoShape 1">
          <a:extLst>
            <a:ext uri="{FF2B5EF4-FFF2-40B4-BE49-F238E27FC236}">
              <a16:creationId xmlns:a16="http://schemas.microsoft.com/office/drawing/2014/main" id="{3EF5B37A-618A-4A00-B268-51F1837524C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" name="AutoShape 1">
          <a:extLst>
            <a:ext uri="{FF2B5EF4-FFF2-40B4-BE49-F238E27FC236}">
              <a16:creationId xmlns:a16="http://schemas.microsoft.com/office/drawing/2014/main" id="{C6BEB5F8-7D24-4F95-8D13-58AD2872061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0" name="AutoShape 1">
          <a:extLst>
            <a:ext uri="{FF2B5EF4-FFF2-40B4-BE49-F238E27FC236}">
              <a16:creationId xmlns:a16="http://schemas.microsoft.com/office/drawing/2014/main" id="{00C53824-AA51-4B38-8D2B-D9DEBB90BFE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1" name="AutoShape 1">
          <a:extLst>
            <a:ext uri="{FF2B5EF4-FFF2-40B4-BE49-F238E27FC236}">
              <a16:creationId xmlns:a16="http://schemas.microsoft.com/office/drawing/2014/main" id="{649A5900-C66F-4C85-ACEF-65A9B802071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2" name="AutoShape 1">
          <a:extLst>
            <a:ext uri="{FF2B5EF4-FFF2-40B4-BE49-F238E27FC236}">
              <a16:creationId xmlns:a16="http://schemas.microsoft.com/office/drawing/2014/main" id="{78C0890A-9381-42A3-A94E-F0F1307B5FC8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3" name="AutoShape 1">
          <a:extLst>
            <a:ext uri="{FF2B5EF4-FFF2-40B4-BE49-F238E27FC236}">
              <a16:creationId xmlns:a16="http://schemas.microsoft.com/office/drawing/2014/main" id="{AB0A1C25-DABC-463F-AE7D-C9FD256ED072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4" name="AutoShape 1">
          <a:extLst>
            <a:ext uri="{FF2B5EF4-FFF2-40B4-BE49-F238E27FC236}">
              <a16:creationId xmlns:a16="http://schemas.microsoft.com/office/drawing/2014/main" id="{3DC95D32-004B-497B-BDCC-DB03AA2A3F3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5" name="AutoShape 1">
          <a:extLst>
            <a:ext uri="{FF2B5EF4-FFF2-40B4-BE49-F238E27FC236}">
              <a16:creationId xmlns:a16="http://schemas.microsoft.com/office/drawing/2014/main" id="{C6B753A1-13A2-410A-B2EE-AF254177CEA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16" name="AutoShape 1">
          <a:extLst>
            <a:ext uri="{FF2B5EF4-FFF2-40B4-BE49-F238E27FC236}">
              <a16:creationId xmlns:a16="http://schemas.microsoft.com/office/drawing/2014/main" id="{F9D77FBB-A187-4F43-854E-3EF744FEFFD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0]!영양지" textlink="">
      <xdr:nvSpPr>
        <xdr:cNvPr id="17" name="AutoShape 1">
          <a:extLst>
            <a:ext uri="{FF2B5EF4-FFF2-40B4-BE49-F238E27FC236}">
              <a16:creationId xmlns:a16="http://schemas.microsoft.com/office/drawing/2014/main" id="{A38C518E-5548-4992-9AC1-3A56F409BAF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8" name="AutoShape 1">
          <a:extLst>
            <a:ext uri="{FF2B5EF4-FFF2-40B4-BE49-F238E27FC236}">
              <a16:creationId xmlns:a16="http://schemas.microsoft.com/office/drawing/2014/main" id="{93484790-C2F6-41EB-B538-02B19A28C7F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19" name="AutoShape 1">
          <a:extLst>
            <a:ext uri="{FF2B5EF4-FFF2-40B4-BE49-F238E27FC236}">
              <a16:creationId xmlns:a16="http://schemas.microsoft.com/office/drawing/2014/main" id="{C91FCD41-D582-4A81-B844-EB55E568CC5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0" name="AutoShape 1">
          <a:extLst>
            <a:ext uri="{FF2B5EF4-FFF2-40B4-BE49-F238E27FC236}">
              <a16:creationId xmlns:a16="http://schemas.microsoft.com/office/drawing/2014/main" id="{CA348948-3587-463F-A1D3-12896001116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1" name="AutoShape 1">
          <a:extLst>
            <a:ext uri="{FF2B5EF4-FFF2-40B4-BE49-F238E27FC236}">
              <a16:creationId xmlns:a16="http://schemas.microsoft.com/office/drawing/2014/main" id="{07548C20-F5A8-49EF-8AC8-57DD06703BA0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2" name="AutoShape 1">
          <a:extLst>
            <a:ext uri="{FF2B5EF4-FFF2-40B4-BE49-F238E27FC236}">
              <a16:creationId xmlns:a16="http://schemas.microsoft.com/office/drawing/2014/main" id="{8BC5EF22-067F-4D8B-A891-9FDE4BC269A3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3" name="AutoShape 1">
          <a:extLst>
            <a:ext uri="{FF2B5EF4-FFF2-40B4-BE49-F238E27FC236}">
              <a16:creationId xmlns:a16="http://schemas.microsoft.com/office/drawing/2014/main" id="{554183F3-539C-4552-BB14-5B911019E73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4" name="AutoShape 1">
          <a:extLst>
            <a:ext uri="{FF2B5EF4-FFF2-40B4-BE49-F238E27FC236}">
              <a16:creationId xmlns:a16="http://schemas.microsoft.com/office/drawing/2014/main" id="{86A0F287-2469-48A0-A034-6E7B5F930CB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5" name="AutoShape 1">
          <a:extLst>
            <a:ext uri="{FF2B5EF4-FFF2-40B4-BE49-F238E27FC236}">
              <a16:creationId xmlns:a16="http://schemas.microsoft.com/office/drawing/2014/main" id="{F084CC87-3FE2-4ADA-9A00-0D531207EE49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6" name="AutoShape 1">
          <a:extLst>
            <a:ext uri="{FF2B5EF4-FFF2-40B4-BE49-F238E27FC236}">
              <a16:creationId xmlns:a16="http://schemas.microsoft.com/office/drawing/2014/main" id="{775131FB-9F7F-4630-B183-B6AAEE5428DB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7" name="AutoShape 1">
          <a:extLst>
            <a:ext uri="{FF2B5EF4-FFF2-40B4-BE49-F238E27FC236}">
              <a16:creationId xmlns:a16="http://schemas.microsoft.com/office/drawing/2014/main" id="{865C5657-7CDF-46C0-A473-71AE6D42074E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8" name="AutoShape 1">
          <a:extLst>
            <a:ext uri="{FF2B5EF4-FFF2-40B4-BE49-F238E27FC236}">
              <a16:creationId xmlns:a16="http://schemas.microsoft.com/office/drawing/2014/main" id="{1CA6EB67-0AE2-4A09-BDC3-AF39BDE67778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29" name="AutoShape 1">
          <a:extLst>
            <a:ext uri="{FF2B5EF4-FFF2-40B4-BE49-F238E27FC236}">
              <a16:creationId xmlns:a16="http://schemas.microsoft.com/office/drawing/2014/main" id="{6CAD999D-CED6-4142-B805-2826A6B4ED1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0" name="AutoShape 1">
          <a:extLst>
            <a:ext uri="{FF2B5EF4-FFF2-40B4-BE49-F238E27FC236}">
              <a16:creationId xmlns:a16="http://schemas.microsoft.com/office/drawing/2014/main" id="{636EBAC2-B99D-457E-B9AA-C504608B0B95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1" name="AutoShape 1">
          <a:extLst>
            <a:ext uri="{FF2B5EF4-FFF2-40B4-BE49-F238E27FC236}">
              <a16:creationId xmlns:a16="http://schemas.microsoft.com/office/drawing/2014/main" id="{D0230F65-5A96-47FE-8013-DF1E07BA667D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2</xdr:row>
      <xdr:rowOff>0</xdr:rowOff>
    </xdr:from>
    <xdr:ext cx="960555" cy="266436"/>
    <xdr:sp macro="[3]!영양지" textlink="">
      <xdr:nvSpPr>
        <xdr:cNvPr id="32" name="AutoShape 1">
          <a:extLst>
            <a:ext uri="{FF2B5EF4-FFF2-40B4-BE49-F238E27FC236}">
              <a16:creationId xmlns:a16="http://schemas.microsoft.com/office/drawing/2014/main" id="{4652A2AB-0060-4BC9-A341-3CE7050DB6FA}"/>
            </a:ext>
          </a:extLst>
        </xdr:cNvPr>
        <xdr:cNvSpPr>
          <a:spLocks noChangeArrowheads="1"/>
        </xdr:cNvSpPr>
      </xdr:nvSpPr>
      <xdr:spPr bwMode="auto">
        <a:xfrm>
          <a:off x="6719776" y="6096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33" name="AutoShape 1">
          <a:extLst>
            <a:ext uri="{FF2B5EF4-FFF2-40B4-BE49-F238E27FC236}">
              <a16:creationId xmlns:a16="http://schemas.microsoft.com/office/drawing/2014/main" id="{7E501B15-09EA-4CEB-B8A0-E05FD8130F4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4" name="AutoShape 1">
          <a:extLst>
            <a:ext uri="{FF2B5EF4-FFF2-40B4-BE49-F238E27FC236}">
              <a16:creationId xmlns:a16="http://schemas.microsoft.com/office/drawing/2014/main" id="{25A65D97-45D5-4A54-B9AA-90A3825D64B9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5" name="AutoShape 1">
          <a:extLst>
            <a:ext uri="{FF2B5EF4-FFF2-40B4-BE49-F238E27FC236}">
              <a16:creationId xmlns:a16="http://schemas.microsoft.com/office/drawing/2014/main" id="{B49F6177-2197-4B94-865D-B789F0C886C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6" name="AutoShape 1">
          <a:extLst>
            <a:ext uri="{FF2B5EF4-FFF2-40B4-BE49-F238E27FC236}">
              <a16:creationId xmlns:a16="http://schemas.microsoft.com/office/drawing/2014/main" id="{FBAA1DD4-F92B-4072-8470-7369B2D85EA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7" name="AutoShape 1">
          <a:extLst>
            <a:ext uri="{FF2B5EF4-FFF2-40B4-BE49-F238E27FC236}">
              <a16:creationId xmlns:a16="http://schemas.microsoft.com/office/drawing/2014/main" id="{6BD7B6C6-951A-4366-BFA9-F97662E7BCD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8" name="AutoShape 1">
          <a:extLst>
            <a:ext uri="{FF2B5EF4-FFF2-40B4-BE49-F238E27FC236}">
              <a16:creationId xmlns:a16="http://schemas.microsoft.com/office/drawing/2014/main" id="{A1D0E4E8-288E-4A94-9416-B94FA2FC5DE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39" name="AutoShape 1">
          <a:extLst>
            <a:ext uri="{FF2B5EF4-FFF2-40B4-BE49-F238E27FC236}">
              <a16:creationId xmlns:a16="http://schemas.microsoft.com/office/drawing/2014/main" id="{FF17FCDA-353C-439B-8819-B25A76E0491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0" name="AutoShape 1">
          <a:extLst>
            <a:ext uri="{FF2B5EF4-FFF2-40B4-BE49-F238E27FC236}">
              <a16:creationId xmlns:a16="http://schemas.microsoft.com/office/drawing/2014/main" id="{0FDA3B20-0A99-40F9-AAFC-062D6A5E41D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1" name="AutoShape 1">
          <a:extLst>
            <a:ext uri="{FF2B5EF4-FFF2-40B4-BE49-F238E27FC236}">
              <a16:creationId xmlns:a16="http://schemas.microsoft.com/office/drawing/2014/main" id="{ADB9D355-98C7-4046-B158-8BAAAF49AFD1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2" name="AutoShape 1">
          <a:extLst>
            <a:ext uri="{FF2B5EF4-FFF2-40B4-BE49-F238E27FC236}">
              <a16:creationId xmlns:a16="http://schemas.microsoft.com/office/drawing/2014/main" id="{D0D7BBB2-DCF9-4D6B-9B08-07E951A0062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3" name="AutoShape 1">
          <a:extLst>
            <a:ext uri="{FF2B5EF4-FFF2-40B4-BE49-F238E27FC236}">
              <a16:creationId xmlns:a16="http://schemas.microsoft.com/office/drawing/2014/main" id="{8C2FFC26-444E-460E-9EBD-9BA18649658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4" name="AutoShape 1">
          <a:extLst>
            <a:ext uri="{FF2B5EF4-FFF2-40B4-BE49-F238E27FC236}">
              <a16:creationId xmlns:a16="http://schemas.microsoft.com/office/drawing/2014/main" id="{AC2A7045-D6E7-4D16-A8C7-90925FE915E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5" name="AutoShape 1">
          <a:extLst>
            <a:ext uri="{FF2B5EF4-FFF2-40B4-BE49-F238E27FC236}">
              <a16:creationId xmlns:a16="http://schemas.microsoft.com/office/drawing/2014/main" id="{0616B814-8F7E-428C-AF97-8012EB2FBD1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6" name="AutoShape 1">
          <a:extLst>
            <a:ext uri="{FF2B5EF4-FFF2-40B4-BE49-F238E27FC236}">
              <a16:creationId xmlns:a16="http://schemas.microsoft.com/office/drawing/2014/main" id="{1754E1D2-0C69-40E8-AE84-742A7B9786CB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47" name="AutoShape 1">
          <a:extLst>
            <a:ext uri="{FF2B5EF4-FFF2-40B4-BE49-F238E27FC236}">
              <a16:creationId xmlns:a16="http://schemas.microsoft.com/office/drawing/2014/main" id="{54A30579-A7E1-4281-AB02-30D62C9CECA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0]!영양지" textlink="">
      <xdr:nvSpPr>
        <xdr:cNvPr id="48" name="AutoShape 1">
          <a:extLst>
            <a:ext uri="{FF2B5EF4-FFF2-40B4-BE49-F238E27FC236}">
              <a16:creationId xmlns:a16="http://schemas.microsoft.com/office/drawing/2014/main" id="{088CA115-D588-44E9-AED1-2A774E2902D1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49" name="AutoShape 1">
          <a:extLst>
            <a:ext uri="{FF2B5EF4-FFF2-40B4-BE49-F238E27FC236}">
              <a16:creationId xmlns:a16="http://schemas.microsoft.com/office/drawing/2014/main" id="{91580E0F-E069-4F15-8CB9-E3C9FEC4349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0" name="AutoShape 1">
          <a:extLst>
            <a:ext uri="{FF2B5EF4-FFF2-40B4-BE49-F238E27FC236}">
              <a16:creationId xmlns:a16="http://schemas.microsoft.com/office/drawing/2014/main" id="{9465C061-2520-4AC2-B3D1-D72E547AD8D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1" name="AutoShape 1">
          <a:extLst>
            <a:ext uri="{FF2B5EF4-FFF2-40B4-BE49-F238E27FC236}">
              <a16:creationId xmlns:a16="http://schemas.microsoft.com/office/drawing/2014/main" id="{C441760A-EE01-4F8F-BF4D-6942848165C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2" name="AutoShape 1">
          <a:extLst>
            <a:ext uri="{FF2B5EF4-FFF2-40B4-BE49-F238E27FC236}">
              <a16:creationId xmlns:a16="http://schemas.microsoft.com/office/drawing/2014/main" id="{D7A290D2-F226-43D5-93C4-5F744641000A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3" name="AutoShape 1">
          <a:extLst>
            <a:ext uri="{FF2B5EF4-FFF2-40B4-BE49-F238E27FC236}">
              <a16:creationId xmlns:a16="http://schemas.microsoft.com/office/drawing/2014/main" id="{ECF22B5F-CC44-44B6-AD04-75064A46063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4" name="AutoShape 1">
          <a:extLst>
            <a:ext uri="{FF2B5EF4-FFF2-40B4-BE49-F238E27FC236}">
              <a16:creationId xmlns:a16="http://schemas.microsoft.com/office/drawing/2014/main" id="{A54CE07B-C287-4431-967B-2B4018584DA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5" name="AutoShape 1">
          <a:extLst>
            <a:ext uri="{FF2B5EF4-FFF2-40B4-BE49-F238E27FC236}">
              <a16:creationId xmlns:a16="http://schemas.microsoft.com/office/drawing/2014/main" id="{4F0593DE-884D-4525-B97A-0B5BD2CE51D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6" name="AutoShape 1">
          <a:extLst>
            <a:ext uri="{FF2B5EF4-FFF2-40B4-BE49-F238E27FC236}">
              <a16:creationId xmlns:a16="http://schemas.microsoft.com/office/drawing/2014/main" id="{8845B57D-84E2-48CD-9749-59A870B2123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7" name="AutoShape 1">
          <a:extLst>
            <a:ext uri="{FF2B5EF4-FFF2-40B4-BE49-F238E27FC236}">
              <a16:creationId xmlns:a16="http://schemas.microsoft.com/office/drawing/2014/main" id="{1D04D24F-BB43-40C5-A64C-82BD22D1A9C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8" name="AutoShape 1">
          <a:extLst>
            <a:ext uri="{FF2B5EF4-FFF2-40B4-BE49-F238E27FC236}">
              <a16:creationId xmlns:a16="http://schemas.microsoft.com/office/drawing/2014/main" id="{F3A16C91-E9DE-4F71-8B59-130FD258D74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59" name="AutoShape 1">
          <a:extLst>
            <a:ext uri="{FF2B5EF4-FFF2-40B4-BE49-F238E27FC236}">
              <a16:creationId xmlns:a16="http://schemas.microsoft.com/office/drawing/2014/main" id="{957CD6B0-FA8B-4E2E-8D6B-CBE902AC6D4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0" name="AutoShape 1">
          <a:extLst>
            <a:ext uri="{FF2B5EF4-FFF2-40B4-BE49-F238E27FC236}">
              <a16:creationId xmlns:a16="http://schemas.microsoft.com/office/drawing/2014/main" id="{5E4B9A74-D2C8-4A9B-BAEB-E858935FBDA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1" name="AutoShape 1">
          <a:extLst>
            <a:ext uri="{FF2B5EF4-FFF2-40B4-BE49-F238E27FC236}">
              <a16:creationId xmlns:a16="http://schemas.microsoft.com/office/drawing/2014/main" id="{C73B64E8-3B4F-45F9-A0CE-3EEAD41B25F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62" name="AutoShape 1">
          <a:extLst>
            <a:ext uri="{FF2B5EF4-FFF2-40B4-BE49-F238E27FC236}">
              <a16:creationId xmlns:a16="http://schemas.microsoft.com/office/drawing/2014/main" id="{DC4FF09E-B294-4C27-A180-3D72E95B566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4]!영양지" textlink="">
      <xdr:nvSpPr>
        <xdr:cNvPr id="63" name="AutoShape 1">
          <a:extLst>
            <a:ext uri="{FF2B5EF4-FFF2-40B4-BE49-F238E27FC236}">
              <a16:creationId xmlns:a16="http://schemas.microsoft.com/office/drawing/2014/main" id="{BAAC7433-10F3-4842-BB1A-B3C1E1025A3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4" name="AutoShape 1">
          <a:extLst>
            <a:ext uri="{FF2B5EF4-FFF2-40B4-BE49-F238E27FC236}">
              <a16:creationId xmlns:a16="http://schemas.microsoft.com/office/drawing/2014/main" id="{C2EB5927-9610-44DE-9D39-7B353B9A6278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5" name="AutoShape 1">
          <a:extLst>
            <a:ext uri="{FF2B5EF4-FFF2-40B4-BE49-F238E27FC236}">
              <a16:creationId xmlns:a16="http://schemas.microsoft.com/office/drawing/2014/main" id="{C5054DBA-B072-49F8-B52F-8EC843F57384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6" name="AutoShape 1">
          <a:extLst>
            <a:ext uri="{FF2B5EF4-FFF2-40B4-BE49-F238E27FC236}">
              <a16:creationId xmlns:a16="http://schemas.microsoft.com/office/drawing/2014/main" id="{6CBC3D87-DD55-4ABA-BC55-59E3B5AFC5CC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7" name="AutoShape 1">
          <a:extLst>
            <a:ext uri="{FF2B5EF4-FFF2-40B4-BE49-F238E27FC236}">
              <a16:creationId xmlns:a16="http://schemas.microsoft.com/office/drawing/2014/main" id="{6290216F-6E7E-4BFA-BBB0-2F5AB6AD557F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8" name="AutoShape 1">
          <a:extLst>
            <a:ext uri="{FF2B5EF4-FFF2-40B4-BE49-F238E27FC236}">
              <a16:creationId xmlns:a16="http://schemas.microsoft.com/office/drawing/2014/main" id="{B5CB6990-CFDF-4838-B5C6-8AFB83A33597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69" name="AutoShape 1">
          <a:extLst>
            <a:ext uri="{FF2B5EF4-FFF2-40B4-BE49-F238E27FC236}">
              <a16:creationId xmlns:a16="http://schemas.microsoft.com/office/drawing/2014/main" id="{61093564-BD04-42FA-9698-D263B51B8F8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0" name="AutoShape 1">
          <a:extLst>
            <a:ext uri="{FF2B5EF4-FFF2-40B4-BE49-F238E27FC236}">
              <a16:creationId xmlns:a16="http://schemas.microsoft.com/office/drawing/2014/main" id="{482A0CE8-D16A-4916-BDFB-DA99E24E271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1" name="AutoShape 1">
          <a:extLst>
            <a:ext uri="{FF2B5EF4-FFF2-40B4-BE49-F238E27FC236}">
              <a16:creationId xmlns:a16="http://schemas.microsoft.com/office/drawing/2014/main" id="{465E052E-73DE-4D7F-8D07-D82E8EC51C40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2" name="AutoShape 1">
          <a:extLst>
            <a:ext uri="{FF2B5EF4-FFF2-40B4-BE49-F238E27FC236}">
              <a16:creationId xmlns:a16="http://schemas.microsoft.com/office/drawing/2014/main" id="{8016005F-4A9D-4D7B-9838-DABEF58ECB76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3" name="AutoShape 1">
          <a:extLst>
            <a:ext uri="{FF2B5EF4-FFF2-40B4-BE49-F238E27FC236}">
              <a16:creationId xmlns:a16="http://schemas.microsoft.com/office/drawing/2014/main" id="{11ECD2E1-AEB4-4FF0-8553-B6D3025E083E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4" name="AutoShape 1">
          <a:extLst>
            <a:ext uri="{FF2B5EF4-FFF2-40B4-BE49-F238E27FC236}">
              <a16:creationId xmlns:a16="http://schemas.microsoft.com/office/drawing/2014/main" id="{9F10EF5B-CF48-46C4-A488-086E024FB005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5" name="AutoShape 1">
          <a:extLst>
            <a:ext uri="{FF2B5EF4-FFF2-40B4-BE49-F238E27FC236}">
              <a16:creationId xmlns:a16="http://schemas.microsoft.com/office/drawing/2014/main" id="{04635338-C9E5-4ED6-87E9-AF1F4B949BAD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6" name="AutoShape 1">
          <a:extLst>
            <a:ext uri="{FF2B5EF4-FFF2-40B4-BE49-F238E27FC236}">
              <a16:creationId xmlns:a16="http://schemas.microsoft.com/office/drawing/2014/main" id="{DE81082C-E6D3-44F5-9652-BD16F049671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4</xdr:row>
      <xdr:rowOff>0</xdr:rowOff>
    </xdr:from>
    <xdr:ext cx="960555" cy="266436"/>
    <xdr:sp macro="[3]!영양지" textlink="">
      <xdr:nvSpPr>
        <xdr:cNvPr id="77" name="AutoShape 1">
          <a:extLst>
            <a:ext uri="{FF2B5EF4-FFF2-40B4-BE49-F238E27FC236}">
              <a16:creationId xmlns:a16="http://schemas.microsoft.com/office/drawing/2014/main" id="{9FB7ADF3-B2B6-4D11-9EC0-CCFC3EBBDCEA}"/>
            </a:ext>
          </a:extLst>
        </xdr:cNvPr>
        <xdr:cNvSpPr>
          <a:spLocks noChangeArrowheads="1"/>
        </xdr:cNvSpPr>
      </xdr:nvSpPr>
      <xdr:spPr bwMode="auto">
        <a:xfrm>
          <a:off x="6719776" y="110490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5]!영양지" textlink="">
      <xdr:nvSpPr>
        <xdr:cNvPr id="78" name="AutoShape 1">
          <a:extLst>
            <a:ext uri="{FF2B5EF4-FFF2-40B4-BE49-F238E27FC236}">
              <a16:creationId xmlns:a16="http://schemas.microsoft.com/office/drawing/2014/main" id="{E69DE4D3-E86A-4A1F-AAA6-E522F680A8E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79" name="AutoShape 1">
          <a:extLst>
            <a:ext uri="{FF2B5EF4-FFF2-40B4-BE49-F238E27FC236}">
              <a16:creationId xmlns:a16="http://schemas.microsoft.com/office/drawing/2014/main" id="{85D23D07-ADF6-4C7A-8989-8CBC4CCD50A5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0" name="AutoShape 1">
          <a:extLst>
            <a:ext uri="{FF2B5EF4-FFF2-40B4-BE49-F238E27FC236}">
              <a16:creationId xmlns:a16="http://schemas.microsoft.com/office/drawing/2014/main" id="{13F557A2-AA77-488C-BF05-A7986A200E7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1" name="AutoShape 1">
          <a:extLst>
            <a:ext uri="{FF2B5EF4-FFF2-40B4-BE49-F238E27FC236}">
              <a16:creationId xmlns:a16="http://schemas.microsoft.com/office/drawing/2014/main" id="{32115A42-1A5C-4093-AF4F-3D882136FEED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2" name="AutoShape 1">
          <a:extLst>
            <a:ext uri="{FF2B5EF4-FFF2-40B4-BE49-F238E27FC236}">
              <a16:creationId xmlns:a16="http://schemas.microsoft.com/office/drawing/2014/main" id="{DA8B0BCB-73E0-4FA3-8F6B-3CD222B1C27E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3" name="AutoShape 1">
          <a:extLst>
            <a:ext uri="{FF2B5EF4-FFF2-40B4-BE49-F238E27FC236}">
              <a16:creationId xmlns:a16="http://schemas.microsoft.com/office/drawing/2014/main" id="{4D051ADA-B601-42DC-A1F7-0211CAE7204B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4" name="AutoShape 1">
          <a:extLst>
            <a:ext uri="{FF2B5EF4-FFF2-40B4-BE49-F238E27FC236}">
              <a16:creationId xmlns:a16="http://schemas.microsoft.com/office/drawing/2014/main" id="{69A2CA85-7A29-4A33-AAE2-6432B1EEEF4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5" name="AutoShape 1">
          <a:extLst>
            <a:ext uri="{FF2B5EF4-FFF2-40B4-BE49-F238E27FC236}">
              <a16:creationId xmlns:a16="http://schemas.microsoft.com/office/drawing/2014/main" id="{8E184016-0239-4AA7-9E00-4E6AB0672534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6" name="AutoShape 1">
          <a:extLst>
            <a:ext uri="{FF2B5EF4-FFF2-40B4-BE49-F238E27FC236}">
              <a16:creationId xmlns:a16="http://schemas.microsoft.com/office/drawing/2014/main" id="{A1B61624-C6E8-4DEB-8E06-50F73DAE454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7" name="AutoShape 1">
          <a:extLst>
            <a:ext uri="{FF2B5EF4-FFF2-40B4-BE49-F238E27FC236}">
              <a16:creationId xmlns:a16="http://schemas.microsoft.com/office/drawing/2014/main" id="{D83ED72B-CFD5-4F45-BB76-9725195571C9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8" name="AutoShape 1">
          <a:extLst>
            <a:ext uri="{FF2B5EF4-FFF2-40B4-BE49-F238E27FC236}">
              <a16:creationId xmlns:a16="http://schemas.microsoft.com/office/drawing/2014/main" id="{42E80F79-FE21-4538-9B30-AB1F0A094607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89" name="AutoShape 1">
          <a:extLst>
            <a:ext uri="{FF2B5EF4-FFF2-40B4-BE49-F238E27FC236}">
              <a16:creationId xmlns:a16="http://schemas.microsoft.com/office/drawing/2014/main" id="{0DC65C6A-9CDE-4443-BAAE-96F02B8AEB00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0" name="AutoShape 1">
          <a:extLst>
            <a:ext uri="{FF2B5EF4-FFF2-40B4-BE49-F238E27FC236}">
              <a16:creationId xmlns:a16="http://schemas.microsoft.com/office/drawing/2014/main" id="{3FAB6A84-E5D0-4679-A77A-69B2CF4D63D6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1" name="AutoShape 1">
          <a:extLst>
            <a:ext uri="{FF2B5EF4-FFF2-40B4-BE49-F238E27FC236}">
              <a16:creationId xmlns:a16="http://schemas.microsoft.com/office/drawing/2014/main" id="{CAB23EA4-2909-459F-90F7-B75AE543906C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  <xdr:oneCellAnchor>
    <xdr:from>
      <xdr:col>8</xdr:col>
      <xdr:colOff>204676</xdr:colOff>
      <xdr:row>3</xdr:row>
      <xdr:rowOff>0</xdr:rowOff>
    </xdr:from>
    <xdr:ext cx="960555" cy="266436"/>
    <xdr:sp macro="[3]!영양지" textlink="">
      <xdr:nvSpPr>
        <xdr:cNvPr id="92" name="AutoShape 1">
          <a:extLst>
            <a:ext uri="{FF2B5EF4-FFF2-40B4-BE49-F238E27FC236}">
              <a16:creationId xmlns:a16="http://schemas.microsoft.com/office/drawing/2014/main" id="{2A75B9DB-CB92-4833-9057-54DC2207BE1F}"/>
            </a:ext>
          </a:extLst>
        </xdr:cNvPr>
        <xdr:cNvSpPr>
          <a:spLocks noChangeArrowheads="1"/>
        </xdr:cNvSpPr>
      </xdr:nvSpPr>
      <xdr:spPr bwMode="auto">
        <a:xfrm>
          <a:off x="6719776" y="857250"/>
          <a:ext cx="960555" cy="266436"/>
        </a:xfrm>
        <a:prstGeom prst="ribbon2">
          <a:avLst>
            <a:gd name="adj1" fmla="val 14287"/>
            <a:gd name="adj2" fmla="val 50000"/>
          </a:avLst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none" lIns="27432" tIns="18288" rIns="27432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돋움"/>
              <a:ea typeface="돋움"/>
            </a:rPr>
            <a:t>지우기</a:t>
          </a:r>
        </a:p>
      </xdr:txBody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02\&#44221;&#50689;&#51648;&#50896;%20&#44277;&#50976;&#54260;&#45908;\&#50689;&#50577;&#54016;\&#50808;&#48512;&#50868;&#48152;&#44553;&#49885;\&#54644;&#49436;&#52488;&#46321;&#54617;&#44368;(2024&#45380;)\11&#50900;\(&#47588;&#51068;)&#54644;&#49436;&#52488;%2011&#50900;%20&#44553;&#49885;&#51068;&#5164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02\&#44221;&#50689;&#51648;&#50896;%20&#44277;&#50976;&#54260;&#45908;\&#50689;&#50577;&#54016;\&#50808;&#48512;&#50868;&#48152;&#44553;&#49885;\&#49688;&#49457;&#44256;(&#51221;&#49548;&#50696;)\(&#47588;&#51068;)%206&#50900;%20&#44553;&#49885;&#51068;&#51648;-&#49688;&#49457;&#4425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50577;&#44288;&#47532;\&#44277;&#50976;\&#50980;&#44032;&#50672;\&#51068;&#45800;%20&#45796;%20&#50668;&#44592;\&#52832;&#49457;&#44256;&#9733;%20-%20&#48373;&#49324;&#48376;\&#44553;&#49885;&#51068;&#51648;&amp;&#51216;&#44160;&#54364;\8&#50900;\&#49437;&#49885;\&#44553;&#49885;&#51068;&#5164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02\&#44221;&#50689;&#51648;&#50896;%20&#44277;&#50976;&#54260;&#45908;\&#50689;&#50577;&#54016;\&#50808;&#48512;&#50868;&#48152;&#44553;&#49885;\&#51076;&#44256;&#52488;,&#50689;&#52380;&#44552;&#54840;&#52488;(&#51221;&#49548;&#50696;)\&#51076;&#44256;&#52488;%205&#50900;%20&#44553;&#49885;&#51068;&#5164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(&#47588;&#51068;)&#54644;&#49436;&#52488;%2012&#50900;%20&#44553;&#49885;&#51068;&#516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분"/>
      <sheetName val="1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8"/>
      <sheetName val="19"/>
      <sheetName val="20"/>
      <sheetName val="21"/>
      <sheetName val="22"/>
      <sheetName val="25"/>
      <sheetName val="26"/>
      <sheetName val="27"/>
      <sheetName val="28"/>
      <sheetName val="29"/>
      <sheetName val="Sheet1"/>
      <sheetName val="(매일)해서초 11월 급식일지"/>
    </sheetNames>
    <definedNames>
      <definedName name="정렬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분"/>
      <sheetName val="평일"/>
      <sheetName val="6.3"/>
      <sheetName val="6.5"/>
      <sheetName val="6.7"/>
      <sheetName val="6.10"/>
      <sheetName val="6.11"/>
      <sheetName val="6.12"/>
      <sheetName val="6.13"/>
      <sheetName val="6.14"/>
      <sheetName val="6.17"/>
      <sheetName val="6.18"/>
      <sheetName val="6.19"/>
      <sheetName val="6.20"/>
      <sheetName val="6.21"/>
      <sheetName val="6.24"/>
      <sheetName val="6.25"/>
      <sheetName val="6.26"/>
      <sheetName val="6.27"/>
      <sheetName val="6.28"/>
      <sheetName val="Sheet1"/>
      <sheetName val="(매일) 6월 급식일지-수성고"/>
    </sheetNames>
    <definedNames>
      <definedName name="정렬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01"/>
      <sheetName val="0601 (2)"/>
      <sheetName val="0605"/>
      <sheetName val="0606(석식)"/>
      <sheetName val="0606(중식)"/>
      <sheetName val="0607"/>
      <sheetName val="0608"/>
      <sheetName val="0609"/>
      <sheetName val="0611"/>
      <sheetName val="0612"/>
      <sheetName val="0613(석식)"/>
      <sheetName val="0613(중식)"/>
      <sheetName val="0614"/>
      <sheetName val="0615"/>
      <sheetName val="0616"/>
      <sheetName val="0618"/>
      <sheetName val="0620"/>
      <sheetName val="0621"/>
      <sheetName val="0622"/>
      <sheetName val="성분"/>
      <sheetName val="급식일지"/>
      <sheetName val="일지"/>
      <sheetName val="점검표"/>
    </sheetNames>
    <definedNames>
      <definedName name="영양지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분"/>
      <sheetName val="평일"/>
      <sheetName val="5.1"/>
      <sheetName val="5.2"/>
      <sheetName val="5.3"/>
      <sheetName val="5.7"/>
      <sheetName val="5.8"/>
      <sheetName val="5.9"/>
      <sheetName val="5.10"/>
      <sheetName val="5.13"/>
      <sheetName val="5.14"/>
      <sheetName val="5.16"/>
      <sheetName val="5.17"/>
      <sheetName val="5.20"/>
      <sheetName val="5.21"/>
      <sheetName val="5.22"/>
      <sheetName val="5.23"/>
      <sheetName val="5.24"/>
      <sheetName val="5.27"/>
      <sheetName val="5.28"/>
      <sheetName val="5.29"/>
      <sheetName val="5.30"/>
      <sheetName val="5.31"/>
      <sheetName val="4.30"/>
      <sheetName val="임고초 5월 급식일지"/>
    </sheetNames>
    <definedNames>
      <definedName name="영양지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분"/>
      <sheetName val="1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8"/>
      <sheetName val="19"/>
      <sheetName val="20"/>
      <sheetName val="21"/>
      <sheetName val="22"/>
      <sheetName val="25"/>
      <sheetName val="26"/>
      <sheetName val="27"/>
      <sheetName val="28"/>
      <sheetName val="29"/>
      <sheetName val="Sheet1"/>
      <sheetName val="(매일)해서초 12월 급식일지"/>
    </sheetNames>
    <definedNames>
      <definedName name="영양지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indexed="44"/>
  </sheetPr>
  <dimension ref="A1:W1661"/>
  <sheetViews>
    <sheetView workbookViewId="0">
      <pane xSplit="2" ySplit="1" topLeftCell="C1606" activePane="bottomRight" state="frozen"/>
      <selection activeCell="K24" sqref="K24"/>
      <selection pane="topRight" activeCell="K24" sqref="K24"/>
      <selection pane="bottomLeft" activeCell="K24" sqref="K24"/>
      <selection pane="bottomRight" activeCell="K24" sqref="K24"/>
    </sheetView>
  </sheetViews>
  <sheetFormatPr defaultRowHeight="13.5"/>
  <cols>
    <col min="1" max="1" width="8.44140625" style="52" customWidth="1"/>
    <col min="2" max="2" width="27.33203125" style="52" customWidth="1"/>
    <col min="3" max="3" width="13.5546875" style="59" customWidth="1"/>
    <col min="4" max="4" width="6.109375" style="47" customWidth="1"/>
    <col min="5" max="5" width="3.77734375" style="47" customWidth="1"/>
    <col min="6" max="6" width="4.21875" style="47" customWidth="1"/>
    <col min="7" max="9" width="3.77734375" style="47" customWidth="1"/>
    <col min="10" max="10" width="4.6640625" style="47" customWidth="1"/>
    <col min="11" max="12" width="3.77734375" style="47" customWidth="1"/>
    <col min="13" max="13" width="5.109375" style="47" customWidth="1"/>
    <col min="14" max="16" width="3.77734375" style="47" customWidth="1"/>
    <col min="17" max="19" width="8.88671875" style="52"/>
    <col min="20" max="20" width="8.44140625" style="52" customWidth="1"/>
    <col min="21" max="16384" width="8.88671875" style="52"/>
  </cols>
  <sheetData>
    <row r="1" spans="1:16" ht="32.25" customHeight="1">
      <c r="A1" s="47" t="s">
        <v>32</v>
      </c>
      <c r="B1" s="48" t="s">
        <v>33</v>
      </c>
      <c r="C1" s="49" t="s">
        <v>34</v>
      </c>
      <c r="D1" s="50" t="s">
        <v>35</v>
      </c>
      <c r="E1" s="50" t="s">
        <v>36</v>
      </c>
      <c r="F1" s="50" t="s">
        <v>37</v>
      </c>
      <c r="G1" s="50" t="s">
        <v>38</v>
      </c>
      <c r="H1" s="50" t="s">
        <v>39</v>
      </c>
      <c r="I1" s="50" t="s">
        <v>40</v>
      </c>
      <c r="J1" s="50" t="s">
        <v>41</v>
      </c>
      <c r="K1" s="50" t="s">
        <v>42</v>
      </c>
      <c r="L1" s="50" t="s">
        <v>43</v>
      </c>
      <c r="M1" s="50" t="s">
        <v>44</v>
      </c>
      <c r="N1" s="50" t="s">
        <v>45</v>
      </c>
      <c r="O1" s="51" t="s">
        <v>46</v>
      </c>
      <c r="P1" s="47" t="s">
        <v>47</v>
      </c>
    </row>
    <row r="2" spans="1:16" ht="18" customHeight="1">
      <c r="A2" s="47" t="s">
        <v>48</v>
      </c>
      <c r="B2" s="53" t="s">
        <v>49</v>
      </c>
      <c r="C2" s="54" t="s">
        <v>50</v>
      </c>
      <c r="D2" s="55">
        <v>143</v>
      </c>
      <c r="E2" s="50">
        <v>2.7</v>
      </c>
      <c r="F2" s="55">
        <v>11</v>
      </c>
      <c r="G2" s="50">
        <v>8.1999999999999993</v>
      </c>
      <c r="H2" s="55">
        <v>19</v>
      </c>
      <c r="I2" s="55">
        <v>0.7</v>
      </c>
      <c r="J2" s="55">
        <v>33</v>
      </c>
      <c r="K2" s="55">
        <v>0.08</v>
      </c>
      <c r="L2" s="55">
        <v>0.06</v>
      </c>
      <c r="M2" s="55" t="s">
        <v>2547</v>
      </c>
      <c r="N2" s="55">
        <v>10</v>
      </c>
      <c r="O2" s="55">
        <v>0</v>
      </c>
      <c r="P2" s="47" t="s">
        <v>51</v>
      </c>
    </row>
    <row r="3" spans="1:16" ht="18" customHeight="1">
      <c r="A3" s="47" t="s">
        <v>48</v>
      </c>
      <c r="B3" s="53" t="s">
        <v>52</v>
      </c>
      <c r="C3" s="54" t="s">
        <v>53</v>
      </c>
      <c r="D3" s="55">
        <v>120</v>
      </c>
      <c r="E3" s="50">
        <v>1</v>
      </c>
      <c r="F3" s="55">
        <v>14</v>
      </c>
      <c r="G3" s="50">
        <v>0.09</v>
      </c>
      <c r="H3" s="55">
        <v>6</v>
      </c>
      <c r="I3" s="55">
        <v>0.5</v>
      </c>
      <c r="J3" s="55">
        <v>0</v>
      </c>
      <c r="K3" s="55">
        <v>0.01</v>
      </c>
      <c r="L3" s="55">
        <v>0.01</v>
      </c>
      <c r="M3" s="55">
        <v>0.28999999999999998</v>
      </c>
      <c r="N3" s="55">
        <v>3</v>
      </c>
      <c r="O3" s="55">
        <v>0</v>
      </c>
      <c r="P3" s="47" t="s">
        <v>51</v>
      </c>
    </row>
    <row r="4" spans="1:16" ht="18" customHeight="1">
      <c r="A4" s="47" t="s">
        <v>48</v>
      </c>
      <c r="B4" s="53" t="s">
        <v>54</v>
      </c>
      <c r="C4" s="54" t="s">
        <v>55</v>
      </c>
      <c r="D4" s="55">
        <v>130</v>
      </c>
      <c r="E4" s="50">
        <v>2.5</v>
      </c>
      <c r="F4" s="55">
        <v>14</v>
      </c>
      <c r="G4" s="50">
        <v>0.09</v>
      </c>
      <c r="H4" s="55">
        <v>6</v>
      </c>
      <c r="I4" s="55">
        <v>0.8</v>
      </c>
      <c r="J4" s="55">
        <v>0</v>
      </c>
      <c r="K4" s="55">
        <v>0.08</v>
      </c>
      <c r="L4" s="55">
        <v>0.03</v>
      </c>
      <c r="M4" s="55">
        <v>1.3</v>
      </c>
      <c r="N4" s="55">
        <v>21</v>
      </c>
      <c r="O4" s="55">
        <v>7</v>
      </c>
      <c r="P4" s="47" t="s">
        <v>51</v>
      </c>
    </row>
    <row r="5" spans="1:16" ht="18" customHeight="1">
      <c r="A5" s="47" t="s">
        <v>48</v>
      </c>
      <c r="B5" s="53" t="s">
        <v>56</v>
      </c>
      <c r="C5" s="54" t="s">
        <v>57</v>
      </c>
      <c r="D5" s="55">
        <v>523</v>
      </c>
      <c r="E5" s="50">
        <v>6.4</v>
      </c>
      <c r="F5" s="55">
        <v>62</v>
      </c>
      <c r="G5" s="50">
        <v>4.4000000000000004</v>
      </c>
      <c r="H5" s="55">
        <v>24</v>
      </c>
      <c r="I5" s="55">
        <v>1.2</v>
      </c>
      <c r="J5" s="55">
        <v>0</v>
      </c>
      <c r="K5" s="55">
        <v>0.15</v>
      </c>
      <c r="L5" s="55">
        <v>0.02</v>
      </c>
      <c r="M5" s="55">
        <v>4.2</v>
      </c>
      <c r="N5" s="55">
        <v>42</v>
      </c>
      <c r="O5" s="55">
        <v>0</v>
      </c>
      <c r="P5" s="47" t="s">
        <v>51</v>
      </c>
    </row>
    <row r="6" spans="1:16" ht="18" customHeight="1">
      <c r="A6" s="47"/>
      <c r="B6" s="53" t="s">
        <v>58</v>
      </c>
      <c r="C6" s="54" t="s">
        <v>57</v>
      </c>
      <c r="D6" s="55">
        <v>523</v>
      </c>
      <c r="E6" s="50">
        <v>6.4</v>
      </c>
      <c r="F6" s="55">
        <v>62</v>
      </c>
      <c r="G6" s="50">
        <v>6.5</v>
      </c>
      <c r="H6" s="55">
        <v>24</v>
      </c>
      <c r="I6" s="55">
        <v>1.2</v>
      </c>
      <c r="J6" s="55">
        <v>0</v>
      </c>
      <c r="K6" s="55">
        <v>0.15</v>
      </c>
      <c r="L6" s="55">
        <v>0.02</v>
      </c>
      <c r="M6" s="55">
        <v>4.2</v>
      </c>
      <c r="N6" s="55">
        <v>42</v>
      </c>
      <c r="O6" s="55">
        <v>0</v>
      </c>
      <c r="P6" s="47" t="s">
        <v>59</v>
      </c>
    </row>
    <row r="7" spans="1:16" ht="18" customHeight="1">
      <c r="A7" s="47"/>
      <c r="B7" s="53" t="s">
        <v>60</v>
      </c>
      <c r="C7" s="54" t="s">
        <v>57</v>
      </c>
      <c r="D7" s="55">
        <v>523</v>
      </c>
      <c r="E7" s="50">
        <v>6.4</v>
      </c>
      <c r="F7" s="55">
        <v>38</v>
      </c>
      <c r="G7" s="50">
        <v>0.4</v>
      </c>
      <c r="H7" s="55">
        <v>24</v>
      </c>
      <c r="I7" s="55">
        <v>1.2</v>
      </c>
      <c r="J7" s="55">
        <v>0</v>
      </c>
      <c r="K7" s="55">
        <v>0.15</v>
      </c>
      <c r="L7" s="55">
        <v>0.02</v>
      </c>
      <c r="M7" s="55">
        <v>4.2</v>
      </c>
      <c r="N7" s="55">
        <v>42</v>
      </c>
      <c r="O7" s="55">
        <v>0</v>
      </c>
      <c r="P7" s="47" t="s">
        <v>59</v>
      </c>
    </row>
    <row r="8" spans="1:16" ht="18" customHeight="1">
      <c r="A8" s="47" t="s">
        <v>48</v>
      </c>
      <c r="B8" s="53" t="s">
        <v>61</v>
      </c>
      <c r="C8" s="54" t="s">
        <v>57</v>
      </c>
      <c r="D8" s="55">
        <v>218</v>
      </c>
      <c r="E8" s="50">
        <v>5.0999999999999996</v>
      </c>
      <c r="F8" s="55">
        <v>29</v>
      </c>
      <c r="G8" s="50">
        <v>13.9</v>
      </c>
      <c r="H8" s="55">
        <v>28</v>
      </c>
      <c r="I8" s="55">
        <v>1</v>
      </c>
      <c r="J8" s="55">
        <v>0</v>
      </c>
      <c r="K8" s="55">
        <v>0.11</v>
      </c>
      <c r="L8" s="55">
        <v>0.01</v>
      </c>
      <c r="M8" s="55">
        <v>3.4</v>
      </c>
      <c r="N8" s="55">
        <v>40</v>
      </c>
      <c r="O8" s="55">
        <v>0</v>
      </c>
      <c r="P8" s="47" t="s">
        <v>59</v>
      </c>
    </row>
    <row r="9" spans="1:16" ht="18" customHeight="1">
      <c r="A9" s="47" t="s">
        <v>48</v>
      </c>
      <c r="B9" s="53" t="s">
        <v>1735</v>
      </c>
      <c r="C9" s="54" t="s">
        <v>1736</v>
      </c>
      <c r="D9" s="55">
        <v>214</v>
      </c>
      <c r="E9" s="50">
        <v>1.4</v>
      </c>
      <c r="F9" s="55">
        <v>31</v>
      </c>
      <c r="G9" s="50">
        <v>0.19</v>
      </c>
      <c r="H9" s="55">
        <v>24</v>
      </c>
      <c r="I9" s="55">
        <v>0.5</v>
      </c>
      <c r="J9" s="55">
        <v>19</v>
      </c>
      <c r="K9" s="55">
        <v>0.06</v>
      </c>
      <c r="L9" s="55">
        <v>0.05</v>
      </c>
      <c r="M9" s="55">
        <v>0.7</v>
      </c>
      <c r="N9" s="55">
        <v>25</v>
      </c>
      <c r="O9" s="55">
        <v>7</v>
      </c>
      <c r="P9" s="47" t="s">
        <v>51</v>
      </c>
    </row>
    <row r="10" spans="1:16" ht="18" customHeight="1">
      <c r="A10" s="47" t="s">
        <v>48</v>
      </c>
      <c r="B10" s="53" t="s">
        <v>62</v>
      </c>
      <c r="C10" s="54" t="s">
        <v>63</v>
      </c>
      <c r="D10" s="55">
        <v>128</v>
      </c>
      <c r="E10" s="50">
        <v>1.4</v>
      </c>
      <c r="F10" s="55">
        <v>31</v>
      </c>
      <c r="G10" s="50">
        <v>0.19</v>
      </c>
      <c r="H10" s="55">
        <v>24</v>
      </c>
      <c r="I10" s="55">
        <v>0.5</v>
      </c>
      <c r="J10" s="55">
        <v>19</v>
      </c>
      <c r="K10" s="55">
        <v>0.06</v>
      </c>
      <c r="L10" s="55">
        <v>0.05</v>
      </c>
      <c r="M10" s="55">
        <v>0.7</v>
      </c>
      <c r="N10" s="55">
        <v>25</v>
      </c>
      <c r="O10" s="55">
        <v>7</v>
      </c>
      <c r="P10" s="47" t="s">
        <v>51</v>
      </c>
    </row>
    <row r="11" spans="1:16" ht="18" customHeight="1">
      <c r="A11" s="47" t="s">
        <v>48</v>
      </c>
      <c r="B11" s="53" t="s">
        <v>64</v>
      </c>
      <c r="C11" s="54" t="s">
        <v>65</v>
      </c>
      <c r="D11" s="55">
        <v>12</v>
      </c>
      <c r="E11" s="50">
        <v>0.2</v>
      </c>
      <c r="F11" s="55">
        <v>6</v>
      </c>
      <c r="G11" s="50">
        <v>0</v>
      </c>
      <c r="H11" s="55">
        <v>75</v>
      </c>
      <c r="I11" s="55">
        <v>0.5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47" t="s">
        <v>51</v>
      </c>
    </row>
    <row r="12" spans="1:16" ht="18" customHeight="1">
      <c r="A12" s="47" t="s">
        <v>48</v>
      </c>
      <c r="B12" s="53" t="s">
        <v>66</v>
      </c>
      <c r="C12" s="54" t="s">
        <v>67</v>
      </c>
      <c r="D12" s="55">
        <v>69</v>
      </c>
      <c r="E12" s="50">
        <v>2.2000000000000002</v>
      </c>
      <c r="F12" s="55">
        <v>14</v>
      </c>
      <c r="G12" s="50">
        <v>0.2</v>
      </c>
      <c r="H12" s="55">
        <v>13</v>
      </c>
      <c r="I12" s="55">
        <v>0.2</v>
      </c>
      <c r="J12" s="55">
        <v>0</v>
      </c>
      <c r="K12" s="55">
        <v>7.0000000000000007E-2</v>
      </c>
      <c r="L12" s="55">
        <v>0.05</v>
      </c>
      <c r="M12" s="55">
        <v>1.7</v>
      </c>
      <c r="N12" s="55">
        <v>12</v>
      </c>
      <c r="O12" s="55">
        <v>7</v>
      </c>
      <c r="P12" s="47" t="s">
        <v>51</v>
      </c>
    </row>
    <row r="13" spans="1:16" ht="18" customHeight="1">
      <c r="A13" s="47" t="s">
        <v>48</v>
      </c>
      <c r="B13" s="53" t="s">
        <v>68</v>
      </c>
      <c r="C13" s="54" t="s">
        <v>69</v>
      </c>
      <c r="D13" s="55">
        <v>332</v>
      </c>
      <c r="E13" s="50">
        <v>0.1</v>
      </c>
      <c r="F13" s="55">
        <v>82</v>
      </c>
      <c r="G13" s="50">
        <v>0.1</v>
      </c>
      <c r="H13" s="55">
        <v>22</v>
      </c>
      <c r="I13" s="55">
        <v>1.8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47" t="s">
        <v>51</v>
      </c>
    </row>
    <row r="14" spans="1:16" ht="18" customHeight="1">
      <c r="A14" s="47" t="s">
        <v>48</v>
      </c>
      <c r="B14" s="53" t="s">
        <v>70</v>
      </c>
      <c r="C14" s="54" t="s">
        <v>71</v>
      </c>
      <c r="D14" s="55">
        <v>349</v>
      </c>
      <c r="E14" s="50">
        <v>0.1</v>
      </c>
      <c r="F14" s="55">
        <v>85</v>
      </c>
      <c r="G14" s="50">
        <v>0.1</v>
      </c>
      <c r="H14" s="55">
        <v>47</v>
      </c>
      <c r="I14" s="55">
        <v>3</v>
      </c>
      <c r="J14" s="55">
        <v>0</v>
      </c>
      <c r="K14" s="55">
        <v>0.01</v>
      </c>
      <c r="L14" s="55">
        <v>0</v>
      </c>
      <c r="M14" s="55">
        <v>0</v>
      </c>
      <c r="N14" s="55">
        <v>0</v>
      </c>
      <c r="O14" s="55">
        <v>0</v>
      </c>
      <c r="P14" s="47" t="s">
        <v>51</v>
      </c>
    </row>
    <row r="15" spans="1:16" ht="18" customHeight="1">
      <c r="A15" s="47"/>
      <c r="B15" s="53" t="s">
        <v>72</v>
      </c>
      <c r="C15" s="54" t="s">
        <v>1873</v>
      </c>
      <c r="D15" s="55">
        <v>349</v>
      </c>
      <c r="E15" s="50">
        <v>0.1</v>
      </c>
      <c r="F15" s="55">
        <v>85</v>
      </c>
      <c r="G15" s="50">
        <v>0.2</v>
      </c>
      <c r="H15" s="55">
        <v>47</v>
      </c>
      <c r="I15" s="55">
        <v>3</v>
      </c>
      <c r="J15" s="55">
        <v>0</v>
      </c>
      <c r="K15" s="55">
        <v>0.01</v>
      </c>
      <c r="L15" s="55">
        <v>0</v>
      </c>
      <c r="M15" s="55">
        <v>0</v>
      </c>
      <c r="N15" s="55">
        <v>0</v>
      </c>
      <c r="O15" s="55">
        <v>0</v>
      </c>
    </row>
    <row r="16" spans="1:16" ht="18" customHeight="1">
      <c r="A16" s="47"/>
      <c r="B16" s="53" t="s">
        <v>1969</v>
      </c>
      <c r="C16" s="54" t="s">
        <v>1873</v>
      </c>
      <c r="D16" s="55">
        <v>190.4</v>
      </c>
      <c r="E16" s="50">
        <v>0.1</v>
      </c>
      <c r="F16" s="55">
        <v>85</v>
      </c>
      <c r="G16" s="50">
        <v>0.2</v>
      </c>
      <c r="H16" s="55">
        <v>47</v>
      </c>
      <c r="I16" s="55">
        <v>3</v>
      </c>
      <c r="J16" s="55">
        <v>0</v>
      </c>
      <c r="K16" s="55">
        <v>0.01</v>
      </c>
      <c r="L16" s="55">
        <v>0</v>
      </c>
      <c r="M16" s="55">
        <v>0</v>
      </c>
      <c r="N16" s="55">
        <v>0</v>
      </c>
      <c r="O16" s="55">
        <v>0</v>
      </c>
    </row>
    <row r="17" spans="1:16" ht="18" customHeight="1">
      <c r="A17" s="47" t="s">
        <v>48</v>
      </c>
      <c r="B17" s="53" t="s">
        <v>73</v>
      </c>
      <c r="C17" s="54" t="s">
        <v>69</v>
      </c>
      <c r="D17" s="55">
        <v>351</v>
      </c>
      <c r="E17" s="50">
        <v>0.2</v>
      </c>
      <c r="F17" s="55">
        <v>3</v>
      </c>
      <c r="G17" s="50">
        <v>0.2</v>
      </c>
      <c r="H17" s="55">
        <v>14</v>
      </c>
      <c r="I17" s="55">
        <v>0.6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47" t="s">
        <v>51</v>
      </c>
    </row>
    <row r="18" spans="1:16" ht="18" customHeight="1">
      <c r="A18" s="47" t="s">
        <v>48</v>
      </c>
      <c r="B18" s="53" t="s">
        <v>74</v>
      </c>
      <c r="C18" s="54" t="s">
        <v>69</v>
      </c>
      <c r="D18" s="55">
        <v>366</v>
      </c>
      <c r="E18" s="50">
        <v>0.2</v>
      </c>
      <c r="F18" s="55">
        <v>3</v>
      </c>
      <c r="G18" s="50">
        <v>0.1</v>
      </c>
      <c r="H18" s="55">
        <v>29</v>
      </c>
      <c r="I18" s="55">
        <v>1.5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47" t="s">
        <v>51</v>
      </c>
    </row>
    <row r="19" spans="1:16" ht="18" customHeight="1">
      <c r="A19" s="47" t="s">
        <v>48</v>
      </c>
      <c r="B19" s="53" t="s">
        <v>73</v>
      </c>
      <c r="C19" s="54" t="s">
        <v>1954</v>
      </c>
      <c r="D19" s="55">
        <v>351</v>
      </c>
      <c r="E19" s="50">
        <v>0.2</v>
      </c>
      <c r="F19" s="55">
        <v>3</v>
      </c>
      <c r="G19" s="50">
        <v>0.2</v>
      </c>
      <c r="H19" s="55">
        <v>14</v>
      </c>
      <c r="I19" s="55">
        <v>0.6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47" t="s">
        <v>51</v>
      </c>
    </row>
    <row r="20" spans="1:16" ht="18" customHeight="1">
      <c r="A20" s="47" t="s">
        <v>48</v>
      </c>
      <c r="B20" s="53" t="s">
        <v>74</v>
      </c>
      <c r="C20" s="54" t="s">
        <v>1933</v>
      </c>
      <c r="D20" s="55">
        <v>366</v>
      </c>
      <c r="E20" s="50">
        <v>0.2</v>
      </c>
      <c r="F20" s="55">
        <v>3</v>
      </c>
      <c r="G20" s="50">
        <v>0.1</v>
      </c>
      <c r="H20" s="55">
        <v>29</v>
      </c>
      <c r="I20" s="55">
        <v>1.5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47" t="s">
        <v>51</v>
      </c>
    </row>
    <row r="21" spans="1:16" ht="18" customHeight="1">
      <c r="A21" s="47" t="s">
        <v>48</v>
      </c>
      <c r="B21" s="53" t="s">
        <v>75</v>
      </c>
      <c r="C21" s="54" t="s">
        <v>69</v>
      </c>
      <c r="D21" s="55">
        <v>358</v>
      </c>
      <c r="E21" s="50">
        <v>0.1</v>
      </c>
      <c r="F21" s="55">
        <v>3</v>
      </c>
      <c r="G21" s="50">
        <v>0.1</v>
      </c>
      <c r="H21" s="55">
        <v>5</v>
      </c>
      <c r="I21" s="55">
        <v>1.7</v>
      </c>
      <c r="J21" s="55">
        <v>0</v>
      </c>
      <c r="K21" s="55">
        <v>0</v>
      </c>
      <c r="L21" s="55">
        <v>0</v>
      </c>
      <c r="M21" s="55">
        <v>0.1</v>
      </c>
      <c r="N21" s="55">
        <v>0</v>
      </c>
      <c r="O21" s="55">
        <v>0</v>
      </c>
      <c r="P21" s="47" t="s">
        <v>51</v>
      </c>
    </row>
    <row r="22" spans="1:16" ht="18" customHeight="1">
      <c r="A22" s="47" t="s">
        <v>48</v>
      </c>
      <c r="B22" s="53" t="s">
        <v>76</v>
      </c>
      <c r="C22" s="54" t="s">
        <v>77</v>
      </c>
      <c r="D22" s="55">
        <v>342</v>
      </c>
      <c r="E22" s="50">
        <v>0.1</v>
      </c>
      <c r="F22" s="55">
        <v>3</v>
      </c>
      <c r="G22" s="50">
        <v>0.1</v>
      </c>
      <c r="H22" s="55">
        <v>62</v>
      </c>
      <c r="I22" s="55">
        <v>2.6</v>
      </c>
      <c r="J22" s="55">
        <v>0</v>
      </c>
      <c r="K22" s="55">
        <v>0</v>
      </c>
      <c r="L22" s="55">
        <v>0</v>
      </c>
      <c r="M22" s="55">
        <v>0.1</v>
      </c>
      <c r="N22" s="55">
        <v>0</v>
      </c>
      <c r="O22" s="55">
        <v>0</v>
      </c>
      <c r="P22" s="47" t="s">
        <v>51</v>
      </c>
    </row>
    <row r="23" spans="1:16" ht="18" customHeight="1">
      <c r="A23" s="47" t="s">
        <v>48</v>
      </c>
      <c r="B23" s="53" t="s">
        <v>78</v>
      </c>
      <c r="C23" s="54" t="s">
        <v>79</v>
      </c>
      <c r="D23" s="55">
        <v>60</v>
      </c>
      <c r="E23" s="50">
        <v>2.9</v>
      </c>
      <c r="F23" s="55">
        <v>0</v>
      </c>
      <c r="G23" s="50">
        <v>0.1</v>
      </c>
      <c r="H23" s="55">
        <v>16</v>
      </c>
      <c r="I23" s="55">
        <v>0.5</v>
      </c>
      <c r="J23" s="55">
        <v>0</v>
      </c>
      <c r="K23" s="55">
        <v>0.06</v>
      </c>
      <c r="L23" s="55">
        <v>0.03</v>
      </c>
      <c r="M23" s="55">
        <v>0.5</v>
      </c>
      <c r="N23" s="55">
        <v>0</v>
      </c>
      <c r="O23" s="55">
        <v>0</v>
      </c>
      <c r="P23" s="47" t="s">
        <v>51</v>
      </c>
    </row>
    <row r="24" spans="1:16" ht="18" customHeight="1">
      <c r="A24" s="47" t="s">
        <v>48</v>
      </c>
      <c r="B24" s="53" t="s">
        <v>80</v>
      </c>
      <c r="C24" s="54" t="s">
        <v>81</v>
      </c>
      <c r="D24" s="55">
        <v>40</v>
      </c>
      <c r="E24" s="50">
        <v>2.2999999999999998</v>
      </c>
      <c r="F24" s="55">
        <v>15</v>
      </c>
      <c r="G24" s="50">
        <v>0</v>
      </c>
      <c r="H24" s="55">
        <v>18</v>
      </c>
      <c r="I24" s="55">
        <v>0.6</v>
      </c>
      <c r="J24" s="55">
        <v>0</v>
      </c>
      <c r="K24" s="55">
        <v>7.0000000000000007E-2</v>
      </c>
      <c r="L24" s="55">
        <v>0.01</v>
      </c>
      <c r="M24" s="55">
        <v>0.8</v>
      </c>
      <c r="N24" s="55">
        <v>9</v>
      </c>
      <c r="O24" s="55">
        <v>18</v>
      </c>
      <c r="P24" s="47" t="s">
        <v>51</v>
      </c>
    </row>
    <row r="25" spans="1:16" ht="18" customHeight="1">
      <c r="A25" s="47" t="s">
        <v>48</v>
      </c>
      <c r="B25" s="53" t="s">
        <v>82</v>
      </c>
      <c r="C25" s="54" t="s">
        <v>83</v>
      </c>
      <c r="D25" s="55">
        <v>309</v>
      </c>
      <c r="E25" s="50">
        <v>4</v>
      </c>
      <c r="F25" s="55">
        <v>107</v>
      </c>
      <c r="G25" s="50">
        <v>6.5</v>
      </c>
      <c r="H25" s="55">
        <v>16</v>
      </c>
      <c r="I25" s="55">
        <v>1.4</v>
      </c>
      <c r="J25" s="55">
        <v>2</v>
      </c>
      <c r="K25" s="55">
        <v>0.14000000000000001</v>
      </c>
      <c r="L25" s="55">
        <v>0.04</v>
      </c>
      <c r="M25" s="55">
        <v>2.2999999999999998</v>
      </c>
      <c r="N25" s="55">
        <v>5</v>
      </c>
      <c r="O25" s="55">
        <v>0</v>
      </c>
      <c r="P25" s="47" t="s">
        <v>51</v>
      </c>
    </row>
    <row r="26" spans="1:16" ht="18" customHeight="1">
      <c r="A26" s="47" t="s">
        <v>48</v>
      </c>
      <c r="B26" s="53" t="s">
        <v>84</v>
      </c>
      <c r="C26" s="54" t="s">
        <v>83</v>
      </c>
      <c r="D26" s="55">
        <v>309</v>
      </c>
      <c r="E26" s="50">
        <v>4</v>
      </c>
      <c r="F26" s="55">
        <v>53</v>
      </c>
      <c r="G26" s="50">
        <v>19.5</v>
      </c>
      <c r="H26" s="55">
        <v>16</v>
      </c>
      <c r="I26" s="55">
        <v>1.4</v>
      </c>
      <c r="J26" s="55">
        <v>2</v>
      </c>
      <c r="K26" s="55">
        <v>0.14000000000000001</v>
      </c>
      <c r="L26" s="55">
        <v>0.04</v>
      </c>
      <c r="M26" s="55">
        <v>2.2999999999999998</v>
      </c>
      <c r="N26" s="55">
        <v>5</v>
      </c>
      <c r="O26" s="55">
        <v>0</v>
      </c>
      <c r="P26" s="47" t="s">
        <v>51</v>
      </c>
    </row>
    <row r="27" spans="1:16" ht="18" customHeight="1">
      <c r="A27" s="47"/>
      <c r="B27" s="53" t="s">
        <v>85</v>
      </c>
      <c r="C27" s="54" t="s">
        <v>86</v>
      </c>
      <c r="D27" s="55">
        <v>297</v>
      </c>
      <c r="E27" s="50">
        <v>7.5</v>
      </c>
      <c r="F27" s="55">
        <v>68</v>
      </c>
      <c r="G27" s="50">
        <v>27.9</v>
      </c>
      <c r="H27" s="55">
        <v>35</v>
      </c>
      <c r="I27" s="55">
        <v>0.5</v>
      </c>
      <c r="J27" s="55">
        <v>24</v>
      </c>
      <c r="K27" s="55">
        <v>0.12</v>
      </c>
      <c r="L27" s="55">
        <v>0.04</v>
      </c>
      <c r="M27" s="55">
        <v>2.2999999999999998</v>
      </c>
      <c r="N27" s="55">
        <v>5</v>
      </c>
      <c r="O27" s="55">
        <v>0</v>
      </c>
      <c r="P27" s="47" t="s">
        <v>51</v>
      </c>
    </row>
    <row r="28" spans="1:16" ht="18" customHeight="1">
      <c r="A28" s="47"/>
      <c r="B28" s="53" t="s">
        <v>87</v>
      </c>
      <c r="C28" s="54" t="s">
        <v>86</v>
      </c>
      <c r="D28" s="55">
        <v>297</v>
      </c>
      <c r="E28" s="50">
        <v>7.5</v>
      </c>
      <c r="F28" s="55">
        <v>0</v>
      </c>
      <c r="G28" s="50">
        <v>27.9</v>
      </c>
      <c r="H28" s="55">
        <v>35</v>
      </c>
      <c r="I28" s="55">
        <v>0.5</v>
      </c>
      <c r="J28" s="55">
        <v>24</v>
      </c>
      <c r="K28" s="55">
        <v>0.12</v>
      </c>
      <c r="L28" s="55">
        <v>0.04</v>
      </c>
      <c r="M28" s="55">
        <v>2.2999999999999998</v>
      </c>
      <c r="N28" s="55">
        <v>5</v>
      </c>
      <c r="O28" s="55">
        <v>0</v>
      </c>
    </row>
    <row r="29" spans="1:16" ht="18" customHeight="1">
      <c r="A29" s="47" t="s">
        <v>88</v>
      </c>
      <c r="B29" s="53" t="s">
        <v>89</v>
      </c>
      <c r="C29" s="54" t="s">
        <v>90</v>
      </c>
      <c r="D29" s="55">
        <v>376</v>
      </c>
      <c r="E29" s="50">
        <v>8.8000000000000007</v>
      </c>
      <c r="F29" s="55">
        <v>56.5</v>
      </c>
      <c r="G29" s="50">
        <v>13.2</v>
      </c>
      <c r="H29" s="55">
        <v>36</v>
      </c>
      <c r="I29" s="55">
        <v>0.7</v>
      </c>
      <c r="J29" s="55">
        <v>29</v>
      </c>
      <c r="K29" s="55">
        <v>0.14000000000000001</v>
      </c>
      <c r="L29" s="55">
        <v>0.06</v>
      </c>
      <c r="M29" s="55">
        <v>1.3</v>
      </c>
      <c r="N29" s="55">
        <v>0</v>
      </c>
      <c r="O29" s="55">
        <v>0</v>
      </c>
      <c r="P29" s="47" t="s">
        <v>51</v>
      </c>
    </row>
    <row r="30" spans="1:16" ht="18" customHeight="1">
      <c r="A30" s="47" t="s">
        <v>88</v>
      </c>
      <c r="B30" s="53" t="s">
        <v>91</v>
      </c>
      <c r="C30" s="54" t="s">
        <v>92</v>
      </c>
      <c r="D30" s="55">
        <v>323</v>
      </c>
      <c r="E30" s="50">
        <v>6.7</v>
      </c>
      <c r="F30" s="55">
        <v>48.6</v>
      </c>
      <c r="G30" s="50">
        <v>5.0999999999999996</v>
      </c>
      <c r="H30" s="55">
        <v>44</v>
      </c>
      <c r="I30" s="55">
        <v>1.2</v>
      </c>
      <c r="J30" s="55">
        <v>60</v>
      </c>
      <c r="K30" s="55">
        <v>0.05</v>
      </c>
      <c r="L30" s="55">
        <v>0.08</v>
      </c>
      <c r="M30" s="55"/>
      <c r="N30" s="55">
        <v>0</v>
      </c>
      <c r="O30" s="55">
        <v>0</v>
      </c>
      <c r="P30" s="47" t="s">
        <v>51</v>
      </c>
    </row>
    <row r="31" spans="1:16" ht="18" customHeight="1">
      <c r="A31" s="47" t="s">
        <v>88</v>
      </c>
      <c r="B31" s="53" t="s">
        <v>1963</v>
      </c>
      <c r="C31" s="54" t="s">
        <v>92</v>
      </c>
      <c r="D31" s="55">
        <v>150</v>
      </c>
      <c r="E31" s="50">
        <v>6.7</v>
      </c>
      <c r="F31" s="55">
        <v>48.6</v>
      </c>
      <c r="G31" s="50">
        <v>5.0999999999999996</v>
      </c>
      <c r="H31" s="55">
        <v>44</v>
      </c>
      <c r="I31" s="55">
        <v>1.2</v>
      </c>
      <c r="J31" s="55">
        <v>60</v>
      </c>
      <c r="K31" s="55">
        <v>0.05</v>
      </c>
      <c r="L31" s="55">
        <v>0.08</v>
      </c>
      <c r="M31" s="55"/>
      <c r="N31" s="55">
        <v>0</v>
      </c>
      <c r="O31" s="55">
        <v>0</v>
      </c>
      <c r="P31" s="47" t="s">
        <v>51</v>
      </c>
    </row>
    <row r="32" spans="1:16" ht="18" customHeight="1">
      <c r="A32" s="47" t="s">
        <v>88</v>
      </c>
      <c r="B32" s="53" t="s">
        <v>93</v>
      </c>
      <c r="C32" s="54" t="s">
        <v>94</v>
      </c>
      <c r="D32" s="55">
        <v>359</v>
      </c>
      <c r="E32" s="50">
        <v>6.1</v>
      </c>
      <c r="F32" s="55">
        <v>69.599999999999994</v>
      </c>
      <c r="G32" s="50">
        <v>4</v>
      </c>
      <c r="H32" s="55">
        <v>10</v>
      </c>
      <c r="I32" s="55">
        <v>1.7</v>
      </c>
      <c r="J32" s="55">
        <v>0</v>
      </c>
      <c r="K32" s="55">
        <v>0.16</v>
      </c>
      <c r="L32" s="55">
        <v>7.0000000000000007E-2</v>
      </c>
      <c r="M32" s="55">
        <v>2.2000000000000002</v>
      </c>
      <c r="N32" s="55">
        <v>0</v>
      </c>
      <c r="O32" s="55">
        <v>0</v>
      </c>
      <c r="P32" s="47" t="s">
        <v>51</v>
      </c>
    </row>
    <row r="33" spans="1:16" ht="18" customHeight="1">
      <c r="A33" s="47" t="s">
        <v>88</v>
      </c>
      <c r="B33" s="53" t="s">
        <v>95</v>
      </c>
      <c r="C33" s="54" t="s">
        <v>96</v>
      </c>
      <c r="D33" s="55">
        <v>368</v>
      </c>
      <c r="E33" s="50">
        <v>11.7</v>
      </c>
      <c r="F33" s="55">
        <v>72.2</v>
      </c>
      <c r="G33" s="50">
        <v>1</v>
      </c>
      <c r="H33" s="55">
        <v>39</v>
      </c>
      <c r="I33" s="55">
        <v>2.1</v>
      </c>
      <c r="J33" s="55">
        <v>0</v>
      </c>
      <c r="K33" s="55">
        <v>0.17</v>
      </c>
      <c r="L33" s="55">
        <v>0.31</v>
      </c>
      <c r="M33" s="55">
        <v>1.4</v>
      </c>
      <c r="N33" s="55">
        <v>0</v>
      </c>
      <c r="O33" s="55">
        <v>0</v>
      </c>
      <c r="P33" s="47" t="s">
        <v>51</v>
      </c>
    </row>
    <row r="34" spans="1:16" ht="18" customHeight="1">
      <c r="A34" s="47" t="s">
        <v>88</v>
      </c>
      <c r="B34" s="53" t="s">
        <v>97</v>
      </c>
      <c r="C34" s="54" t="s">
        <v>98</v>
      </c>
      <c r="D34" s="55">
        <v>205</v>
      </c>
      <c r="E34" s="50">
        <v>5.7</v>
      </c>
      <c r="F34" s="55">
        <v>47.5</v>
      </c>
      <c r="G34" s="50">
        <v>0.8</v>
      </c>
      <c r="H34" s="55">
        <v>19</v>
      </c>
      <c r="I34" s="55">
        <v>3.3</v>
      </c>
      <c r="J34" s="55">
        <v>0</v>
      </c>
      <c r="K34" s="55">
        <v>0.03</v>
      </c>
      <c r="L34" s="55">
        <v>0.02</v>
      </c>
      <c r="M34" s="55">
        <v>0.7</v>
      </c>
      <c r="N34" s="55">
        <v>0</v>
      </c>
      <c r="O34" s="55">
        <v>0</v>
      </c>
      <c r="P34" s="47" t="s">
        <v>51</v>
      </c>
    </row>
    <row r="35" spans="1:16" ht="18" customHeight="1">
      <c r="A35" s="47" t="s">
        <v>88</v>
      </c>
      <c r="B35" s="53" t="s">
        <v>99</v>
      </c>
      <c r="C35" s="54" t="s">
        <v>98</v>
      </c>
      <c r="D35" s="55">
        <v>236</v>
      </c>
      <c r="E35" s="50">
        <v>4.8</v>
      </c>
      <c r="F35" s="55">
        <v>50.4</v>
      </c>
      <c r="G35" s="50">
        <v>1.4</v>
      </c>
      <c r="H35" s="55">
        <v>15</v>
      </c>
      <c r="I35" s="55">
        <v>0.8</v>
      </c>
      <c r="J35" s="55">
        <v>0</v>
      </c>
      <c r="K35" s="55">
        <v>0.04</v>
      </c>
      <c r="L35" s="55">
        <v>0.01</v>
      </c>
      <c r="M35" s="55">
        <v>0.6</v>
      </c>
      <c r="N35" s="55">
        <v>0</v>
      </c>
      <c r="O35" s="55">
        <v>0</v>
      </c>
      <c r="P35" s="47" t="s">
        <v>51</v>
      </c>
    </row>
    <row r="36" spans="1:16" ht="18" customHeight="1">
      <c r="A36" s="47" t="s">
        <v>88</v>
      </c>
      <c r="B36" s="53" t="s">
        <v>99</v>
      </c>
      <c r="C36" s="54" t="s">
        <v>2053</v>
      </c>
      <c r="D36" s="55">
        <v>236</v>
      </c>
      <c r="E36" s="50">
        <v>4.8</v>
      </c>
      <c r="F36" s="55">
        <v>50.4</v>
      </c>
      <c r="G36" s="50">
        <v>1.4</v>
      </c>
      <c r="H36" s="55">
        <v>15</v>
      </c>
      <c r="I36" s="55">
        <v>0.8</v>
      </c>
      <c r="J36" s="55">
        <v>0</v>
      </c>
      <c r="K36" s="55">
        <v>0.04</v>
      </c>
      <c r="L36" s="55">
        <v>0.01</v>
      </c>
      <c r="M36" s="55">
        <v>0.6</v>
      </c>
      <c r="N36" s="55">
        <v>0</v>
      </c>
      <c r="O36" s="55">
        <v>0</v>
      </c>
      <c r="P36" s="47" t="s">
        <v>51</v>
      </c>
    </row>
    <row r="37" spans="1:16" ht="18" customHeight="1">
      <c r="A37" s="47" t="s">
        <v>88</v>
      </c>
      <c r="B37" s="53" t="s">
        <v>100</v>
      </c>
      <c r="C37" s="54" t="s">
        <v>101</v>
      </c>
      <c r="D37" s="55">
        <v>240</v>
      </c>
      <c r="E37" s="50">
        <v>4.0999999999999996</v>
      </c>
      <c r="F37" s="55">
        <v>43.1</v>
      </c>
      <c r="G37" s="50">
        <v>1.8</v>
      </c>
      <c r="H37" s="55">
        <v>14</v>
      </c>
      <c r="I37" s="55">
        <v>0.8</v>
      </c>
      <c r="J37" s="55">
        <v>2</v>
      </c>
      <c r="K37" s="55">
        <v>0.03</v>
      </c>
      <c r="L37" s="55">
        <v>0.03</v>
      </c>
      <c r="M37" s="55">
        <v>0.6</v>
      </c>
      <c r="N37" s="55">
        <v>0</v>
      </c>
      <c r="O37" s="55">
        <v>0</v>
      </c>
      <c r="P37" s="47" t="s">
        <v>51</v>
      </c>
    </row>
    <row r="38" spans="1:16" ht="18" customHeight="1">
      <c r="A38" s="47" t="s">
        <v>102</v>
      </c>
      <c r="B38" s="53" t="s">
        <v>103</v>
      </c>
      <c r="C38" s="54" t="s">
        <v>103</v>
      </c>
      <c r="D38" s="55">
        <v>378</v>
      </c>
      <c r="E38" s="50">
        <v>6.6</v>
      </c>
      <c r="F38" s="55">
        <v>86</v>
      </c>
      <c r="G38" s="50">
        <v>0.4</v>
      </c>
      <c r="H38" s="55">
        <v>12</v>
      </c>
      <c r="I38" s="55">
        <v>0.8</v>
      </c>
      <c r="J38" s="55">
        <v>0</v>
      </c>
      <c r="K38" s="55">
        <v>0.1</v>
      </c>
      <c r="L38" s="55">
        <v>0.02</v>
      </c>
      <c r="M38" s="55">
        <v>0</v>
      </c>
      <c r="N38" s="55">
        <v>0</v>
      </c>
      <c r="O38" s="55">
        <v>0</v>
      </c>
      <c r="P38" s="47" t="s">
        <v>104</v>
      </c>
    </row>
    <row r="39" spans="1:16" ht="18" customHeight="1">
      <c r="A39" s="47" t="s">
        <v>88</v>
      </c>
      <c r="B39" s="53" t="s">
        <v>105</v>
      </c>
      <c r="C39" s="54" t="s">
        <v>101</v>
      </c>
      <c r="D39" s="55">
        <v>208</v>
      </c>
      <c r="E39" s="50">
        <v>0</v>
      </c>
      <c r="F39" s="55">
        <v>44.8</v>
      </c>
      <c r="G39" s="50">
        <v>0.9</v>
      </c>
      <c r="H39" s="55">
        <v>16</v>
      </c>
      <c r="I39" s="55">
        <v>1.9</v>
      </c>
      <c r="J39" s="55">
        <v>0</v>
      </c>
      <c r="K39" s="55">
        <v>0.06</v>
      </c>
      <c r="L39" s="55">
        <v>0.02</v>
      </c>
      <c r="M39" s="55">
        <v>0.7</v>
      </c>
      <c r="N39" s="55">
        <v>0</v>
      </c>
      <c r="O39" s="55">
        <v>0</v>
      </c>
      <c r="P39" s="47" t="s">
        <v>51</v>
      </c>
    </row>
    <row r="40" spans="1:16" ht="18" customHeight="1">
      <c r="A40" s="47" t="s">
        <v>88</v>
      </c>
      <c r="B40" s="53" t="s">
        <v>106</v>
      </c>
      <c r="C40" s="54" t="s">
        <v>107</v>
      </c>
      <c r="D40" s="55">
        <v>202</v>
      </c>
      <c r="E40" s="50">
        <v>4.4000000000000004</v>
      </c>
      <c r="F40" s="55">
        <v>41.2</v>
      </c>
      <c r="G40" s="50">
        <v>1</v>
      </c>
      <c r="H40" s="55">
        <v>32</v>
      </c>
      <c r="I40" s="55">
        <v>0</v>
      </c>
      <c r="J40" s="55">
        <v>0</v>
      </c>
      <c r="K40" s="55">
        <v>0.08</v>
      </c>
      <c r="L40" s="55">
        <v>0.09</v>
      </c>
      <c r="M40" s="55">
        <v>2.9</v>
      </c>
      <c r="N40" s="55">
        <v>0</v>
      </c>
      <c r="O40" s="55">
        <v>0</v>
      </c>
      <c r="P40" s="47" t="s">
        <v>51</v>
      </c>
    </row>
    <row r="41" spans="1:16" ht="18" customHeight="1">
      <c r="A41" s="47" t="s">
        <v>88</v>
      </c>
      <c r="B41" s="53" t="s">
        <v>108</v>
      </c>
      <c r="C41" s="54" t="s">
        <v>109</v>
      </c>
      <c r="D41" s="55">
        <v>110</v>
      </c>
      <c r="E41" s="50">
        <v>3.5</v>
      </c>
      <c r="F41" s="55">
        <v>47.5</v>
      </c>
      <c r="G41" s="50">
        <v>0.5</v>
      </c>
      <c r="H41" s="55">
        <v>4</v>
      </c>
      <c r="I41" s="55">
        <v>1</v>
      </c>
      <c r="J41" s="55">
        <v>0</v>
      </c>
      <c r="K41" s="55">
        <v>0.02</v>
      </c>
      <c r="L41" s="55">
        <v>0.01</v>
      </c>
      <c r="M41" s="55">
        <v>0.7</v>
      </c>
      <c r="N41" s="55">
        <v>0</v>
      </c>
      <c r="O41" s="55">
        <v>0</v>
      </c>
      <c r="P41" s="47" t="s">
        <v>51</v>
      </c>
    </row>
    <row r="42" spans="1:16" ht="18" customHeight="1">
      <c r="A42" s="47" t="s">
        <v>88</v>
      </c>
      <c r="B42" s="53" t="s">
        <v>1894</v>
      </c>
      <c r="C42" s="54" t="s">
        <v>109</v>
      </c>
      <c r="D42" s="55">
        <v>110</v>
      </c>
      <c r="E42" s="50">
        <v>3.5</v>
      </c>
      <c r="F42" s="55">
        <v>47.5</v>
      </c>
      <c r="G42" s="50">
        <v>0.5</v>
      </c>
      <c r="H42" s="55">
        <v>4</v>
      </c>
      <c r="I42" s="55">
        <v>1</v>
      </c>
      <c r="J42" s="55">
        <v>0</v>
      </c>
      <c r="K42" s="55">
        <v>0.02</v>
      </c>
      <c r="L42" s="55">
        <v>0.01</v>
      </c>
      <c r="M42" s="55">
        <v>0.7</v>
      </c>
      <c r="N42" s="55">
        <v>0</v>
      </c>
      <c r="O42" s="55">
        <v>0</v>
      </c>
      <c r="P42" s="47" t="s">
        <v>51</v>
      </c>
    </row>
    <row r="43" spans="1:16" ht="18" customHeight="1">
      <c r="A43" s="47" t="s">
        <v>88</v>
      </c>
      <c r="B43" s="53" t="s">
        <v>1937</v>
      </c>
      <c r="C43" s="54" t="s">
        <v>109</v>
      </c>
      <c r="D43" s="55">
        <v>110</v>
      </c>
      <c r="E43" s="50">
        <v>3.5</v>
      </c>
      <c r="F43" s="55">
        <v>47.5</v>
      </c>
      <c r="G43" s="50">
        <v>0.5</v>
      </c>
      <c r="H43" s="55">
        <v>4</v>
      </c>
      <c r="I43" s="55">
        <v>1</v>
      </c>
      <c r="J43" s="55">
        <v>0</v>
      </c>
      <c r="K43" s="55">
        <v>0.02</v>
      </c>
      <c r="L43" s="55">
        <v>0.01</v>
      </c>
      <c r="M43" s="55">
        <v>0.7</v>
      </c>
      <c r="N43" s="55">
        <v>0</v>
      </c>
      <c r="O43" s="55">
        <v>0</v>
      </c>
      <c r="P43" s="47" t="s">
        <v>51</v>
      </c>
    </row>
    <row r="44" spans="1:16" ht="18" customHeight="1">
      <c r="A44" s="47"/>
      <c r="B44" s="53" t="s">
        <v>110</v>
      </c>
      <c r="C44" s="54" t="s">
        <v>109</v>
      </c>
      <c r="D44" s="55">
        <v>125</v>
      </c>
      <c r="E44" s="50">
        <v>4.2</v>
      </c>
      <c r="F44" s="55">
        <v>48</v>
      </c>
      <c r="G44" s="50">
        <v>1.1100000000000001</v>
      </c>
      <c r="H44" s="55">
        <v>4.5</v>
      </c>
      <c r="I44" s="55">
        <v>0.9</v>
      </c>
      <c r="J44" s="55">
        <v>0</v>
      </c>
      <c r="K44" s="55">
        <v>0.03</v>
      </c>
      <c r="L44" s="55">
        <v>0.01</v>
      </c>
      <c r="M44" s="55">
        <v>0.8</v>
      </c>
      <c r="N44" s="55">
        <v>0</v>
      </c>
      <c r="O44" s="55">
        <v>0</v>
      </c>
    </row>
    <row r="45" spans="1:16" ht="18" customHeight="1">
      <c r="A45" s="47" t="s">
        <v>88</v>
      </c>
      <c r="B45" s="53" t="s">
        <v>1675</v>
      </c>
      <c r="C45" s="54" t="s">
        <v>109</v>
      </c>
      <c r="D45" s="55">
        <v>105</v>
      </c>
      <c r="E45" s="50">
        <v>3.2</v>
      </c>
      <c r="F45" s="55">
        <v>48</v>
      </c>
      <c r="G45" s="50">
        <v>0.7</v>
      </c>
      <c r="H45" s="55">
        <v>3.5</v>
      </c>
      <c r="I45" s="55">
        <v>0.9</v>
      </c>
      <c r="J45" s="55">
        <v>0</v>
      </c>
      <c r="K45" s="55">
        <v>0.03</v>
      </c>
      <c r="L45" s="55">
        <v>0.01</v>
      </c>
      <c r="M45" s="55">
        <v>0.7</v>
      </c>
      <c r="N45" s="55">
        <v>0</v>
      </c>
      <c r="O45" s="55">
        <v>0</v>
      </c>
      <c r="P45" s="47" t="s">
        <v>59</v>
      </c>
    </row>
    <row r="46" spans="1:16" ht="18" customHeight="1">
      <c r="A46" s="47"/>
      <c r="B46" s="53" t="s">
        <v>2436</v>
      </c>
      <c r="C46" s="54"/>
      <c r="D46" s="55">
        <v>235</v>
      </c>
      <c r="E46" s="50">
        <v>4</v>
      </c>
      <c r="F46" s="55">
        <v>41</v>
      </c>
      <c r="G46" s="50">
        <v>6</v>
      </c>
      <c r="H46" s="55"/>
      <c r="I46" s="55"/>
      <c r="J46" s="55"/>
      <c r="K46" s="55"/>
      <c r="L46" s="55"/>
      <c r="M46" s="55"/>
      <c r="N46" s="55"/>
      <c r="O46" s="55"/>
    </row>
    <row r="47" spans="1:16" ht="18" customHeight="1">
      <c r="A47" s="47" t="s">
        <v>88</v>
      </c>
      <c r="B47" s="53" t="s">
        <v>111</v>
      </c>
      <c r="C47" s="54" t="s">
        <v>109</v>
      </c>
      <c r="D47" s="55">
        <v>105</v>
      </c>
      <c r="E47" s="50">
        <v>3.2</v>
      </c>
      <c r="F47" s="55">
        <v>48</v>
      </c>
      <c r="G47" s="50">
        <v>0.7</v>
      </c>
      <c r="H47" s="55">
        <v>3.5</v>
      </c>
      <c r="I47" s="55">
        <v>0.9</v>
      </c>
      <c r="J47" s="55">
        <v>0</v>
      </c>
      <c r="K47" s="55">
        <v>0.03</v>
      </c>
      <c r="L47" s="55">
        <v>0.01</v>
      </c>
      <c r="M47" s="55">
        <v>0.7</v>
      </c>
      <c r="N47" s="55">
        <v>0</v>
      </c>
      <c r="O47" s="55">
        <v>0</v>
      </c>
      <c r="P47" s="47" t="s">
        <v>59</v>
      </c>
    </row>
    <row r="48" spans="1:16" ht="18" customHeight="1">
      <c r="A48" s="47" t="s">
        <v>88</v>
      </c>
      <c r="B48" s="53" t="s">
        <v>112</v>
      </c>
      <c r="C48" s="54" t="s">
        <v>113</v>
      </c>
      <c r="D48" s="55">
        <v>234</v>
      </c>
      <c r="E48" s="50">
        <v>3.5</v>
      </c>
      <c r="F48" s="55">
        <v>52</v>
      </c>
      <c r="G48" s="50">
        <v>0.8</v>
      </c>
      <c r="H48" s="55">
        <v>6</v>
      </c>
      <c r="I48" s="55">
        <v>0.5</v>
      </c>
      <c r="J48" s="55">
        <v>0</v>
      </c>
      <c r="K48" s="55">
        <v>0.01</v>
      </c>
      <c r="L48" s="55">
        <v>0.01</v>
      </c>
      <c r="M48" s="55">
        <v>0.7</v>
      </c>
      <c r="N48" s="55">
        <v>0</v>
      </c>
      <c r="O48" s="55">
        <v>0</v>
      </c>
      <c r="P48" s="47" t="s">
        <v>51</v>
      </c>
    </row>
    <row r="49" spans="1:16" ht="18" customHeight="1">
      <c r="A49" s="47" t="s">
        <v>88</v>
      </c>
      <c r="B49" s="53" t="s">
        <v>114</v>
      </c>
      <c r="C49" s="54" t="s">
        <v>115</v>
      </c>
      <c r="D49" s="55">
        <v>452</v>
      </c>
      <c r="E49" s="50">
        <v>4.2</v>
      </c>
      <c r="F49" s="55">
        <v>71.7</v>
      </c>
      <c r="G49" s="50">
        <v>20.6</v>
      </c>
      <c r="H49" s="55">
        <v>13</v>
      </c>
      <c r="I49" s="55">
        <v>0.9</v>
      </c>
      <c r="J49" s="55">
        <v>0</v>
      </c>
      <c r="K49" s="55">
        <v>0.09</v>
      </c>
      <c r="L49" s="55">
        <v>0.01</v>
      </c>
      <c r="M49" s="55">
        <v>0.4</v>
      </c>
      <c r="N49" s="55">
        <v>0</v>
      </c>
      <c r="O49" s="55">
        <v>0</v>
      </c>
      <c r="P49" s="47" t="s">
        <v>51</v>
      </c>
    </row>
    <row r="50" spans="1:16" ht="18" customHeight="1">
      <c r="A50" s="47" t="s">
        <v>88</v>
      </c>
      <c r="B50" s="53" t="s">
        <v>116</v>
      </c>
      <c r="C50" s="54" t="s">
        <v>117</v>
      </c>
      <c r="D50" s="55">
        <v>220</v>
      </c>
      <c r="E50" s="50">
        <v>4.4000000000000004</v>
      </c>
      <c r="F50" s="55">
        <v>43.8</v>
      </c>
      <c r="G50" s="50">
        <v>0.8</v>
      </c>
      <c r="H50" s="55">
        <v>15</v>
      </c>
      <c r="I50" s="55">
        <v>0.5</v>
      </c>
      <c r="J50" s="55">
        <v>0</v>
      </c>
      <c r="K50" s="55">
        <v>0.03</v>
      </c>
      <c r="L50" s="55">
        <v>0.01</v>
      </c>
      <c r="M50" s="55">
        <v>0.8</v>
      </c>
      <c r="N50" s="55">
        <v>0</v>
      </c>
      <c r="O50" s="55">
        <v>0</v>
      </c>
      <c r="P50" s="47" t="s">
        <v>51</v>
      </c>
    </row>
    <row r="51" spans="1:16" ht="18" customHeight="1">
      <c r="A51" s="47" t="s">
        <v>88</v>
      </c>
      <c r="B51" s="53" t="s">
        <v>118</v>
      </c>
      <c r="C51" s="54" t="s">
        <v>119</v>
      </c>
      <c r="D51" s="55">
        <v>177</v>
      </c>
      <c r="E51" s="50">
        <v>3.9</v>
      </c>
      <c r="F51" s="55">
        <v>38</v>
      </c>
      <c r="G51" s="50">
        <v>0.9</v>
      </c>
      <c r="H51" s="55">
        <v>6</v>
      </c>
      <c r="I51" s="55">
        <v>0.5</v>
      </c>
      <c r="J51" s="55">
        <v>0</v>
      </c>
      <c r="K51" s="55">
        <v>0.06</v>
      </c>
      <c r="L51" s="55">
        <v>0.03</v>
      </c>
      <c r="M51" s="55">
        <v>0.6</v>
      </c>
      <c r="N51" s="55">
        <v>0</v>
      </c>
      <c r="O51" s="55">
        <v>0</v>
      </c>
      <c r="P51" s="47" t="s">
        <v>51</v>
      </c>
    </row>
    <row r="52" spans="1:16" ht="18" customHeight="1">
      <c r="A52" s="47" t="s">
        <v>88</v>
      </c>
      <c r="B52" s="53" t="s">
        <v>120</v>
      </c>
      <c r="C52" s="54" t="s">
        <v>121</v>
      </c>
      <c r="D52" s="55">
        <v>259</v>
      </c>
      <c r="E52" s="50">
        <v>3.5</v>
      </c>
      <c r="F52" s="55">
        <v>54.2</v>
      </c>
      <c r="G52" s="50">
        <v>2.8</v>
      </c>
      <c r="H52" s="55">
        <v>13</v>
      </c>
      <c r="I52" s="55">
        <v>0.5</v>
      </c>
      <c r="J52" s="55">
        <v>0</v>
      </c>
      <c r="K52" s="55">
        <v>0.06</v>
      </c>
      <c r="L52" s="55">
        <v>0.01</v>
      </c>
      <c r="M52" s="55">
        <v>0.5</v>
      </c>
      <c r="N52" s="55">
        <v>0</v>
      </c>
      <c r="O52" s="55">
        <v>0</v>
      </c>
      <c r="P52" s="47" t="s">
        <v>51</v>
      </c>
    </row>
    <row r="53" spans="1:16" ht="18" customHeight="1">
      <c r="A53" s="47" t="s">
        <v>88</v>
      </c>
      <c r="B53" s="53" t="s">
        <v>122</v>
      </c>
      <c r="C53" s="54" t="s">
        <v>123</v>
      </c>
      <c r="D53" s="55">
        <v>214</v>
      </c>
      <c r="E53" s="50">
        <v>6</v>
      </c>
      <c r="F53" s="55">
        <v>43.6</v>
      </c>
      <c r="G53" s="50">
        <v>0.3</v>
      </c>
      <c r="H53" s="55">
        <v>31</v>
      </c>
      <c r="I53" s="55">
        <v>0</v>
      </c>
      <c r="J53" s="55">
        <v>0</v>
      </c>
      <c r="K53" s="55">
        <v>7.0000000000000007E-2</v>
      </c>
      <c r="L53" s="55">
        <v>0.09</v>
      </c>
      <c r="M53" s="55">
        <v>3.6</v>
      </c>
      <c r="N53" s="55">
        <v>0</v>
      </c>
      <c r="O53" s="55">
        <v>0</v>
      </c>
      <c r="P53" s="47" t="s">
        <v>51</v>
      </c>
    </row>
    <row r="54" spans="1:16" ht="18" customHeight="1">
      <c r="A54" s="47" t="s">
        <v>88</v>
      </c>
      <c r="B54" s="53" t="s">
        <v>124</v>
      </c>
      <c r="C54" s="54" t="s">
        <v>125</v>
      </c>
      <c r="D54" s="55">
        <v>212</v>
      </c>
      <c r="E54" s="50">
        <v>3.5</v>
      </c>
      <c r="F54" s="55">
        <v>45.6</v>
      </c>
      <c r="G54" s="50">
        <v>1.4</v>
      </c>
      <c r="H54" s="55">
        <v>19</v>
      </c>
      <c r="I54" s="55">
        <v>1.1000000000000001</v>
      </c>
      <c r="J54" s="55">
        <v>0</v>
      </c>
      <c r="K54" s="55">
        <v>0.04</v>
      </c>
      <c r="L54" s="55">
        <v>0.01</v>
      </c>
      <c r="M54" s="55">
        <v>0.4</v>
      </c>
      <c r="N54" s="55">
        <v>0</v>
      </c>
      <c r="O54" s="55">
        <v>0</v>
      </c>
      <c r="P54" s="47" t="s">
        <v>51</v>
      </c>
    </row>
    <row r="55" spans="1:16" ht="18" customHeight="1">
      <c r="A55" s="47"/>
      <c r="B55" s="53" t="s">
        <v>126</v>
      </c>
      <c r="C55" s="54"/>
      <c r="D55" s="55">
        <v>295</v>
      </c>
      <c r="E55" s="50">
        <v>8.3000000000000007</v>
      </c>
      <c r="F55" s="55">
        <v>71.2</v>
      </c>
      <c r="G55" s="50">
        <v>12</v>
      </c>
      <c r="H55" s="55">
        <v>105</v>
      </c>
      <c r="I55" s="55">
        <v>0.7</v>
      </c>
      <c r="J55" s="55">
        <v>69</v>
      </c>
      <c r="K55" s="55">
        <v>0.55000000000000004</v>
      </c>
      <c r="L55" s="55">
        <v>0.38</v>
      </c>
      <c r="M55" s="55">
        <v>0.9</v>
      </c>
      <c r="N55" s="55">
        <v>0</v>
      </c>
      <c r="O55" s="55">
        <v>0</v>
      </c>
    </row>
    <row r="56" spans="1:16" ht="18" customHeight="1">
      <c r="A56" s="47"/>
      <c r="B56" s="53" t="s">
        <v>1807</v>
      </c>
      <c r="C56" s="54"/>
      <c r="D56" s="55">
        <v>295</v>
      </c>
      <c r="E56" s="50">
        <v>8.3000000000000007</v>
      </c>
      <c r="F56" s="55">
        <v>71.2</v>
      </c>
      <c r="G56" s="50">
        <v>12</v>
      </c>
      <c r="H56" s="55">
        <v>105</v>
      </c>
      <c r="I56" s="55">
        <v>0.7</v>
      </c>
      <c r="J56" s="55">
        <v>69</v>
      </c>
      <c r="K56" s="55">
        <v>0.55000000000000004</v>
      </c>
      <c r="L56" s="55">
        <v>0.38</v>
      </c>
      <c r="M56" s="55">
        <v>0.9</v>
      </c>
      <c r="N56" s="55">
        <v>0</v>
      </c>
      <c r="O56" s="55">
        <v>0</v>
      </c>
    </row>
    <row r="57" spans="1:16" ht="18" customHeight="1">
      <c r="A57" s="47" t="s">
        <v>88</v>
      </c>
      <c r="B57" s="53" t="s">
        <v>127</v>
      </c>
      <c r="C57" s="54" t="s">
        <v>128</v>
      </c>
      <c r="D57" s="55">
        <v>421</v>
      </c>
      <c r="E57" s="50">
        <v>8.3000000000000007</v>
      </c>
      <c r="F57" s="55">
        <v>71.2</v>
      </c>
      <c r="G57" s="50">
        <v>14.1</v>
      </c>
      <c r="H57" s="55">
        <v>105</v>
      </c>
      <c r="I57" s="55">
        <v>0.7</v>
      </c>
      <c r="J57" s="55">
        <v>69</v>
      </c>
      <c r="K57" s="55">
        <v>0.55000000000000004</v>
      </c>
      <c r="L57" s="55">
        <v>0.38</v>
      </c>
      <c r="M57" s="55">
        <v>0.9</v>
      </c>
      <c r="N57" s="55">
        <v>0</v>
      </c>
      <c r="O57" s="55">
        <v>0</v>
      </c>
      <c r="P57" s="47" t="s">
        <v>51</v>
      </c>
    </row>
    <row r="58" spans="1:16" ht="18" customHeight="1">
      <c r="A58" s="47" t="s">
        <v>88</v>
      </c>
      <c r="B58" s="53" t="s">
        <v>129</v>
      </c>
      <c r="C58" s="54" t="s">
        <v>130</v>
      </c>
      <c r="D58" s="55">
        <v>365</v>
      </c>
      <c r="E58" s="50">
        <v>7.5</v>
      </c>
      <c r="F58" s="55">
        <v>48.1</v>
      </c>
      <c r="G58" s="50">
        <v>16.5</v>
      </c>
      <c r="H58" s="55">
        <v>40</v>
      </c>
      <c r="I58" s="55">
        <v>1</v>
      </c>
      <c r="J58" s="55">
        <v>130</v>
      </c>
      <c r="K58" s="55">
        <v>0.08</v>
      </c>
      <c r="L58" s="55">
        <v>0.12</v>
      </c>
      <c r="M58" s="55">
        <v>0.2</v>
      </c>
      <c r="N58" s="55">
        <v>0</v>
      </c>
      <c r="O58" s="55">
        <v>0</v>
      </c>
      <c r="P58" s="47" t="s">
        <v>51</v>
      </c>
    </row>
    <row r="59" spans="1:16" ht="18" customHeight="1">
      <c r="A59" s="47" t="s">
        <v>88</v>
      </c>
      <c r="B59" s="53" t="s">
        <v>1668</v>
      </c>
      <c r="C59" s="54" t="s">
        <v>132</v>
      </c>
      <c r="D59" s="55">
        <v>336</v>
      </c>
      <c r="E59" s="50">
        <v>11.2</v>
      </c>
      <c r="F59" s="55">
        <v>77.099999999999994</v>
      </c>
      <c r="G59" s="50">
        <v>1.9</v>
      </c>
      <c r="H59" s="55">
        <v>23</v>
      </c>
      <c r="I59" s="55">
        <v>1.5</v>
      </c>
      <c r="J59" s="55">
        <v>0</v>
      </c>
      <c r="K59" s="55">
        <v>0.2</v>
      </c>
      <c r="L59" s="55">
        <v>0.04</v>
      </c>
      <c r="M59" s="55">
        <v>1.7</v>
      </c>
      <c r="N59" s="55">
        <v>0</v>
      </c>
      <c r="O59" s="55">
        <v>0</v>
      </c>
      <c r="P59" s="47" t="s">
        <v>51</v>
      </c>
    </row>
    <row r="60" spans="1:16" ht="18" customHeight="1">
      <c r="A60" s="47" t="s">
        <v>88</v>
      </c>
      <c r="B60" s="53" t="s">
        <v>131</v>
      </c>
      <c r="C60" s="54" t="s">
        <v>132</v>
      </c>
      <c r="D60" s="55">
        <v>336</v>
      </c>
      <c r="E60" s="50">
        <v>11.2</v>
      </c>
      <c r="F60" s="55">
        <v>77.099999999999994</v>
      </c>
      <c r="G60" s="50">
        <v>1.9</v>
      </c>
      <c r="H60" s="55">
        <v>23</v>
      </c>
      <c r="I60" s="55">
        <v>1.5</v>
      </c>
      <c r="J60" s="55">
        <v>0</v>
      </c>
      <c r="K60" s="55">
        <v>0.2</v>
      </c>
      <c r="L60" s="55">
        <v>0.04</v>
      </c>
      <c r="M60" s="55">
        <v>1.7</v>
      </c>
      <c r="N60" s="55">
        <v>0</v>
      </c>
      <c r="O60" s="55">
        <v>0</v>
      </c>
      <c r="P60" s="47" t="s">
        <v>51</v>
      </c>
    </row>
    <row r="61" spans="1:16" ht="18" customHeight="1">
      <c r="A61" s="47"/>
      <c r="B61" s="53" t="s">
        <v>133</v>
      </c>
      <c r="C61" s="54"/>
      <c r="D61" s="55">
        <v>305</v>
      </c>
      <c r="E61" s="50">
        <v>8.1999999999999993</v>
      </c>
      <c r="F61" s="55">
        <v>74.599999999999994</v>
      </c>
      <c r="G61" s="50">
        <v>0.9</v>
      </c>
      <c r="H61" s="55">
        <v>20</v>
      </c>
      <c r="I61" s="55">
        <v>1.5</v>
      </c>
      <c r="J61" s="55">
        <v>0</v>
      </c>
      <c r="K61" s="55">
        <v>0.2</v>
      </c>
      <c r="L61" s="55">
        <v>0.04</v>
      </c>
      <c r="M61" s="55">
        <v>1.7</v>
      </c>
      <c r="N61" s="55">
        <v>0</v>
      </c>
      <c r="O61" s="55">
        <v>0</v>
      </c>
    </row>
    <row r="62" spans="1:16" ht="18" customHeight="1">
      <c r="A62" s="47" t="s">
        <v>88</v>
      </c>
      <c r="B62" s="53" t="s">
        <v>134</v>
      </c>
      <c r="C62" s="54" t="s">
        <v>132</v>
      </c>
      <c r="D62" s="55">
        <v>328</v>
      </c>
      <c r="E62" s="50">
        <v>10.199999999999999</v>
      </c>
      <c r="F62" s="55">
        <v>66.7</v>
      </c>
      <c r="G62" s="50">
        <v>1.5</v>
      </c>
      <c r="H62" s="55">
        <v>169</v>
      </c>
      <c r="I62" s="55">
        <v>3</v>
      </c>
      <c r="J62" s="55">
        <v>0</v>
      </c>
      <c r="K62" s="55">
        <v>0.26</v>
      </c>
      <c r="L62" s="55">
        <v>0.08</v>
      </c>
      <c r="M62" s="55">
        <v>1.2</v>
      </c>
      <c r="N62" s="55">
        <v>0</v>
      </c>
      <c r="O62" s="55">
        <v>0</v>
      </c>
      <c r="P62" s="47" t="s">
        <v>51</v>
      </c>
    </row>
    <row r="63" spans="1:16" ht="18" customHeight="1">
      <c r="A63" s="47" t="s">
        <v>135</v>
      </c>
      <c r="B63" s="48" t="s">
        <v>136</v>
      </c>
      <c r="C63" s="54" t="s">
        <v>137</v>
      </c>
      <c r="D63" s="55">
        <v>480</v>
      </c>
      <c r="E63" s="55">
        <v>42.3</v>
      </c>
      <c r="F63" s="55">
        <v>35</v>
      </c>
      <c r="G63" s="55">
        <v>4.7</v>
      </c>
      <c r="H63" s="55">
        <v>300</v>
      </c>
      <c r="I63" s="55">
        <v>10.6</v>
      </c>
      <c r="J63" s="55">
        <v>2431</v>
      </c>
      <c r="K63" s="55">
        <v>0.79</v>
      </c>
      <c r="L63" s="55">
        <v>3.62</v>
      </c>
      <c r="M63" s="55">
        <v>11.3</v>
      </c>
      <c r="N63" s="55">
        <v>157</v>
      </c>
      <c r="O63" s="55">
        <v>0</v>
      </c>
      <c r="P63" s="47" t="s">
        <v>51</v>
      </c>
    </row>
    <row r="64" spans="1:16" ht="18" customHeight="1">
      <c r="A64" s="47" t="s">
        <v>135</v>
      </c>
      <c r="B64" s="48" t="s">
        <v>1889</v>
      </c>
      <c r="C64" s="54" t="s">
        <v>137</v>
      </c>
      <c r="D64" s="55">
        <v>480</v>
      </c>
      <c r="E64" s="55">
        <v>42.3</v>
      </c>
      <c r="F64" s="55">
        <v>35</v>
      </c>
      <c r="G64" s="55">
        <v>4.7</v>
      </c>
      <c r="H64" s="55">
        <v>300</v>
      </c>
      <c r="I64" s="55">
        <v>10.6</v>
      </c>
      <c r="J64" s="55">
        <v>2431</v>
      </c>
      <c r="K64" s="55">
        <v>0.79</v>
      </c>
      <c r="L64" s="55">
        <v>3.62</v>
      </c>
      <c r="M64" s="55">
        <v>11.3</v>
      </c>
      <c r="N64" s="55">
        <v>157</v>
      </c>
      <c r="O64" s="55">
        <v>0</v>
      </c>
      <c r="P64" s="47" t="s">
        <v>51</v>
      </c>
    </row>
    <row r="65" spans="1:16" ht="18" customHeight="1">
      <c r="A65" s="47"/>
      <c r="B65" s="53" t="s">
        <v>138</v>
      </c>
      <c r="C65" s="54" t="s">
        <v>139</v>
      </c>
      <c r="D65" s="55">
        <v>300</v>
      </c>
      <c r="E65" s="50">
        <v>9.1999999999999993</v>
      </c>
      <c r="F65" s="55">
        <v>78.5</v>
      </c>
      <c r="G65" s="50">
        <v>1.3</v>
      </c>
      <c r="H65" s="55">
        <v>6</v>
      </c>
      <c r="I65" s="55">
        <v>0.5</v>
      </c>
      <c r="J65" s="55">
        <v>0</v>
      </c>
      <c r="K65" s="55">
        <v>0.12</v>
      </c>
      <c r="L65" s="55">
        <v>0.03</v>
      </c>
      <c r="M65" s="55">
        <v>1.4</v>
      </c>
      <c r="N65" s="55">
        <v>0</v>
      </c>
      <c r="O65" s="55">
        <v>0</v>
      </c>
    </row>
    <row r="66" spans="1:16" ht="18" customHeight="1">
      <c r="A66" s="47" t="s">
        <v>88</v>
      </c>
      <c r="B66" s="53" t="s">
        <v>140</v>
      </c>
      <c r="C66" s="54" t="s">
        <v>139</v>
      </c>
      <c r="D66" s="55">
        <v>240</v>
      </c>
      <c r="E66" s="50">
        <v>6.4</v>
      </c>
      <c r="F66" s="55">
        <v>78.5</v>
      </c>
      <c r="G66" s="50">
        <v>0.4</v>
      </c>
      <c r="H66" s="55">
        <v>7</v>
      </c>
      <c r="I66" s="55">
        <v>0.5</v>
      </c>
      <c r="J66" s="55">
        <v>0</v>
      </c>
      <c r="K66" s="55">
        <v>0.12</v>
      </c>
      <c r="L66" s="55">
        <v>0</v>
      </c>
      <c r="M66" s="55">
        <v>1.4</v>
      </c>
      <c r="N66" s="55">
        <v>0</v>
      </c>
      <c r="O66" s="55">
        <v>0</v>
      </c>
      <c r="P66" s="47" t="s">
        <v>51</v>
      </c>
    </row>
    <row r="67" spans="1:16" ht="18" customHeight="1">
      <c r="A67" s="47"/>
      <c r="B67" s="53" t="s">
        <v>1710</v>
      </c>
      <c r="C67" s="54"/>
      <c r="D67" s="55">
        <v>356</v>
      </c>
      <c r="E67" s="50">
        <v>9.1999999999999993</v>
      </c>
      <c r="F67" s="55">
        <v>80</v>
      </c>
      <c r="G67" s="50">
        <v>3.2</v>
      </c>
      <c r="H67" s="55">
        <v>6</v>
      </c>
      <c r="I67" s="55">
        <v>0.5</v>
      </c>
      <c r="J67" s="55">
        <v>0</v>
      </c>
      <c r="K67" s="55">
        <v>0.12</v>
      </c>
      <c r="L67" s="55">
        <v>0.03</v>
      </c>
      <c r="M67" s="55">
        <v>1.4</v>
      </c>
      <c r="N67" s="55">
        <v>0</v>
      </c>
      <c r="O67" s="55">
        <v>0</v>
      </c>
    </row>
    <row r="68" spans="1:16" ht="18" customHeight="1">
      <c r="A68" s="47"/>
      <c r="B68" s="53" t="s">
        <v>141</v>
      </c>
      <c r="C68" s="54"/>
      <c r="D68" s="55">
        <v>356</v>
      </c>
      <c r="E68" s="50">
        <v>9.1999999999999993</v>
      </c>
      <c r="F68" s="55">
        <v>80</v>
      </c>
      <c r="G68" s="50">
        <v>3.2</v>
      </c>
      <c r="H68" s="55">
        <v>6</v>
      </c>
      <c r="I68" s="55">
        <v>0.5</v>
      </c>
      <c r="J68" s="55">
        <v>0</v>
      </c>
      <c r="K68" s="55">
        <v>0.12</v>
      </c>
      <c r="L68" s="55">
        <v>0.03</v>
      </c>
      <c r="M68" s="55">
        <v>1.4</v>
      </c>
      <c r="N68" s="55">
        <v>0</v>
      </c>
      <c r="O68" s="55">
        <v>0</v>
      </c>
    </row>
    <row r="69" spans="1:16" ht="18" customHeight="1">
      <c r="A69" s="47" t="s">
        <v>88</v>
      </c>
      <c r="B69" s="53" t="s">
        <v>142</v>
      </c>
      <c r="C69" s="54" t="s">
        <v>139</v>
      </c>
      <c r="D69" s="55">
        <v>356</v>
      </c>
      <c r="E69" s="50">
        <v>9.1999999999999993</v>
      </c>
      <c r="F69" s="55">
        <v>86.8</v>
      </c>
      <c r="G69" s="50">
        <v>0.2</v>
      </c>
      <c r="H69" s="55">
        <v>6</v>
      </c>
      <c r="I69" s="55">
        <v>0.5</v>
      </c>
      <c r="J69" s="55">
        <v>0</v>
      </c>
      <c r="K69" s="55">
        <v>0.12</v>
      </c>
      <c r="L69" s="55">
        <v>0.03</v>
      </c>
      <c r="M69" s="55">
        <v>1.4</v>
      </c>
      <c r="N69" s="55">
        <v>0</v>
      </c>
      <c r="O69" s="55">
        <v>0</v>
      </c>
      <c r="P69" s="47" t="s">
        <v>51</v>
      </c>
    </row>
    <row r="70" spans="1:16" ht="18" customHeight="1">
      <c r="A70" s="47" t="s">
        <v>88</v>
      </c>
      <c r="B70" s="53" t="s">
        <v>143</v>
      </c>
      <c r="C70" s="54" t="s">
        <v>144</v>
      </c>
      <c r="D70" s="55">
        <v>339</v>
      </c>
      <c r="E70" s="50">
        <v>11.4</v>
      </c>
      <c r="F70" s="55">
        <v>74.599999999999994</v>
      </c>
      <c r="G70" s="50">
        <v>2</v>
      </c>
      <c r="H70" s="55">
        <v>21</v>
      </c>
      <c r="I70" s="55">
        <v>1.3</v>
      </c>
      <c r="J70" s="55">
        <v>0</v>
      </c>
      <c r="K70" s="55">
        <v>0.19</v>
      </c>
      <c r="L70" s="55">
        <v>0.03</v>
      </c>
      <c r="M70" s="55">
        <v>1.8</v>
      </c>
      <c r="N70" s="55">
        <v>0</v>
      </c>
      <c r="O70" s="55">
        <v>0</v>
      </c>
      <c r="P70" s="47" t="s">
        <v>51</v>
      </c>
    </row>
    <row r="71" spans="1:16" ht="18" customHeight="1">
      <c r="A71" s="47" t="s">
        <v>88</v>
      </c>
      <c r="B71" s="53" t="s">
        <v>145</v>
      </c>
      <c r="C71" s="54" t="s">
        <v>146</v>
      </c>
      <c r="D71" s="55">
        <v>318</v>
      </c>
      <c r="E71" s="50">
        <v>10.199999999999999</v>
      </c>
      <c r="F71" s="55">
        <v>67</v>
      </c>
      <c r="G71" s="50">
        <v>1.4</v>
      </c>
      <c r="H71" s="55">
        <v>169</v>
      </c>
      <c r="I71" s="55">
        <v>3</v>
      </c>
      <c r="J71" s="55">
        <v>0</v>
      </c>
      <c r="K71" s="55">
        <v>0.26</v>
      </c>
      <c r="L71" s="55">
        <v>0.08</v>
      </c>
      <c r="M71" s="55">
        <v>1.2</v>
      </c>
      <c r="N71" s="55">
        <v>0</v>
      </c>
      <c r="O71" s="55">
        <v>0</v>
      </c>
      <c r="P71" s="47" t="s">
        <v>147</v>
      </c>
    </row>
    <row r="72" spans="1:16" ht="18" customHeight="1">
      <c r="A72" s="47" t="s">
        <v>88</v>
      </c>
      <c r="B72" s="53" t="s">
        <v>148</v>
      </c>
      <c r="C72" s="54" t="s">
        <v>149</v>
      </c>
      <c r="D72" s="55">
        <v>240</v>
      </c>
      <c r="E72" s="50">
        <v>6.6</v>
      </c>
      <c r="F72" s="55">
        <v>56.1</v>
      </c>
      <c r="G72" s="50">
        <v>0.8</v>
      </c>
      <c r="H72" s="55">
        <v>37.1</v>
      </c>
      <c r="I72" s="55">
        <v>1.82</v>
      </c>
      <c r="J72" s="55">
        <v>0</v>
      </c>
      <c r="K72" s="55">
        <v>0.22</v>
      </c>
      <c r="L72" s="55">
        <v>0.03</v>
      </c>
      <c r="M72" s="55">
        <v>2.2999999999999998</v>
      </c>
      <c r="N72" s="55">
        <v>0</v>
      </c>
      <c r="O72" s="55">
        <v>0</v>
      </c>
      <c r="P72" s="47" t="s">
        <v>147</v>
      </c>
    </row>
    <row r="73" spans="1:16" ht="18" customHeight="1">
      <c r="A73" s="47"/>
      <c r="B73" s="53" t="s">
        <v>9</v>
      </c>
      <c r="C73" s="54" t="s">
        <v>150</v>
      </c>
      <c r="D73" s="55">
        <v>101</v>
      </c>
      <c r="E73" s="50">
        <v>6.8</v>
      </c>
      <c r="F73" s="55">
        <v>55</v>
      </c>
      <c r="G73" s="50">
        <v>1.3</v>
      </c>
      <c r="H73" s="55">
        <v>15</v>
      </c>
      <c r="I73" s="55">
        <v>0.5</v>
      </c>
      <c r="J73" s="55">
        <v>0</v>
      </c>
      <c r="K73" s="55">
        <v>0.09</v>
      </c>
      <c r="L73" s="55">
        <v>0.03</v>
      </c>
      <c r="M73" s="55">
        <v>0.5</v>
      </c>
      <c r="N73" s="55">
        <v>0</v>
      </c>
      <c r="O73" s="55">
        <v>0</v>
      </c>
    </row>
    <row r="74" spans="1:16" ht="18" customHeight="1">
      <c r="A74" s="47" t="s">
        <v>88</v>
      </c>
      <c r="B74" s="53" t="s">
        <v>151</v>
      </c>
      <c r="C74" s="54" t="s">
        <v>150</v>
      </c>
      <c r="D74" s="55">
        <v>280</v>
      </c>
      <c r="E74" s="50">
        <v>6.8</v>
      </c>
      <c r="F74" s="55">
        <v>55</v>
      </c>
      <c r="G74" s="50">
        <v>1.3</v>
      </c>
      <c r="H74" s="55">
        <v>15</v>
      </c>
      <c r="I74" s="55">
        <v>0.5</v>
      </c>
      <c r="J74" s="55">
        <v>0</v>
      </c>
      <c r="K74" s="55">
        <v>0.09</v>
      </c>
      <c r="L74" s="55">
        <v>0.03</v>
      </c>
      <c r="M74" s="55">
        <v>0.5</v>
      </c>
      <c r="N74" s="55">
        <v>0</v>
      </c>
      <c r="O74" s="55">
        <v>0</v>
      </c>
      <c r="P74" s="47" t="s">
        <v>51</v>
      </c>
    </row>
    <row r="75" spans="1:16" ht="18" customHeight="1">
      <c r="A75" s="47" t="s">
        <v>88</v>
      </c>
      <c r="B75" s="53" t="s">
        <v>152</v>
      </c>
      <c r="C75" s="54" t="s">
        <v>153</v>
      </c>
      <c r="D75" s="55">
        <v>341</v>
      </c>
      <c r="E75" s="50">
        <v>10.5</v>
      </c>
      <c r="F75" s="55">
        <v>66.7</v>
      </c>
      <c r="G75" s="50">
        <v>1.6</v>
      </c>
      <c r="H75" s="55">
        <v>2</v>
      </c>
      <c r="I75" s="55">
        <v>2.1</v>
      </c>
      <c r="J75" s="55">
        <v>0</v>
      </c>
      <c r="K75" s="55">
        <v>0.01</v>
      </c>
      <c r="L75" s="55">
        <v>0.01</v>
      </c>
      <c r="M75" s="55">
        <v>1.4</v>
      </c>
      <c r="N75" s="55">
        <v>0</v>
      </c>
      <c r="O75" s="55">
        <v>0</v>
      </c>
      <c r="P75" s="47" t="s">
        <v>51</v>
      </c>
    </row>
    <row r="76" spans="1:16" ht="18" customHeight="1">
      <c r="A76" s="47" t="s">
        <v>88</v>
      </c>
      <c r="B76" s="53" t="s">
        <v>154</v>
      </c>
      <c r="C76" s="54" t="s">
        <v>153</v>
      </c>
      <c r="D76" s="55">
        <v>382</v>
      </c>
      <c r="E76" s="50">
        <v>9</v>
      </c>
      <c r="F76" s="55">
        <v>55</v>
      </c>
      <c r="G76" s="50">
        <v>5.6</v>
      </c>
      <c r="H76" s="55">
        <v>19</v>
      </c>
      <c r="I76" s="55">
        <v>2</v>
      </c>
      <c r="J76" s="55">
        <v>1</v>
      </c>
      <c r="K76" s="55">
        <v>0.13</v>
      </c>
      <c r="L76" s="55">
        <v>0.03</v>
      </c>
      <c r="M76" s="55">
        <v>1</v>
      </c>
      <c r="N76" s="55">
        <v>0</v>
      </c>
      <c r="O76" s="55">
        <v>0</v>
      </c>
      <c r="P76" s="47" t="s">
        <v>51</v>
      </c>
    </row>
    <row r="77" spans="1:16" ht="18" customHeight="1">
      <c r="A77" s="47" t="s">
        <v>88</v>
      </c>
      <c r="B77" s="53" t="s">
        <v>155</v>
      </c>
      <c r="C77" s="54" t="s">
        <v>156</v>
      </c>
      <c r="D77" s="55">
        <v>132</v>
      </c>
      <c r="E77" s="50">
        <v>3.5</v>
      </c>
      <c r="F77" s="55">
        <v>74</v>
      </c>
      <c r="G77" s="50">
        <v>1.4</v>
      </c>
      <c r="H77" s="55">
        <v>7</v>
      </c>
      <c r="I77" s="55">
        <v>1.2</v>
      </c>
      <c r="J77" s="55">
        <v>0</v>
      </c>
      <c r="K77" s="55">
        <v>0.05</v>
      </c>
      <c r="L77" s="55">
        <v>0.01</v>
      </c>
      <c r="M77" s="55">
        <v>0.3</v>
      </c>
      <c r="N77" s="55">
        <v>0</v>
      </c>
      <c r="O77" s="55">
        <v>0</v>
      </c>
      <c r="P77" s="47" t="s">
        <v>51</v>
      </c>
    </row>
    <row r="78" spans="1:16" ht="18" customHeight="1">
      <c r="A78" s="47" t="s">
        <v>88</v>
      </c>
      <c r="B78" s="53" t="s">
        <v>157</v>
      </c>
      <c r="C78" s="54" t="s">
        <v>158</v>
      </c>
      <c r="D78" s="55">
        <v>354</v>
      </c>
      <c r="E78" s="50">
        <v>10.199999999999999</v>
      </c>
      <c r="F78" s="55">
        <v>74.8</v>
      </c>
      <c r="G78" s="50">
        <v>1</v>
      </c>
      <c r="H78" s="55">
        <v>20</v>
      </c>
      <c r="I78" s="55">
        <v>1.9</v>
      </c>
      <c r="J78" s="55">
        <v>0</v>
      </c>
      <c r="K78" s="55">
        <v>0.12</v>
      </c>
      <c r="L78" s="55">
        <v>0.02</v>
      </c>
      <c r="M78" s="55">
        <v>0.9</v>
      </c>
      <c r="N78" s="55">
        <v>0</v>
      </c>
      <c r="O78" s="55">
        <v>0</v>
      </c>
      <c r="P78" s="47" t="s">
        <v>51</v>
      </c>
    </row>
    <row r="79" spans="1:16" ht="18" customHeight="1">
      <c r="A79" s="47" t="s">
        <v>88</v>
      </c>
      <c r="B79" s="53" t="s">
        <v>159</v>
      </c>
      <c r="C79" s="54" t="s">
        <v>158</v>
      </c>
      <c r="D79" s="55">
        <v>354</v>
      </c>
      <c r="E79" s="50">
        <v>10.199999999999999</v>
      </c>
      <c r="F79" s="55">
        <v>74.8</v>
      </c>
      <c r="G79" s="50">
        <v>1</v>
      </c>
      <c r="H79" s="55">
        <v>20</v>
      </c>
      <c r="I79" s="55">
        <v>1.9</v>
      </c>
      <c r="J79" s="55">
        <v>0</v>
      </c>
      <c r="K79" s="55">
        <v>0.12</v>
      </c>
      <c r="L79" s="55">
        <v>0.02</v>
      </c>
      <c r="M79" s="55">
        <v>0.9</v>
      </c>
      <c r="N79" s="55">
        <v>0</v>
      </c>
      <c r="O79" s="55">
        <v>0</v>
      </c>
      <c r="P79" s="47" t="s">
        <v>51</v>
      </c>
    </row>
    <row r="80" spans="1:16" ht="18" customHeight="1">
      <c r="A80" s="47" t="s">
        <v>88</v>
      </c>
      <c r="B80" s="53" t="s">
        <v>160</v>
      </c>
      <c r="C80" s="54" t="s">
        <v>161</v>
      </c>
      <c r="D80" s="55">
        <v>58</v>
      </c>
      <c r="E80" s="50">
        <v>1.7</v>
      </c>
      <c r="F80" s="55">
        <v>0.1</v>
      </c>
      <c r="G80" s="50">
        <v>0.2</v>
      </c>
      <c r="H80" s="55">
        <v>6</v>
      </c>
      <c r="I80" s="55">
        <v>0.2</v>
      </c>
      <c r="J80" s="55">
        <v>0</v>
      </c>
      <c r="K80" s="55">
        <v>0.01</v>
      </c>
      <c r="L80" s="55">
        <v>0.01</v>
      </c>
      <c r="M80" s="55">
        <v>1.1000000000000001</v>
      </c>
      <c r="N80" s="55">
        <v>0</v>
      </c>
      <c r="O80" s="55">
        <v>0</v>
      </c>
      <c r="P80" s="47" t="s">
        <v>147</v>
      </c>
    </row>
    <row r="81" spans="1:16" ht="18" customHeight="1">
      <c r="A81" s="47" t="s">
        <v>88</v>
      </c>
      <c r="B81" s="53" t="s">
        <v>162</v>
      </c>
      <c r="C81" s="54" t="s">
        <v>163</v>
      </c>
      <c r="D81" s="55">
        <v>329</v>
      </c>
      <c r="E81" s="50">
        <v>12.3</v>
      </c>
      <c r="F81" s="55">
        <v>73.400000000000006</v>
      </c>
      <c r="G81" s="50">
        <v>1.6</v>
      </c>
      <c r="H81" s="55">
        <v>15</v>
      </c>
      <c r="I81" s="55">
        <v>1.1000000000000001</v>
      </c>
      <c r="J81" s="55">
        <v>0</v>
      </c>
      <c r="K81" s="55">
        <v>0.1</v>
      </c>
      <c r="L81" s="55">
        <v>0.03</v>
      </c>
      <c r="M81" s="55">
        <v>1</v>
      </c>
      <c r="N81" s="55">
        <v>0</v>
      </c>
      <c r="O81" s="55">
        <v>0</v>
      </c>
      <c r="P81" s="47" t="s">
        <v>51</v>
      </c>
    </row>
    <row r="82" spans="1:16" ht="18" customHeight="1">
      <c r="A82" s="47" t="s">
        <v>88</v>
      </c>
      <c r="B82" s="53" t="s">
        <v>164</v>
      </c>
      <c r="C82" s="54" t="s">
        <v>165</v>
      </c>
      <c r="D82" s="55">
        <v>330</v>
      </c>
      <c r="E82" s="50">
        <v>7.9</v>
      </c>
      <c r="F82" s="55">
        <v>77.5</v>
      </c>
      <c r="G82" s="50">
        <v>1.4</v>
      </c>
      <c r="H82" s="55">
        <v>24</v>
      </c>
      <c r="I82" s="55">
        <v>0.7</v>
      </c>
      <c r="J82" s="55">
        <v>0</v>
      </c>
      <c r="K82" s="55">
        <v>0.12</v>
      </c>
      <c r="L82" s="55">
        <v>0.03</v>
      </c>
      <c r="M82" s="55">
        <v>0.7</v>
      </c>
      <c r="N82" s="55">
        <v>0</v>
      </c>
      <c r="O82" s="55">
        <v>0</v>
      </c>
      <c r="P82" s="47" t="s">
        <v>51</v>
      </c>
    </row>
    <row r="83" spans="1:16" ht="18" customHeight="1">
      <c r="A83" s="47"/>
      <c r="B83" s="53" t="s">
        <v>11</v>
      </c>
      <c r="C83" s="54" t="s">
        <v>166</v>
      </c>
      <c r="D83" s="55">
        <v>330</v>
      </c>
      <c r="E83" s="50">
        <v>10</v>
      </c>
      <c r="F83" s="55">
        <v>51</v>
      </c>
      <c r="G83" s="50">
        <v>10.7</v>
      </c>
      <c r="H83" s="55">
        <v>19</v>
      </c>
      <c r="I83" s="55">
        <v>0.8</v>
      </c>
      <c r="J83" s="55">
        <v>0</v>
      </c>
      <c r="K83" s="55">
        <v>0.23</v>
      </c>
      <c r="L83" s="55">
        <v>0.04</v>
      </c>
      <c r="M83" s="55">
        <v>1.1000000000000001</v>
      </c>
      <c r="N83" s="55">
        <v>0</v>
      </c>
      <c r="O83" s="55">
        <v>0</v>
      </c>
    </row>
    <row r="84" spans="1:16" ht="18" customHeight="1">
      <c r="A84" s="47" t="s">
        <v>88</v>
      </c>
      <c r="B84" s="53" t="s">
        <v>167</v>
      </c>
      <c r="C84" s="54" t="s">
        <v>168</v>
      </c>
      <c r="D84" s="55">
        <v>330</v>
      </c>
      <c r="E84" s="50">
        <v>10</v>
      </c>
      <c r="F84" s="55">
        <v>74.099999999999994</v>
      </c>
      <c r="G84" s="50">
        <v>1.4</v>
      </c>
      <c r="H84" s="55">
        <v>19</v>
      </c>
      <c r="I84" s="55">
        <v>0.8</v>
      </c>
      <c r="J84" s="55">
        <v>0</v>
      </c>
      <c r="K84" s="55">
        <v>0.23</v>
      </c>
      <c r="L84" s="55">
        <v>0.04</v>
      </c>
      <c r="M84" s="55">
        <v>1.1000000000000001</v>
      </c>
      <c r="N84" s="55">
        <v>0</v>
      </c>
      <c r="O84" s="55">
        <v>0</v>
      </c>
      <c r="P84" s="47" t="s">
        <v>51</v>
      </c>
    </row>
    <row r="85" spans="1:16" ht="18" customHeight="1">
      <c r="A85" s="47" t="s">
        <v>88</v>
      </c>
      <c r="B85" s="53" t="s">
        <v>169</v>
      </c>
      <c r="C85" s="54" t="s">
        <v>170</v>
      </c>
      <c r="D85" s="55">
        <v>358</v>
      </c>
      <c r="E85" s="50">
        <v>11.5</v>
      </c>
      <c r="F85" s="55">
        <v>74.599999999999994</v>
      </c>
      <c r="G85" s="50">
        <v>2.4</v>
      </c>
      <c r="H85" s="55">
        <v>69</v>
      </c>
      <c r="I85" s="55">
        <v>3.2</v>
      </c>
      <c r="J85" s="55">
        <v>0</v>
      </c>
      <c r="K85" s="55">
        <v>0.15</v>
      </c>
      <c r="L85" s="55">
        <v>0.08</v>
      </c>
      <c r="M85" s="55">
        <v>5</v>
      </c>
      <c r="N85" s="55">
        <v>0</v>
      </c>
      <c r="O85" s="55">
        <v>0</v>
      </c>
      <c r="P85" s="47" t="s">
        <v>51</v>
      </c>
    </row>
    <row r="86" spans="1:16" ht="18" customHeight="1">
      <c r="A86" s="47" t="s">
        <v>88</v>
      </c>
      <c r="B86" s="53" t="s">
        <v>1955</v>
      </c>
      <c r="C86" s="54"/>
      <c r="D86" s="55">
        <v>343</v>
      </c>
      <c r="E86" s="50">
        <v>3.55</v>
      </c>
      <c r="F86" s="55">
        <v>81.069999999999993</v>
      </c>
      <c r="G86" s="50">
        <v>0.51</v>
      </c>
      <c r="H86" s="55">
        <v>0</v>
      </c>
      <c r="I86" s="55">
        <v>28.24</v>
      </c>
      <c r="J86" s="55">
        <v>33</v>
      </c>
      <c r="K86" s="55">
        <v>0.28999999999999998</v>
      </c>
      <c r="L86" s="55">
        <v>0</v>
      </c>
      <c r="M86" s="55">
        <v>5</v>
      </c>
      <c r="N86" s="55">
        <v>0</v>
      </c>
      <c r="O86" s="55">
        <v>0</v>
      </c>
      <c r="P86" s="47" t="s">
        <v>51</v>
      </c>
    </row>
    <row r="87" spans="1:16" ht="18" customHeight="1">
      <c r="A87" s="47" t="s">
        <v>88</v>
      </c>
      <c r="B87" s="53" t="s">
        <v>171</v>
      </c>
      <c r="C87" s="54" t="s">
        <v>92</v>
      </c>
      <c r="D87" s="55">
        <v>280</v>
      </c>
      <c r="E87" s="50">
        <v>4.3</v>
      </c>
      <c r="F87" s="55">
        <v>54.5</v>
      </c>
      <c r="G87" s="50">
        <v>2.1</v>
      </c>
      <c r="H87" s="55">
        <v>23</v>
      </c>
      <c r="I87" s="55">
        <v>1.1000000000000001</v>
      </c>
      <c r="J87" s="55">
        <v>0</v>
      </c>
      <c r="K87" s="55">
        <v>0.05</v>
      </c>
      <c r="L87" s="55">
        <v>0.11</v>
      </c>
      <c r="M87" s="55">
        <v>0.4</v>
      </c>
      <c r="N87" s="55">
        <v>0</v>
      </c>
      <c r="O87" s="55">
        <v>0</v>
      </c>
      <c r="P87" s="47" t="s">
        <v>51</v>
      </c>
    </row>
    <row r="88" spans="1:16" ht="18" customHeight="1">
      <c r="A88" s="47" t="s">
        <v>88</v>
      </c>
      <c r="B88" s="53" t="s">
        <v>172</v>
      </c>
      <c r="C88" s="54" t="s">
        <v>92</v>
      </c>
      <c r="D88" s="55">
        <v>323</v>
      </c>
      <c r="E88" s="50">
        <v>6.7</v>
      </c>
      <c r="F88" s="55">
        <v>55.1</v>
      </c>
      <c r="G88" s="50">
        <v>8.5</v>
      </c>
      <c r="H88" s="55">
        <v>44</v>
      </c>
      <c r="I88" s="55">
        <v>1.2</v>
      </c>
      <c r="J88" s="55">
        <v>60</v>
      </c>
      <c r="K88" s="55">
        <v>0.05</v>
      </c>
      <c r="L88" s="55">
        <v>0.08</v>
      </c>
      <c r="M88" s="55"/>
      <c r="N88" s="55">
        <v>0</v>
      </c>
      <c r="O88" s="55">
        <v>0</v>
      </c>
      <c r="P88" s="47" t="s">
        <v>51</v>
      </c>
    </row>
    <row r="89" spans="1:16" ht="18" customHeight="1">
      <c r="A89" s="47"/>
      <c r="B89" s="53" t="s">
        <v>1799</v>
      </c>
      <c r="C89" s="54" t="s">
        <v>92</v>
      </c>
      <c r="D89" s="55">
        <v>323</v>
      </c>
      <c r="E89" s="50">
        <v>6.7</v>
      </c>
      <c r="F89" s="55">
        <v>55.1</v>
      </c>
      <c r="G89" s="50">
        <v>8.5</v>
      </c>
      <c r="H89" s="55">
        <v>44</v>
      </c>
      <c r="I89" s="55">
        <v>1.2</v>
      </c>
      <c r="J89" s="55">
        <v>60</v>
      </c>
      <c r="K89" s="55">
        <v>0.05</v>
      </c>
      <c r="L89" s="55">
        <v>0.08</v>
      </c>
      <c r="M89" s="55"/>
      <c r="N89" s="55">
        <v>0</v>
      </c>
      <c r="O89" s="55">
        <v>0</v>
      </c>
    </row>
    <row r="90" spans="1:16" ht="18" customHeight="1">
      <c r="A90" s="47"/>
      <c r="B90" s="53" t="s">
        <v>173</v>
      </c>
      <c r="C90" s="54" t="s">
        <v>92</v>
      </c>
      <c r="D90" s="55">
        <v>480</v>
      </c>
      <c r="E90" s="50">
        <v>8</v>
      </c>
      <c r="F90" s="55">
        <v>67</v>
      </c>
      <c r="G90" s="50">
        <v>20</v>
      </c>
      <c r="H90" s="55">
        <v>119</v>
      </c>
      <c r="I90" s="55">
        <v>3.3</v>
      </c>
      <c r="J90" s="55">
        <v>0</v>
      </c>
      <c r="K90" s="55">
        <v>0.42</v>
      </c>
      <c r="L90" s="55">
        <v>0.34</v>
      </c>
      <c r="M90" s="55">
        <v>3.9</v>
      </c>
      <c r="N90" s="55">
        <v>0</v>
      </c>
      <c r="O90" s="55">
        <v>0</v>
      </c>
    </row>
    <row r="91" spans="1:16" ht="18" customHeight="1">
      <c r="A91" s="47" t="s">
        <v>88</v>
      </c>
      <c r="B91" s="53" t="s">
        <v>174</v>
      </c>
      <c r="C91" s="54" t="s">
        <v>92</v>
      </c>
      <c r="D91" s="55">
        <v>290</v>
      </c>
      <c r="E91" s="50">
        <v>9</v>
      </c>
      <c r="F91" s="55">
        <v>49.3</v>
      </c>
      <c r="G91" s="50">
        <v>4</v>
      </c>
      <c r="H91" s="55">
        <v>119</v>
      </c>
      <c r="I91" s="55">
        <v>3.3</v>
      </c>
      <c r="J91" s="55">
        <v>0</v>
      </c>
      <c r="K91" s="55">
        <v>0.42</v>
      </c>
      <c r="L91" s="55">
        <v>0.34</v>
      </c>
      <c r="M91" s="55">
        <v>3.9</v>
      </c>
      <c r="N91" s="55">
        <v>0</v>
      </c>
      <c r="O91" s="55">
        <v>0</v>
      </c>
      <c r="P91" s="47" t="s">
        <v>51</v>
      </c>
    </row>
    <row r="92" spans="1:16" ht="18" customHeight="1">
      <c r="A92" s="47" t="s">
        <v>88</v>
      </c>
      <c r="B92" s="53" t="s">
        <v>175</v>
      </c>
      <c r="C92" s="54" t="s">
        <v>92</v>
      </c>
      <c r="D92" s="55">
        <v>399</v>
      </c>
      <c r="E92" s="50">
        <v>6.6</v>
      </c>
      <c r="F92" s="55">
        <v>45.7</v>
      </c>
      <c r="G92" s="50">
        <v>15.3</v>
      </c>
      <c r="H92" s="55">
        <v>27</v>
      </c>
      <c r="I92" s="55">
        <v>1</v>
      </c>
      <c r="J92" s="55">
        <v>26</v>
      </c>
      <c r="K92" s="55">
        <v>0.1</v>
      </c>
      <c r="L92" s="55">
        <v>7.0000000000000007E-2</v>
      </c>
      <c r="M92" s="55">
        <v>0.5</v>
      </c>
      <c r="N92" s="55">
        <v>0</v>
      </c>
      <c r="O92" s="55">
        <v>0</v>
      </c>
      <c r="P92" s="47" t="s">
        <v>51</v>
      </c>
    </row>
    <row r="93" spans="1:16" ht="18" customHeight="1">
      <c r="A93" s="47" t="s">
        <v>88</v>
      </c>
      <c r="B93" s="53" t="s">
        <v>176</v>
      </c>
      <c r="C93" s="54" t="s">
        <v>92</v>
      </c>
      <c r="D93" s="55">
        <v>293</v>
      </c>
      <c r="E93" s="50">
        <v>7.6</v>
      </c>
      <c r="F93" s="55">
        <v>52.5</v>
      </c>
      <c r="G93" s="50">
        <v>6.1</v>
      </c>
      <c r="H93" s="55">
        <v>31</v>
      </c>
      <c r="I93" s="55">
        <v>1.3</v>
      </c>
      <c r="J93" s="55">
        <v>6</v>
      </c>
      <c r="K93" s="55">
        <v>0.09</v>
      </c>
      <c r="L93" s="55">
        <v>0.06</v>
      </c>
      <c r="M93" s="55">
        <v>0.8</v>
      </c>
      <c r="N93" s="55">
        <v>0</v>
      </c>
      <c r="O93" s="55">
        <v>0</v>
      </c>
      <c r="P93" s="47" t="s">
        <v>51</v>
      </c>
    </row>
    <row r="94" spans="1:16" ht="18" customHeight="1">
      <c r="A94" s="47" t="s">
        <v>88</v>
      </c>
      <c r="B94" s="53" t="s">
        <v>177</v>
      </c>
      <c r="C94" s="54" t="s">
        <v>178</v>
      </c>
      <c r="D94" s="55">
        <v>250</v>
      </c>
      <c r="E94" s="50">
        <v>6</v>
      </c>
      <c r="F94" s="55">
        <v>52.1</v>
      </c>
      <c r="G94" s="50">
        <v>6.2</v>
      </c>
      <c r="H94" s="55">
        <v>71</v>
      </c>
      <c r="I94" s="55">
        <v>1.1000000000000001</v>
      </c>
      <c r="J94" s="55">
        <v>0</v>
      </c>
      <c r="K94" s="55">
        <v>0.05</v>
      </c>
      <c r="L94" s="55">
        <v>0.08</v>
      </c>
      <c r="M94" s="55">
        <v>0.4</v>
      </c>
      <c r="N94" s="55">
        <v>0</v>
      </c>
      <c r="O94" s="55">
        <v>0</v>
      </c>
      <c r="P94" s="47" t="s">
        <v>51</v>
      </c>
    </row>
    <row r="95" spans="1:16" ht="18" customHeight="1">
      <c r="A95" s="47" t="s">
        <v>88</v>
      </c>
      <c r="B95" s="53" t="s">
        <v>1788</v>
      </c>
      <c r="C95" s="54" t="s">
        <v>178</v>
      </c>
      <c r="D95" s="55">
        <v>250</v>
      </c>
      <c r="E95" s="50">
        <v>6</v>
      </c>
      <c r="F95" s="55">
        <v>52.1</v>
      </c>
      <c r="G95" s="50">
        <v>6.2</v>
      </c>
      <c r="H95" s="55">
        <v>71</v>
      </c>
      <c r="I95" s="55">
        <v>1.1000000000000001</v>
      </c>
      <c r="J95" s="55">
        <v>0</v>
      </c>
      <c r="K95" s="55">
        <v>0.05</v>
      </c>
      <c r="L95" s="55">
        <v>0.08</v>
      </c>
      <c r="M95" s="55">
        <v>0.4</v>
      </c>
      <c r="N95" s="55">
        <v>0</v>
      </c>
      <c r="O95" s="55">
        <v>0</v>
      </c>
      <c r="P95" s="47" t="s">
        <v>51</v>
      </c>
    </row>
    <row r="96" spans="1:16" ht="18" customHeight="1">
      <c r="A96" s="47" t="s">
        <v>88</v>
      </c>
      <c r="B96" s="53" t="s">
        <v>1940</v>
      </c>
      <c r="C96" s="54" t="s">
        <v>178</v>
      </c>
      <c r="D96" s="55">
        <v>250</v>
      </c>
      <c r="E96" s="50">
        <v>6</v>
      </c>
      <c r="F96" s="55">
        <v>52.1</v>
      </c>
      <c r="G96" s="50">
        <v>6.2</v>
      </c>
      <c r="H96" s="55">
        <v>71</v>
      </c>
      <c r="I96" s="55">
        <v>1.1000000000000001</v>
      </c>
      <c r="J96" s="55">
        <v>0</v>
      </c>
      <c r="K96" s="55">
        <v>0.05</v>
      </c>
      <c r="L96" s="55">
        <v>0.08</v>
      </c>
      <c r="M96" s="55">
        <v>0.4</v>
      </c>
      <c r="N96" s="55">
        <v>0</v>
      </c>
      <c r="O96" s="55">
        <v>0</v>
      </c>
      <c r="P96" s="47" t="s">
        <v>51</v>
      </c>
    </row>
    <row r="97" spans="1:16" ht="18" customHeight="1">
      <c r="A97" s="47" t="s">
        <v>88</v>
      </c>
      <c r="B97" s="53" t="s">
        <v>179</v>
      </c>
      <c r="C97" s="54" t="s">
        <v>180</v>
      </c>
      <c r="D97" s="55">
        <v>425.28</v>
      </c>
      <c r="E97" s="50">
        <v>3.17</v>
      </c>
      <c r="F97" s="55">
        <v>40.6</v>
      </c>
      <c r="G97" s="50">
        <v>26</v>
      </c>
      <c r="H97" s="55">
        <v>38.979999999999997</v>
      </c>
      <c r="I97" s="55">
        <v>0</v>
      </c>
      <c r="J97" s="55">
        <v>0</v>
      </c>
      <c r="K97" s="55">
        <v>0.16</v>
      </c>
      <c r="L97" s="55">
        <v>0.16</v>
      </c>
      <c r="M97" s="55">
        <v>1.2</v>
      </c>
      <c r="N97" s="55">
        <v>0</v>
      </c>
      <c r="O97" s="55">
        <v>0</v>
      </c>
      <c r="P97" s="47" t="s">
        <v>147</v>
      </c>
    </row>
    <row r="98" spans="1:16" ht="18" customHeight="1">
      <c r="A98" s="47" t="s">
        <v>88</v>
      </c>
      <c r="B98" s="53" t="s">
        <v>1756</v>
      </c>
      <c r="C98" s="54" t="s">
        <v>180</v>
      </c>
      <c r="D98" s="55">
        <v>316</v>
      </c>
      <c r="E98" s="50">
        <v>9.33</v>
      </c>
      <c r="F98" s="55">
        <v>57.1</v>
      </c>
      <c r="G98" s="50">
        <v>22.9</v>
      </c>
      <c r="H98" s="55">
        <v>42.85</v>
      </c>
      <c r="I98" s="55">
        <v>2.67</v>
      </c>
      <c r="J98" s="55">
        <v>0</v>
      </c>
      <c r="K98" s="55">
        <v>0.15</v>
      </c>
      <c r="L98" s="55">
        <v>0.06</v>
      </c>
      <c r="M98" s="55">
        <v>0.18</v>
      </c>
      <c r="N98" s="55">
        <v>0</v>
      </c>
      <c r="O98" s="55">
        <v>0</v>
      </c>
      <c r="P98" s="47" t="s">
        <v>147</v>
      </c>
    </row>
    <row r="99" spans="1:16" ht="18" customHeight="1">
      <c r="A99" s="47" t="s">
        <v>88</v>
      </c>
      <c r="B99" s="53" t="s">
        <v>1984</v>
      </c>
      <c r="C99" s="54" t="s">
        <v>180</v>
      </c>
      <c r="D99" s="55">
        <v>316</v>
      </c>
      <c r="E99" s="50">
        <v>9.33</v>
      </c>
      <c r="F99" s="55">
        <v>57.1</v>
      </c>
      <c r="G99" s="50">
        <v>22.9</v>
      </c>
      <c r="H99" s="55">
        <v>42.85</v>
      </c>
      <c r="I99" s="55">
        <v>2.67</v>
      </c>
      <c r="J99" s="55">
        <v>0</v>
      </c>
      <c r="K99" s="55">
        <v>0.15</v>
      </c>
      <c r="L99" s="55">
        <v>0.06</v>
      </c>
      <c r="M99" s="55">
        <v>0.18</v>
      </c>
      <c r="N99" s="55">
        <v>0</v>
      </c>
      <c r="O99" s="55">
        <v>0</v>
      </c>
      <c r="P99" s="47" t="s">
        <v>147</v>
      </c>
    </row>
    <row r="100" spans="1:16" ht="18" customHeight="1">
      <c r="A100" s="47" t="s">
        <v>88</v>
      </c>
      <c r="B100" s="53" t="s">
        <v>1662</v>
      </c>
      <c r="C100" s="54" t="s">
        <v>180</v>
      </c>
      <c r="D100" s="55">
        <v>316</v>
      </c>
      <c r="E100" s="50">
        <v>9.33</v>
      </c>
      <c r="F100" s="55">
        <v>57.1</v>
      </c>
      <c r="G100" s="50">
        <v>22.9</v>
      </c>
      <c r="H100" s="55">
        <v>42.85</v>
      </c>
      <c r="I100" s="55">
        <v>2.67</v>
      </c>
      <c r="J100" s="55">
        <v>0</v>
      </c>
      <c r="K100" s="55">
        <v>0.15</v>
      </c>
      <c r="L100" s="55">
        <v>0.06</v>
      </c>
      <c r="M100" s="55">
        <v>0.18</v>
      </c>
      <c r="N100" s="55">
        <v>0</v>
      </c>
      <c r="O100" s="55">
        <v>0</v>
      </c>
      <c r="P100" s="47" t="s">
        <v>147</v>
      </c>
    </row>
    <row r="101" spans="1:16" ht="18" customHeight="1">
      <c r="A101" s="47" t="s">
        <v>88</v>
      </c>
      <c r="B101" s="53" t="s">
        <v>1943</v>
      </c>
      <c r="C101" s="54" t="s">
        <v>180</v>
      </c>
      <c r="D101" s="55">
        <v>200</v>
      </c>
      <c r="E101" s="50">
        <v>9.33</v>
      </c>
      <c r="F101" s="55">
        <v>57.1</v>
      </c>
      <c r="G101" s="50">
        <v>22.9</v>
      </c>
      <c r="H101" s="55">
        <v>42.85</v>
      </c>
      <c r="I101" s="55">
        <v>2.67</v>
      </c>
      <c r="J101" s="55">
        <v>0</v>
      </c>
      <c r="K101" s="55">
        <v>0.15</v>
      </c>
      <c r="L101" s="55">
        <v>0.06</v>
      </c>
      <c r="M101" s="55">
        <v>0.18</v>
      </c>
      <c r="N101" s="55">
        <v>0</v>
      </c>
      <c r="O101" s="55">
        <v>0</v>
      </c>
      <c r="P101" s="47" t="s">
        <v>147</v>
      </c>
    </row>
    <row r="102" spans="1:16" ht="18" customHeight="1">
      <c r="A102" s="47" t="s">
        <v>88</v>
      </c>
      <c r="B102" s="53" t="s">
        <v>181</v>
      </c>
      <c r="C102" s="54" t="s">
        <v>182</v>
      </c>
      <c r="D102" s="55">
        <v>311</v>
      </c>
      <c r="E102" s="50">
        <v>7.2</v>
      </c>
      <c r="F102" s="55">
        <v>48.1</v>
      </c>
      <c r="G102" s="50">
        <v>10</v>
      </c>
      <c r="H102" s="55">
        <v>73</v>
      </c>
      <c r="I102" s="55">
        <v>1.9</v>
      </c>
      <c r="J102" s="55">
        <v>15</v>
      </c>
      <c r="K102" s="55">
        <v>0.24</v>
      </c>
      <c r="L102" s="55">
        <v>0.27</v>
      </c>
      <c r="M102" s="55">
        <v>2.1</v>
      </c>
      <c r="N102" s="55">
        <v>0</v>
      </c>
      <c r="O102" s="55">
        <v>0</v>
      </c>
      <c r="P102" s="47" t="s">
        <v>51</v>
      </c>
    </row>
    <row r="103" spans="1:16" ht="18" customHeight="1">
      <c r="A103" s="47" t="s">
        <v>88</v>
      </c>
      <c r="B103" s="53" t="s">
        <v>183</v>
      </c>
      <c r="C103" s="54" t="s">
        <v>184</v>
      </c>
      <c r="D103" s="55">
        <v>254</v>
      </c>
      <c r="E103" s="50">
        <v>9.1</v>
      </c>
      <c r="F103" s="55">
        <v>30.5</v>
      </c>
      <c r="G103" s="50">
        <v>5.0999999999999996</v>
      </c>
      <c r="H103" s="55">
        <v>25</v>
      </c>
      <c r="I103" s="55">
        <v>1</v>
      </c>
      <c r="J103" s="55">
        <v>3</v>
      </c>
      <c r="K103" s="55">
        <v>0.21</v>
      </c>
      <c r="L103" s="55">
        <v>0.15</v>
      </c>
      <c r="M103" s="55">
        <v>2</v>
      </c>
      <c r="N103" s="55">
        <v>8</v>
      </c>
      <c r="O103" s="55">
        <v>0</v>
      </c>
      <c r="P103" s="47" t="s">
        <v>51</v>
      </c>
    </row>
    <row r="104" spans="1:16" ht="18" customHeight="1">
      <c r="A104" s="47" t="s">
        <v>88</v>
      </c>
      <c r="B104" s="53" t="s">
        <v>185</v>
      </c>
      <c r="C104" s="54" t="s">
        <v>184</v>
      </c>
      <c r="D104" s="55">
        <v>247</v>
      </c>
      <c r="E104" s="50">
        <v>6.3</v>
      </c>
      <c r="F104" s="55">
        <v>78</v>
      </c>
      <c r="G104" s="50">
        <v>2.2000000000000002</v>
      </c>
      <c r="H104" s="55">
        <v>14</v>
      </c>
      <c r="I104" s="55">
        <v>0.5</v>
      </c>
      <c r="J104" s="55">
        <v>0</v>
      </c>
      <c r="K104" s="55">
        <v>7.0000000000000007E-2</v>
      </c>
      <c r="L104" s="55">
        <v>0.02</v>
      </c>
      <c r="M104" s="55">
        <v>0.5</v>
      </c>
      <c r="N104" s="55">
        <v>0</v>
      </c>
      <c r="O104" s="55">
        <v>0</v>
      </c>
      <c r="P104" s="47" t="s">
        <v>51</v>
      </c>
    </row>
    <row r="105" spans="1:16" ht="18" customHeight="1">
      <c r="A105" s="47"/>
      <c r="B105" s="53" t="s">
        <v>186</v>
      </c>
      <c r="C105" s="54"/>
      <c r="D105" s="55">
        <v>371</v>
      </c>
      <c r="E105" s="50">
        <v>7.1</v>
      </c>
      <c r="F105" s="55">
        <v>51</v>
      </c>
      <c r="G105" s="50">
        <v>0.7</v>
      </c>
      <c r="H105" s="55">
        <v>33.4</v>
      </c>
      <c r="I105" s="55">
        <v>1.1200000000000001</v>
      </c>
      <c r="J105" s="55">
        <v>15.86</v>
      </c>
      <c r="K105" s="55">
        <v>1E-3</v>
      </c>
      <c r="L105" s="55">
        <v>0</v>
      </c>
      <c r="M105" s="55">
        <v>0</v>
      </c>
      <c r="N105" s="55">
        <v>0</v>
      </c>
      <c r="O105" s="55">
        <v>0</v>
      </c>
    </row>
    <row r="106" spans="1:16" ht="18" customHeight="1">
      <c r="A106" s="47"/>
      <c r="B106" s="53" t="s">
        <v>187</v>
      </c>
      <c r="C106" s="54" t="s">
        <v>188</v>
      </c>
      <c r="D106" s="55">
        <v>164</v>
      </c>
      <c r="E106" s="50">
        <v>7.1</v>
      </c>
      <c r="F106" s="55">
        <v>18</v>
      </c>
      <c r="G106" s="50">
        <v>6.4</v>
      </c>
      <c r="H106" s="55">
        <v>33.4</v>
      </c>
      <c r="I106" s="55">
        <v>1.1200000000000001</v>
      </c>
      <c r="J106" s="55">
        <v>15.86</v>
      </c>
      <c r="K106" s="55">
        <v>1E-3</v>
      </c>
      <c r="L106" s="55">
        <v>0</v>
      </c>
      <c r="M106" s="55">
        <v>0</v>
      </c>
      <c r="N106" s="55">
        <v>0</v>
      </c>
      <c r="O106" s="55">
        <v>0</v>
      </c>
    </row>
    <row r="107" spans="1:16" ht="18" customHeight="1">
      <c r="A107" s="47"/>
      <c r="B107" s="53" t="s">
        <v>189</v>
      </c>
      <c r="C107" s="54"/>
      <c r="D107" s="55">
        <v>105</v>
      </c>
      <c r="E107" s="50">
        <v>7.1</v>
      </c>
      <c r="F107" s="55">
        <v>45.6</v>
      </c>
      <c r="G107" s="50">
        <v>12</v>
      </c>
      <c r="H107" s="55">
        <v>33.4</v>
      </c>
      <c r="I107" s="55">
        <v>1.1200000000000001</v>
      </c>
      <c r="J107" s="55">
        <v>15.86</v>
      </c>
      <c r="K107" s="55">
        <v>1E-3</v>
      </c>
      <c r="L107" s="55">
        <v>0</v>
      </c>
      <c r="M107" s="55">
        <v>0</v>
      </c>
      <c r="N107" s="55">
        <v>0</v>
      </c>
      <c r="O107" s="55">
        <v>0</v>
      </c>
    </row>
    <row r="108" spans="1:16" ht="18" customHeight="1">
      <c r="A108" s="47" t="s">
        <v>88</v>
      </c>
      <c r="B108" s="53" t="s">
        <v>190</v>
      </c>
      <c r="C108" s="54" t="s">
        <v>188</v>
      </c>
      <c r="D108" s="55">
        <v>371</v>
      </c>
      <c r="E108" s="50">
        <v>7.1</v>
      </c>
      <c r="F108" s="55">
        <v>50</v>
      </c>
      <c r="G108" s="50">
        <v>10</v>
      </c>
      <c r="H108" s="55">
        <v>33.4</v>
      </c>
      <c r="I108" s="55">
        <v>1.1200000000000001</v>
      </c>
      <c r="J108" s="55">
        <v>15.86</v>
      </c>
      <c r="K108" s="55">
        <v>1E-3</v>
      </c>
      <c r="L108" s="55">
        <v>0</v>
      </c>
      <c r="M108" s="55">
        <v>0</v>
      </c>
      <c r="N108" s="55">
        <v>0</v>
      </c>
      <c r="O108" s="55">
        <v>0</v>
      </c>
      <c r="P108" s="47" t="s">
        <v>51</v>
      </c>
    </row>
    <row r="109" spans="1:16" ht="18" customHeight="1">
      <c r="A109" s="47" t="s">
        <v>88</v>
      </c>
      <c r="B109" s="53" t="s">
        <v>191</v>
      </c>
      <c r="C109" s="54" t="s">
        <v>90</v>
      </c>
      <c r="D109" s="55">
        <v>376</v>
      </c>
      <c r="E109" s="50">
        <v>8.8000000000000007</v>
      </c>
      <c r="F109" s="55">
        <v>56.5</v>
      </c>
      <c r="G109" s="50">
        <v>13.2</v>
      </c>
      <c r="H109" s="55">
        <v>36</v>
      </c>
      <c r="I109" s="55">
        <v>0.7</v>
      </c>
      <c r="J109" s="55">
        <v>29</v>
      </c>
      <c r="K109" s="55">
        <v>0.14000000000000001</v>
      </c>
      <c r="L109" s="55">
        <v>0.06</v>
      </c>
      <c r="M109" s="55">
        <v>1.3</v>
      </c>
      <c r="N109" s="55">
        <v>0</v>
      </c>
      <c r="O109" s="55">
        <v>0</v>
      </c>
      <c r="P109" s="47" t="s">
        <v>51</v>
      </c>
    </row>
    <row r="110" spans="1:16" ht="18" customHeight="1">
      <c r="A110" s="47" t="s">
        <v>88</v>
      </c>
      <c r="B110" s="53" t="s">
        <v>1716</v>
      </c>
      <c r="C110" s="54" t="s">
        <v>90</v>
      </c>
      <c r="D110" s="55">
        <v>230</v>
      </c>
      <c r="E110" s="50">
        <v>4.4000000000000004</v>
      </c>
      <c r="F110" s="55">
        <v>63.6</v>
      </c>
      <c r="G110" s="50">
        <v>17</v>
      </c>
      <c r="H110" s="55">
        <v>58</v>
      </c>
      <c r="I110" s="55">
        <v>1.4</v>
      </c>
      <c r="J110" s="55">
        <v>0</v>
      </c>
      <c r="K110" s="55">
        <v>0.18</v>
      </c>
      <c r="L110" s="55">
        <v>0.03</v>
      </c>
      <c r="M110" s="55">
        <v>0.3</v>
      </c>
      <c r="N110" s="55">
        <v>0</v>
      </c>
      <c r="O110" s="55">
        <v>0</v>
      </c>
      <c r="P110" s="47" t="s">
        <v>51</v>
      </c>
    </row>
    <row r="111" spans="1:16" ht="18" customHeight="1">
      <c r="A111" s="47" t="s">
        <v>88</v>
      </c>
      <c r="B111" s="53" t="s">
        <v>1707</v>
      </c>
      <c r="C111" s="54" t="s">
        <v>90</v>
      </c>
      <c r="D111" s="55">
        <v>436</v>
      </c>
      <c r="E111" s="50">
        <v>4.4000000000000004</v>
      </c>
      <c r="F111" s="55">
        <v>63.6</v>
      </c>
      <c r="G111" s="50">
        <v>17</v>
      </c>
      <c r="H111" s="55">
        <v>58</v>
      </c>
      <c r="I111" s="55">
        <v>1.4</v>
      </c>
      <c r="J111" s="55">
        <v>0</v>
      </c>
      <c r="K111" s="55">
        <v>0.18</v>
      </c>
      <c r="L111" s="55">
        <v>0.03</v>
      </c>
      <c r="M111" s="55">
        <v>0.3</v>
      </c>
      <c r="N111" s="55">
        <v>0</v>
      </c>
      <c r="O111" s="55">
        <v>0</v>
      </c>
      <c r="P111" s="47" t="s">
        <v>51</v>
      </c>
    </row>
    <row r="112" spans="1:16" ht="18" customHeight="1">
      <c r="A112" s="47" t="s">
        <v>88</v>
      </c>
      <c r="B112" s="53" t="s">
        <v>1672</v>
      </c>
      <c r="C112" s="54" t="s">
        <v>90</v>
      </c>
      <c r="D112" s="55">
        <v>436</v>
      </c>
      <c r="E112" s="50">
        <v>4.4000000000000004</v>
      </c>
      <c r="F112" s="55">
        <v>63.6</v>
      </c>
      <c r="G112" s="50">
        <v>17</v>
      </c>
      <c r="H112" s="55">
        <v>58</v>
      </c>
      <c r="I112" s="55">
        <v>1.4</v>
      </c>
      <c r="J112" s="55">
        <v>0</v>
      </c>
      <c r="K112" s="55">
        <v>0.18</v>
      </c>
      <c r="L112" s="55">
        <v>0.03</v>
      </c>
      <c r="M112" s="55">
        <v>0.3</v>
      </c>
      <c r="N112" s="55">
        <v>0</v>
      </c>
      <c r="O112" s="55">
        <v>0</v>
      </c>
      <c r="P112" s="47" t="s">
        <v>51</v>
      </c>
    </row>
    <row r="113" spans="1:16" ht="18" customHeight="1">
      <c r="A113" s="47" t="s">
        <v>88</v>
      </c>
      <c r="B113" s="53" t="s">
        <v>1620</v>
      </c>
      <c r="C113" s="54" t="s">
        <v>90</v>
      </c>
      <c r="D113" s="55">
        <v>436</v>
      </c>
      <c r="E113" s="50">
        <v>4.4000000000000004</v>
      </c>
      <c r="F113" s="55">
        <v>63.6</v>
      </c>
      <c r="G113" s="50">
        <v>17</v>
      </c>
      <c r="H113" s="55">
        <v>58</v>
      </c>
      <c r="I113" s="55">
        <v>1.4</v>
      </c>
      <c r="J113" s="55">
        <v>0</v>
      </c>
      <c r="K113" s="55">
        <v>0.18</v>
      </c>
      <c r="L113" s="55">
        <v>0.03</v>
      </c>
      <c r="M113" s="55">
        <v>0.3</v>
      </c>
      <c r="N113" s="55">
        <v>0</v>
      </c>
      <c r="O113" s="55">
        <v>0</v>
      </c>
      <c r="P113" s="47" t="s">
        <v>51</v>
      </c>
    </row>
    <row r="114" spans="1:16" ht="18" customHeight="1">
      <c r="A114" s="47" t="s">
        <v>88</v>
      </c>
      <c r="B114" s="53" t="s">
        <v>192</v>
      </c>
      <c r="C114" s="54" t="s">
        <v>90</v>
      </c>
      <c r="D114" s="55">
        <v>436</v>
      </c>
      <c r="E114" s="50">
        <v>4.4000000000000004</v>
      </c>
      <c r="F114" s="55">
        <v>63.6</v>
      </c>
      <c r="G114" s="50">
        <v>17</v>
      </c>
      <c r="H114" s="55">
        <v>58</v>
      </c>
      <c r="I114" s="55">
        <v>1.4</v>
      </c>
      <c r="J114" s="55">
        <v>0</v>
      </c>
      <c r="K114" s="55">
        <v>0.18</v>
      </c>
      <c r="L114" s="55">
        <v>0.03</v>
      </c>
      <c r="M114" s="55">
        <v>0.3</v>
      </c>
      <c r="N114" s="55">
        <v>0</v>
      </c>
      <c r="O114" s="55">
        <v>0</v>
      </c>
      <c r="P114" s="47" t="s">
        <v>51</v>
      </c>
    </row>
    <row r="115" spans="1:16" ht="18" customHeight="1">
      <c r="A115" s="47" t="s">
        <v>88</v>
      </c>
      <c r="B115" s="53" t="s">
        <v>193</v>
      </c>
      <c r="C115" s="54" t="s">
        <v>90</v>
      </c>
      <c r="D115" s="55">
        <v>274</v>
      </c>
      <c r="E115" s="50">
        <v>6</v>
      </c>
      <c r="F115" s="55">
        <v>45.5</v>
      </c>
      <c r="G115" s="50">
        <v>7.7</v>
      </c>
      <c r="H115" s="55">
        <v>40</v>
      </c>
      <c r="I115" s="55">
        <v>0.9</v>
      </c>
      <c r="J115" s="55">
        <v>20</v>
      </c>
      <c r="K115" s="55">
        <v>0.08</v>
      </c>
      <c r="L115" s="55">
        <v>0.09</v>
      </c>
      <c r="M115" s="55">
        <v>0.8</v>
      </c>
      <c r="N115" s="55">
        <v>0</v>
      </c>
      <c r="O115" s="55">
        <v>0</v>
      </c>
      <c r="P115" s="47" t="s">
        <v>51</v>
      </c>
    </row>
    <row r="116" spans="1:16" ht="18" customHeight="1">
      <c r="A116" s="47" t="s">
        <v>88</v>
      </c>
      <c r="B116" s="53" t="s">
        <v>194</v>
      </c>
      <c r="C116" s="54" t="s">
        <v>90</v>
      </c>
      <c r="D116" s="55">
        <v>269</v>
      </c>
      <c r="E116" s="50">
        <v>12.1</v>
      </c>
      <c r="F116" s="55">
        <v>30.4</v>
      </c>
      <c r="G116" s="50">
        <v>11.9</v>
      </c>
      <c r="H116" s="55">
        <v>94</v>
      </c>
      <c r="I116" s="55">
        <v>0.7</v>
      </c>
      <c r="J116" s="55">
        <v>47</v>
      </c>
      <c r="K116" s="55">
        <v>0.17</v>
      </c>
      <c r="L116" s="55">
        <v>0.1</v>
      </c>
      <c r="M116" s="55">
        <v>1.1000000000000001</v>
      </c>
      <c r="N116" s="55">
        <v>2</v>
      </c>
      <c r="O116" s="55">
        <v>0</v>
      </c>
      <c r="P116" s="47" t="s">
        <v>51</v>
      </c>
    </row>
    <row r="117" spans="1:16" ht="18" customHeight="1">
      <c r="A117" s="47" t="s">
        <v>88</v>
      </c>
      <c r="B117" s="53" t="s">
        <v>195</v>
      </c>
      <c r="C117" s="54" t="s">
        <v>196</v>
      </c>
      <c r="D117" s="55">
        <v>316</v>
      </c>
      <c r="E117" s="50">
        <v>9.33</v>
      </c>
      <c r="F117" s="55">
        <v>78</v>
      </c>
      <c r="G117" s="50">
        <v>17</v>
      </c>
      <c r="H117" s="55">
        <v>42.85</v>
      </c>
      <c r="I117" s="55">
        <v>2.67</v>
      </c>
      <c r="J117" s="55">
        <v>0</v>
      </c>
      <c r="K117" s="55">
        <v>0.15</v>
      </c>
      <c r="L117" s="55">
        <v>0.06</v>
      </c>
      <c r="M117" s="55">
        <v>0.18</v>
      </c>
      <c r="N117" s="55">
        <v>0</v>
      </c>
      <c r="O117" s="55">
        <v>0</v>
      </c>
      <c r="P117" s="47" t="s">
        <v>147</v>
      </c>
    </row>
    <row r="118" spans="1:16" ht="18" customHeight="1">
      <c r="A118" s="47" t="s">
        <v>88</v>
      </c>
      <c r="B118" s="53" t="s">
        <v>197</v>
      </c>
      <c r="C118" s="54" t="s">
        <v>196</v>
      </c>
      <c r="D118" s="55">
        <v>432</v>
      </c>
      <c r="E118" s="50">
        <v>7.44</v>
      </c>
      <c r="F118" s="55">
        <v>65</v>
      </c>
      <c r="G118" s="50">
        <v>15</v>
      </c>
      <c r="H118" s="55">
        <v>44.94</v>
      </c>
      <c r="I118" s="55">
        <v>2.0099999999999998</v>
      </c>
      <c r="J118" s="55">
        <v>0</v>
      </c>
      <c r="K118" s="55">
        <v>0.13</v>
      </c>
      <c r="L118" s="55">
        <v>0.02</v>
      </c>
      <c r="M118" s="55">
        <v>0.16</v>
      </c>
      <c r="N118" s="55">
        <v>0</v>
      </c>
      <c r="O118" s="55">
        <v>0</v>
      </c>
      <c r="P118" s="47" t="s">
        <v>198</v>
      </c>
    </row>
    <row r="119" spans="1:16" ht="18" customHeight="1">
      <c r="A119" s="47" t="s">
        <v>88</v>
      </c>
      <c r="B119" s="53" t="s">
        <v>199</v>
      </c>
      <c r="C119" s="54" t="s">
        <v>200</v>
      </c>
      <c r="D119" s="55">
        <v>277</v>
      </c>
      <c r="E119" s="50">
        <v>9.3000000000000007</v>
      </c>
      <c r="F119" s="55">
        <v>51</v>
      </c>
      <c r="G119" s="50">
        <v>5.8</v>
      </c>
      <c r="H119" s="55">
        <v>28</v>
      </c>
      <c r="I119" s="55">
        <v>0.9</v>
      </c>
      <c r="J119" s="55">
        <v>2</v>
      </c>
      <c r="K119" s="55">
        <v>7.0000000000000007E-2</v>
      </c>
      <c r="L119" s="55">
        <v>0.05</v>
      </c>
      <c r="M119" s="55">
        <v>1.1000000000000001</v>
      </c>
      <c r="N119" s="55">
        <v>0</v>
      </c>
      <c r="O119" s="55">
        <v>0</v>
      </c>
      <c r="P119" s="47" t="s">
        <v>51</v>
      </c>
    </row>
    <row r="120" spans="1:16" ht="18" customHeight="1">
      <c r="A120" s="47" t="s">
        <v>88</v>
      </c>
      <c r="B120" s="53" t="s">
        <v>1678</v>
      </c>
      <c r="C120" s="54" t="s">
        <v>200</v>
      </c>
      <c r="D120" s="55">
        <v>277</v>
      </c>
      <c r="E120" s="50">
        <v>9.3000000000000007</v>
      </c>
      <c r="F120" s="55">
        <v>51</v>
      </c>
      <c r="G120" s="50">
        <v>5.8</v>
      </c>
      <c r="H120" s="55">
        <v>28</v>
      </c>
      <c r="I120" s="55">
        <v>0.9</v>
      </c>
      <c r="J120" s="55">
        <v>2</v>
      </c>
      <c r="K120" s="55">
        <v>7.0000000000000007E-2</v>
      </c>
      <c r="L120" s="55">
        <v>0.05</v>
      </c>
      <c r="M120" s="55">
        <v>1.1000000000000001</v>
      </c>
      <c r="N120" s="55">
        <v>0</v>
      </c>
      <c r="O120" s="55">
        <v>0</v>
      </c>
      <c r="P120" s="47" t="s">
        <v>51</v>
      </c>
    </row>
    <row r="121" spans="1:16" ht="18" customHeight="1">
      <c r="A121" s="47"/>
      <c r="B121" s="53" t="s">
        <v>201</v>
      </c>
      <c r="C121" s="54"/>
      <c r="D121" s="55">
        <v>150</v>
      </c>
      <c r="E121" s="50">
        <v>9.3000000000000007</v>
      </c>
      <c r="F121" s="55">
        <v>51</v>
      </c>
      <c r="G121" s="50">
        <v>12</v>
      </c>
      <c r="H121" s="55">
        <v>28</v>
      </c>
      <c r="I121" s="55">
        <v>0.9</v>
      </c>
      <c r="J121" s="55">
        <v>2</v>
      </c>
      <c r="K121" s="55">
        <v>7.0000000000000007E-2</v>
      </c>
      <c r="L121" s="55">
        <v>0.05</v>
      </c>
      <c r="M121" s="55">
        <v>1.1000000000000001</v>
      </c>
      <c r="N121" s="55">
        <v>0</v>
      </c>
      <c r="O121" s="55">
        <v>0</v>
      </c>
    </row>
    <row r="122" spans="1:16" ht="18" customHeight="1">
      <c r="A122" s="47" t="s">
        <v>88</v>
      </c>
      <c r="B122" s="53" t="s">
        <v>202</v>
      </c>
      <c r="C122" s="54" t="s">
        <v>203</v>
      </c>
      <c r="D122" s="55">
        <v>205.7</v>
      </c>
      <c r="E122" s="50">
        <v>7.4</v>
      </c>
      <c r="F122" s="55">
        <v>52</v>
      </c>
      <c r="G122" s="50">
        <v>1.4</v>
      </c>
      <c r="H122" s="55">
        <v>22.6</v>
      </c>
      <c r="I122" s="55">
        <v>0.9</v>
      </c>
      <c r="J122" s="55">
        <v>105.8</v>
      </c>
      <c r="K122" s="55">
        <v>0.11</v>
      </c>
      <c r="L122" s="55">
        <v>0.03</v>
      </c>
      <c r="M122" s="55">
        <v>0.7</v>
      </c>
      <c r="N122" s="55">
        <v>0.7</v>
      </c>
      <c r="O122" s="55">
        <v>0</v>
      </c>
      <c r="P122" s="47" t="s">
        <v>147</v>
      </c>
    </row>
    <row r="123" spans="1:16" ht="18" customHeight="1">
      <c r="A123" s="47"/>
      <c r="B123" s="53" t="s">
        <v>204</v>
      </c>
      <c r="C123" s="54" t="s">
        <v>205</v>
      </c>
      <c r="D123" s="55">
        <v>251</v>
      </c>
      <c r="E123" s="50">
        <v>6.4</v>
      </c>
      <c r="F123" s="55">
        <v>55</v>
      </c>
      <c r="G123" s="50">
        <v>2</v>
      </c>
      <c r="H123" s="55">
        <v>15</v>
      </c>
      <c r="I123" s="55">
        <v>1.4</v>
      </c>
      <c r="J123" s="55">
        <v>0</v>
      </c>
      <c r="K123" s="55">
        <v>0.08</v>
      </c>
      <c r="L123" s="55">
        <v>0.02</v>
      </c>
      <c r="M123" s="55">
        <v>0.5</v>
      </c>
      <c r="N123" s="55">
        <v>0</v>
      </c>
      <c r="O123" s="55">
        <v>0</v>
      </c>
    </row>
    <row r="124" spans="1:16" ht="18" customHeight="1">
      <c r="A124" s="47"/>
      <c r="B124" s="53" t="s">
        <v>206</v>
      </c>
      <c r="C124" s="54" t="s">
        <v>203</v>
      </c>
      <c r="D124" s="55">
        <v>269</v>
      </c>
      <c r="E124" s="50">
        <v>5.03</v>
      </c>
      <c r="F124" s="55">
        <v>50</v>
      </c>
      <c r="G124" s="50">
        <v>1.8</v>
      </c>
      <c r="H124" s="55">
        <v>13.3</v>
      </c>
      <c r="I124" s="55">
        <v>0</v>
      </c>
      <c r="J124" s="55">
        <v>0</v>
      </c>
      <c r="K124" s="55">
        <v>0.1</v>
      </c>
      <c r="L124" s="55">
        <v>0.03</v>
      </c>
      <c r="M124" s="55">
        <v>1.7</v>
      </c>
      <c r="N124" s="55">
        <v>0</v>
      </c>
      <c r="O124" s="55">
        <v>0</v>
      </c>
    </row>
    <row r="125" spans="1:16" ht="18" customHeight="1">
      <c r="A125" s="47" t="s">
        <v>88</v>
      </c>
      <c r="B125" s="53" t="s">
        <v>207</v>
      </c>
      <c r="C125" s="54" t="s">
        <v>203</v>
      </c>
      <c r="D125" s="55">
        <v>269</v>
      </c>
      <c r="E125" s="50">
        <v>5.03</v>
      </c>
      <c r="F125" s="55">
        <v>53</v>
      </c>
      <c r="G125" s="50">
        <v>2.2999999999999998</v>
      </c>
      <c r="H125" s="55">
        <v>13.3</v>
      </c>
      <c r="I125" s="55">
        <v>0</v>
      </c>
      <c r="J125" s="55">
        <v>0</v>
      </c>
      <c r="K125" s="55">
        <v>0.1</v>
      </c>
      <c r="L125" s="55">
        <v>0.03</v>
      </c>
      <c r="M125" s="55">
        <v>1.7</v>
      </c>
      <c r="N125" s="55">
        <v>0</v>
      </c>
      <c r="O125" s="55">
        <v>0</v>
      </c>
      <c r="P125" s="47" t="s">
        <v>147</v>
      </c>
    </row>
    <row r="126" spans="1:16" ht="18" customHeight="1">
      <c r="A126" s="47" t="s">
        <v>88</v>
      </c>
      <c r="B126" s="53" t="s">
        <v>208</v>
      </c>
      <c r="C126" s="54" t="s">
        <v>208</v>
      </c>
      <c r="D126" s="55">
        <v>190</v>
      </c>
      <c r="E126" s="50">
        <v>11.2</v>
      </c>
      <c r="F126" s="55">
        <v>73</v>
      </c>
      <c r="G126" s="50">
        <v>1.2</v>
      </c>
      <c r="H126" s="55">
        <v>34</v>
      </c>
      <c r="I126" s="55">
        <v>7.5</v>
      </c>
      <c r="J126" s="55">
        <v>0</v>
      </c>
      <c r="K126" s="55">
        <v>2.13</v>
      </c>
      <c r="L126" s="55">
        <v>0.24</v>
      </c>
      <c r="M126" s="55">
        <v>6.8</v>
      </c>
      <c r="N126" s="55">
        <v>0</v>
      </c>
      <c r="O126" s="55">
        <v>0</v>
      </c>
      <c r="P126" s="47" t="s">
        <v>51</v>
      </c>
    </row>
    <row r="127" spans="1:16" ht="18" customHeight="1">
      <c r="A127" s="47" t="s">
        <v>88</v>
      </c>
      <c r="B127" s="53" t="s">
        <v>209</v>
      </c>
      <c r="C127" s="54" t="s">
        <v>210</v>
      </c>
      <c r="D127" s="55">
        <v>140</v>
      </c>
      <c r="E127" s="50">
        <v>4.9000000000000004</v>
      </c>
      <c r="F127" s="55">
        <v>29.4</v>
      </c>
      <c r="G127" s="50">
        <v>30.6</v>
      </c>
      <c r="H127" s="55">
        <v>21</v>
      </c>
      <c r="I127" s="55">
        <v>2.2000000000000002</v>
      </c>
      <c r="J127" s="55">
        <v>9</v>
      </c>
      <c r="K127" s="55">
        <v>0.25</v>
      </c>
      <c r="L127" s="55">
        <v>0.11</v>
      </c>
      <c r="M127" s="55">
        <v>2.6</v>
      </c>
      <c r="N127" s="55">
        <v>4</v>
      </c>
      <c r="O127" s="55">
        <v>26</v>
      </c>
      <c r="P127" s="47" t="s">
        <v>51</v>
      </c>
    </row>
    <row r="128" spans="1:16" ht="18" customHeight="1">
      <c r="A128" s="47" t="s">
        <v>88</v>
      </c>
      <c r="B128" s="53" t="s">
        <v>211</v>
      </c>
      <c r="C128" s="54" t="s">
        <v>212</v>
      </c>
      <c r="D128" s="55">
        <v>371</v>
      </c>
      <c r="E128" s="50">
        <v>6.8</v>
      </c>
      <c r="F128" s="55">
        <v>74.900000000000006</v>
      </c>
      <c r="G128" s="50">
        <v>1</v>
      </c>
      <c r="H128" s="55">
        <v>5</v>
      </c>
      <c r="I128" s="55">
        <v>0.5</v>
      </c>
      <c r="J128" s="55">
        <v>0</v>
      </c>
      <c r="K128" s="55">
        <v>0.15</v>
      </c>
      <c r="L128" s="55">
        <v>0.8</v>
      </c>
      <c r="M128" s="55">
        <v>1.5</v>
      </c>
      <c r="N128" s="55">
        <v>0</v>
      </c>
      <c r="O128" s="55">
        <v>0</v>
      </c>
      <c r="P128" s="47" t="s">
        <v>51</v>
      </c>
    </row>
    <row r="129" spans="1:16" ht="18" customHeight="1">
      <c r="A129" s="47"/>
      <c r="B129" s="53" t="s">
        <v>213</v>
      </c>
      <c r="C129" s="54" t="s">
        <v>213</v>
      </c>
      <c r="D129" s="55">
        <v>349</v>
      </c>
      <c r="E129" s="50">
        <v>9.8000000000000007</v>
      </c>
      <c r="F129" s="55">
        <v>75</v>
      </c>
      <c r="G129" s="50">
        <v>1.5</v>
      </c>
      <c r="H129" s="55">
        <v>0</v>
      </c>
      <c r="I129" s="55">
        <v>0</v>
      </c>
      <c r="J129" s="55">
        <v>0</v>
      </c>
      <c r="K129" s="55">
        <v>0.22</v>
      </c>
      <c r="L129" s="55">
        <v>0.09</v>
      </c>
      <c r="M129" s="55">
        <v>0</v>
      </c>
      <c r="N129" s="55">
        <v>0</v>
      </c>
      <c r="O129" s="55">
        <v>0</v>
      </c>
    </row>
    <row r="130" spans="1:16" ht="18" customHeight="1">
      <c r="A130" s="47" t="s">
        <v>88</v>
      </c>
      <c r="B130" s="53" t="s">
        <v>214</v>
      </c>
      <c r="C130" s="54" t="s">
        <v>215</v>
      </c>
      <c r="D130" s="55">
        <v>349</v>
      </c>
      <c r="E130" s="50">
        <v>9.8000000000000007</v>
      </c>
      <c r="F130" s="55">
        <v>71</v>
      </c>
      <c r="G130" s="50">
        <v>1.2</v>
      </c>
      <c r="H130" s="55">
        <v>0</v>
      </c>
      <c r="I130" s="55">
        <v>0</v>
      </c>
      <c r="J130" s="55">
        <v>0</v>
      </c>
      <c r="K130" s="55">
        <v>0.22</v>
      </c>
      <c r="L130" s="55">
        <v>0.09</v>
      </c>
      <c r="M130" s="55">
        <v>0</v>
      </c>
      <c r="N130" s="55">
        <v>0</v>
      </c>
      <c r="O130" s="55">
        <v>0</v>
      </c>
      <c r="P130" s="47" t="s">
        <v>51</v>
      </c>
    </row>
    <row r="131" spans="1:16" ht="18" customHeight="1">
      <c r="A131" s="47" t="s">
        <v>88</v>
      </c>
      <c r="B131" s="53" t="s">
        <v>216</v>
      </c>
      <c r="C131" s="54" t="s">
        <v>217</v>
      </c>
      <c r="D131" s="55">
        <v>363</v>
      </c>
      <c r="E131" s="50">
        <v>10.1</v>
      </c>
      <c r="F131" s="55">
        <v>67.8</v>
      </c>
      <c r="G131" s="50">
        <v>3.7</v>
      </c>
      <c r="H131" s="55">
        <v>36</v>
      </c>
      <c r="I131" s="55">
        <v>3.6</v>
      </c>
      <c r="J131" s="55">
        <v>0</v>
      </c>
      <c r="K131" s="55">
        <v>0.2</v>
      </c>
      <c r="L131" s="55">
        <v>0.27</v>
      </c>
      <c r="M131" s="55">
        <v>1.8</v>
      </c>
      <c r="N131" s="55">
        <v>0</v>
      </c>
      <c r="O131" s="55">
        <v>0</v>
      </c>
      <c r="P131" s="47" t="s">
        <v>51</v>
      </c>
    </row>
    <row r="132" spans="1:16" ht="18" customHeight="1">
      <c r="A132" s="47" t="s">
        <v>88</v>
      </c>
      <c r="B132" s="53" t="s">
        <v>218</v>
      </c>
      <c r="C132" s="54" t="s">
        <v>219</v>
      </c>
      <c r="D132" s="55">
        <v>317</v>
      </c>
      <c r="E132" s="50">
        <v>13</v>
      </c>
      <c r="F132" s="55">
        <v>73.5</v>
      </c>
      <c r="G132" s="50">
        <v>6.2</v>
      </c>
      <c r="H132" s="55">
        <v>55</v>
      </c>
      <c r="I132" s="55">
        <v>4.5999999999999996</v>
      </c>
      <c r="J132" s="55">
        <v>0</v>
      </c>
      <c r="K132" s="55">
        <v>0.3</v>
      </c>
      <c r="L132" s="55">
        <v>0.1</v>
      </c>
      <c r="M132" s="55">
        <v>1.5</v>
      </c>
      <c r="N132" s="55">
        <v>0</v>
      </c>
      <c r="O132" s="55">
        <v>0</v>
      </c>
      <c r="P132" s="47" t="s">
        <v>51</v>
      </c>
    </row>
    <row r="133" spans="1:16" ht="18" customHeight="1">
      <c r="A133" s="47" t="s">
        <v>88</v>
      </c>
      <c r="B133" s="53" t="s">
        <v>220</v>
      </c>
      <c r="C133" s="54" t="s">
        <v>219</v>
      </c>
      <c r="D133" s="55">
        <v>352</v>
      </c>
      <c r="E133" s="50">
        <v>11.5</v>
      </c>
      <c r="F133" s="55">
        <v>74.599999999999994</v>
      </c>
      <c r="G133" s="50">
        <v>2.1</v>
      </c>
      <c r="H133" s="55">
        <v>11</v>
      </c>
      <c r="I133" s="55">
        <v>2.5</v>
      </c>
      <c r="J133" s="55">
        <v>0</v>
      </c>
      <c r="K133" s="55">
        <v>0.14000000000000001</v>
      </c>
      <c r="L133" s="55">
        <v>0.05</v>
      </c>
      <c r="M133" s="55">
        <v>3.2</v>
      </c>
      <c r="N133" s="55">
        <v>0</v>
      </c>
      <c r="O133" s="55">
        <v>0</v>
      </c>
      <c r="P133" s="47" t="s">
        <v>51</v>
      </c>
    </row>
    <row r="134" spans="1:16" ht="18" customHeight="1">
      <c r="A134" s="47" t="s">
        <v>88</v>
      </c>
      <c r="B134" s="53" t="s">
        <v>221</v>
      </c>
      <c r="C134" s="54" t="s">
        <v>219</v>
      </c>
      <c r="D134" s="55">
        <v>365</v>
      </c>
      <c r="E134" s="50">
        <v>9.5</v>
      </c>
      <c r="F134" s="55">
        <v>74.099999999999994</v>
      </c>
      <c r="G134" s="50">
        <v>3.1</v>
      </c>
      <c r="H134" s="55">
        <v>6</v>
      </c>
      <c r="I134" s="55">
        <v>1.5</v>
      </c>
      <c r="J134" s="55">
        <v>0</v>
      </c>
      <c r="K134" s="55">
        <v>0.1</v>
      </c>
      <c r="L134" s="55">
        <v>0.03</v>
      </c>
      <c r="M134" s="55">
        <v>3</v>
      </c>
      <c r="N134" s="55">
        <v>0</v>
      </c>
      <c r="O134" s="55">
        <v>0</v>
      </c>
      <c r="P134" s="47" t="s">
        <v>51</v>
      </c>
    </row>
    <row r="135" spans="1:16" ht="18" customHeight="1">
      <c r="A135" s="47" t="s">
        <v>88</v>
      </c>
      <c r="B135" s="53" t="s">
        <v>222</v>
      </c>
      <c r="C135" s="54" t="s">
        <v>219</v>
      </c>
      <c r="D135" s="55">
        <v>377</v>
      </c>
      <c r="E135" s="50">
        <v>9.6999999999999993</v>
      </c>
      <c r="F135" s="55">
        <v>73</v>
      </c>
      <c r="G135" s="50">
        <v>3.7</v>
      </c>
      <c r="H135" s="55">
        <v>11</v>
      </c>
      <c r="I135" s="55">
        <v>2.2999999999999998</v>
      </c>
      <c r="J135" s="55">
        <v>0</v>
      </c>
      <c r="K135" s="55">
        <v>0.21</v>
      </c>
      <c r="L135" s="55">
        <v>0.09</v>
      </c>
      <c r="M135" s="55">
        <v>1.5</v>
      </c>
      <c r="N135" s="55">
        <v>0</v>
      </c>
      <c r="O135" s="55">
        <v>0</v>
      </c>
      <c r="P135" s="47" t="s">
        <v>51</v>
      </c>
    </row>
    <row r="136" spans="1:16" ht="18" customHeight="1">
      <c r="A136" s="47" t="s">
        <v>102</v>
      </c>
      <c r="B136" s="53" t="s">
        <v>1</v>
      </c>
      <c r="C136" s="54" t="s">
        <v>223</v>
      </c>
      <c r="D136" s="55">
        <v>200</v>
      </c>
      <c r="E136" s="50">
        <v>9.4</v>
      </c>
      <c r="F136" s="55">
        <v>81.900000000000006</v>
      </c>
      <c r="G136" s="50">
        <v>0.4</v>
      </c>
      <c r="H136" s="55">
        <v>7</v>
      </c>
      <c r="I136" s="55">
        <v>0.7</v>
      </c>
      <c r="J136" s="55">
        <v>0</v>
      </c>
      <c r="K136" s="55">
        <v>0.32</v>
      </c>
      <c r="L136" s="55">
        <v>0.04</v>
      </c>
      <c r="M136" s="55">
        <v>2.4</v>
      </c>
      <c r="N136" s="55">
        <v>0</v>
      </c>
      <c r="O136" s="55">
        <v>0</v>
      </c>
      <c r="P136" s="47" t="s">
        <v>104</v>
      </c>
    </row>
    <row r="137" spans="1:16" ht="18" customHeight="1">
      <c r="A137" s="47" t="s">
        <v>88</v>
      </c>
      <c r="B137" s="53" t="s">
        <v>224</v>
      </c>
      <c r="C137" s="54" t="s">
        <v>225</v>
      </c>
      <c r="D137" s="55">
        <v>374</v>
      </c>
      <c r="E137" s="50">
        <v>7.4</v>
      </c>
      <c r="F137" s="55">
        <v>75.7</v>
      </c>
      <c r="G137" s="50">
        <v>0.4</v>
      </c>
      <c r="H137" s="55">
        <v>4</v>
      </c>
      <c r="I137" s="55">
        <v>2.2000000000000002</v>
      </c>
      <c r="J137" s="55">
        <v>0</v>
      </c>
      <c r="K137" s="55">
        <v>1.4</v>
      </c>
      <c r="L137" s="55">
        <v>0.08</v>
      </c>
      <c r="M137" s="55">
        <v>1.6</v>
      </c>
      <c r="N137" s="55">
        <v>0</v>
      </c>
      <c r="O137" s="55">
        <v>0</v>
      </c>
      <c r="P137" s="47" t="s">
        <v>51</v>
      </c>
    </row>
    <row r="138" spans="1:16" ht="18" customHeight="1">
      <c r="A138" s="47" t="s">
        <v>88</v>
      </c>
      <c r="B138" s="53" t="s">
        <v>226</v>
      </c>
      <c r="C138" s="54" t="s">
        <v>225</v>
      </c>
      <c r="D138" s="55">
        <v>354</v>
      </c>
      <c r="E138" s="50">
        <v>6.4</v>
      </c>
      <c r="F138" s="55">
        <v>74.900000000000006</v>
      </c>
      <c r="G138" s="50">
        <v>2.7</v>
      </c>
      <c r="H138" s="55">
        <v>1</v>
      </c>
      <c r="I138" s="55">
        <v>3.6</v>
      </c>
      <c r="J138" s="55">
        <v>0</v>
      </c>
      <c r="K138" s="55">
        <v>0.34</v>
      </c>
      <c r="L138" s="55">
        <v>7.0000000000000007E-2</v>
      </c>
      <c r="M138" s="55">
        <v>2.4</v>
      </c>
      <c r="N138" s="55">
        <v>0</v>
      </c>
      <c r="O138" s="55">
        <v>0</v>
      </c>
      <c r="P138" s="47" t="s">
        <v>51</v>
      </c>
    </row>
    <row r="139" spans="1:16" ht="18" customHeight="1">
      <c r="A139" s="47" t="s">
        <v>88</v>
      </c>
      <c r="B139" s="53" t="s">
        <v>1908</v>
      </c>
      <c r="C139" s="54" t="s">
        <v>225</v>
      </c>
      <c r="D139" s="55">
        <v>354</v>
      </c>
      <c r="E139" s="50">
        <v>6.4</v>
      </c>
      <c r="F139" s="55">
        <v>74.900000000000006</v>
      </c>
      <c r="G139" s="50">
        <v>2.7</v>
      </c>
      <c r="H139" s="55">
        <v>1</v>
      </c>
      <c r="I139" s="55">
        <v>3.6</v>
      </c>
      <c r="J139" s="55">
        <v>0</v>
      </c>
      <c r="K139" s="55">
        <v>0.34</v>
      </c>
      <c r="L139" s="55">
        <v>7.0000000000000007E-2</v>
      </c>
      <c r="M139" s="55">
        <v>2.4</v>
      </c>
      <c r="N139" s="55">
        <v>0</v>
      </c>
      <c r="O139" s="55">
        <v>0</v>
      </c>
      <c r="P139" s="47" t="s">
        <v>51</v>
      </c>
    </row>
    <row r="140" spans="1:16" ht="18" customHeight="1">
      <c r="A140" s="47" t="s">
        <v>88</v>
      </c>
      <c r="B140" s="53" t="s">
        <v>227</v>
      </c>
      <c r="C140" s="54" t="s">
        <v>228</v>
      </c>
      <c r="D140" s="55">
        <v>339</v>
      </c>
      <c r="E140" s="50">
        <v>10.5</v>
      </c>
      <c r="F140" s="55">
        <v>71</v>
      </c>
      <c r="G140" s="50">
        <v>1.7</v>
      </c>
      <c r="H140" s="55">
        <v>44</v>
      </c>
      <c r="I140" s="55">
        <v>3.2</v>
      </c>
      <c r="J140" s="55">
        <v>0</v>
      </c>
      <c r="K140" s="55">
        <v>0.26</v>
      </c>
      <c r="L140" s="55">
        <v>0.05</v>
      </c>
      <c r="M140" s="55">
        <v>6</v>
      </c>
      <c r="N140" s="55">
        <v>0</v>
      </c>
      <c r="O140" s="55">
        <v>0</v>
      </c>
      <c r="P140" s="47" t="s">
        <v>51</v>
      </c>
    </row>
    <row r="141" spans="1:16" ht="18" customHeight="1">
      <c r="A141" s="47" t="s">
        <v>88</v>
      </c>
      <c r="B141" s="53" t="s">
        <v>229</v>
      </c>
      <c r="C141" s="54" t="s">
        <v>230</v>
      </c>
      <c r="D141" s="55">
        <v>379</v>
      </c>
      <c r="E141" s="50">
        <v>15.1</v>
      </c>
      <c r="F141" s="55">
        <v>70.5</v>
      </c>
      <c r="G141" s="50">
        <v>6.4</v>
      </c>
      <c r="H141" s="55">
        <v>147</v>
      </c>
      <c r="I141" s="55">
        <v>5.6</v>
      </c>
      <c r="J141" s="55">
        <v>0</v>
      </c>
      <c r="K141" s="55">
        <v>0.17</v>
      </c>
      <c r="L141" s="55">
        <v>0.03</v>
      </c>
      <c r="M141" s="55">
        <v>3.3</v>
      </c>
      <c r="N141" s="55">
        <v>0</v>
      </c>
      <c r="O141" s="55">
        <v>0</v>
      </c>
      <c r="P141" s="47" t="s">
        <v>51</v>
      </c>
    </row>
    <row r="142" spans="1:16" ht="18" customHeight="1">
      <c r="A142" s="47" t="s">
        <v>88</v>
      </c>
      <c r="B142" s="53" t="s">
        <v>231</v>
      </c>
      <c r="C142" s="54" t="s">
        <v>232</v>
      </c>
      <c r="D142" s="55">
        <v>363</v>
      </c>
      <c r="E142" s="50">
        <v>9.3000000000000007</v>
      </c>
      <c r="F142" s="55">
        <v>74</v>
      </c>
      <c r="G142" s="50">
        <v>3</v>
      </c>
      <c r="H142" s="55">
        <v>17</v>
      </c>
      <c r="I142" s="55">
        <v>3</v>
      </c>
      <c r="J142" s="55">
        <v>0</v>
      </c>
      <c r="K142" s="55">
        <v>0.24</v>
      </c>
      <c r="L142" s="55">
        <v>0.11</v>
      </c>
      <c r="M142" s="55">
        <v>4.3</v>
      </c>
      <c r="N142" s="55">
        <v>0</v>
      </c>
      <c r="O142" s="55">
        <v>0</v>
      </c>
      <c r="P142" s="47" t="s">
        <v>51</v>
      </c>
    </row>
    <row r="143" spans="1:16" ht="18" customHeight="1">
      <c r="A143" s="47" t="s">
        <v>88</v>
      </c>
      <c r="B143" s="53" t="s">
        <v>233</v>
      </c>
      <c r="C143" s="54" t="s">
        <v>234</v>
      </c>
      <c r="D143" s="55">
        <v>354</v>
      </c>
      <c r="E143" s="50">
        <v>10.5</v>
      </c>
      <c r="F143" s="55">
        <v>74</v>
      </c>
      <c r="G143" s="50">
        <v>1.9</v>
      </c>
      <c r="H143" s="55">
        <v>11</v>
      </c>
      <c r="I143" s="55">
        <v>2.8</v>
      </c>
      <c r="J143" s="55">
        <v>0</v>
      </c>
      <c r="K143" s="55">
        <v>0.11</v>
      </c>
      <c r="L143" s="55">
        <v>0.03</v>
      </c>
      <c r="M143" s="55">
        <v>2.8</v>
      </c>
      <c r="N143" s="55">
        <v>0</v>
      </c>
      <c r="O143" s="55">
        <v>0</v>
      </c>
      <c r="P143" s="47" t="s">
        <v>51</v>
      </c>
    </row>
    <row r="144" spans="1:16" ht="18" customHeight="1">
      <c r="A144" s="47" t="s">
        <v>88</v>
      </c>
      <c r="B144" s="53" t="s">
        <v>235</v>
      </c>
      <c r="C144" s="54" t="s">
        <v>236</v>
      </c>
      <c r="D144" s="55">
        <v>363</v>
      </c>
      <c r="E144" s="50">
        <v>9.3000000000000007</v>
      </c>
      <c r="F144" s="55">
        <v>74</v>
      </c>
      <c r="G144" s="50">
        <v>3</v>
      </c>
      <c r="H144" s="55">
        <v>17</v>
      </c>
      <c r="I144" s="55">
        <v>3</v>
      </c>
      <c r="J144" s="55">
        <v>0</v>
      </c>
      <c r="K144" s="55">
        <v>0.24</v>
      </c>
      <c r="L144" s="55">
        <v>0.11</v>
      </c>
      <c r="M144" s="55">
        <v>4.3</v>
      </c>
      <c r="N144" s="55">
        <v>0</v>
      </c>
      <c r="O144" s="55">
        <v>0</v>
      </c>
      <c r="P144" s="47" t="s">
        <v>51</v>
      </c>
    </row>
    <row r="145" spans="1:16" ht="18" customHeight="1">
      <c r="A145" s="47" t="s">
        <v>88</v>
      </c>
      <c r="B145" s="53" t="s">
        <v>237</v>
      </c>
      <c r="C145" s="54" t="s">
        <v>238</v>
      </c>
      <c r="D145" s="55">
        <v>359</v>
      </c>
      <c r="E145" s="50">
        <v>8.1999999999999993</v>
      </c>
      <c r="F145" s="55">
        <v>74.900000000000006</v>
      </c>
      <c r="G145" s="50">
        <v>3</v>
      </c>
      <c r="H145" s="55">
        <v>16</v>
      </c>
      <c r="I145" s="55">
        <v>1.9</v>
      </c>
      <c r="J145" s="55">
        <v>0</v>
      </c>
      <c r="K145" s="55">
        <v>0.3</v>
      </c>
      <c r="L145" s="55">
        <v>0.12</v>
      </c>
      <c r="M145" s="55">
        <v>5</v>
      </c>
      <c r="N145" s="55">
        <v>0</v>
      </c>
      <c r="O145" s="55">
        <v>0</v>
      </c>
      <c r="P145" s="47" t="s">
        <v>51</v>
      </c>
    </row>
    <row r="146" spans="1:16" ht="18" customHeight="1">
      <c r="A146" s="47" t="s">
        <v>88</v>
      </c>
      <c r="B146" s="53" t="s">
        <v>239</v>
      </c>
      <c r="C146" s="54" t="s">
        <v>240</v>
      </c>
      <c r="D146" s="55">
        <v>360</v>
      </c>
      <c r="E146" s="50">
        <v>7.4</v>
      </c>
      <c r="F146" s="55">
        <v>75.3</v>
      </c>
      <c r="G146" s="50">
        <v>2.1</v>
      </c>
      <c r="H146" s="55">
        <v>21</v>
      </c>
      <c r="I146" s="55">
        <v>3.4</v>
      </c>
      <c r="J146" s="55">
        <v>0</v>
      </c>
      <c r="K146" s="55">
        <v>0.3</v>
      </c>
      <c r="L146" s="55">
        <v>0.12</v>
      </c>
      <c r="M146" s="55">
        <v>5</v>
      </c>
      <c r="N146" s="55">
        <v>0</v>
      </c>
      <c r="O146" s="55">
        <v>0</v>
      </c>
      <c r="P146" s="47" t="s">
        <v>51</v>
      </c>
    </row>
    <row r="147" spans="1:16" ht="18" customHeight="1">
      <c r="A147" s="47" t="s">
        <v>88</v>
      </c>
      <c r="B147" s="53" t="s">
        <v>1784</v>
      </c>
      <c r="C147" s="54" t="s">
        <v>240</v>
      </c>
      <c r="D147" s="55">
        <v>360</v>
      </c>
      <c r="E147" s="50">
        <v>7.4</v>
      </c>
      <c r="F147" s="55">
        <v>75.3</v>
      </c>
      <c r="G147" s="50">
        <v>2.1</v>
      </c>
      <c r="H147" s="55">
        <v>21</v>
      </c>
      <c r="I147" s="55">
        <v>3.4</v>
      </c>
      <c r="J147" s="55">
        <v>0</v>
      </c>
      <c r="K147" s="55">
        <v>0.3</v>
      </c>
      <c r="L147" s="55">
        <v>0.12</v>
      </c>
      <c r="M147" s="55">
        <v>5</v>
      </c>
      <c r="N147" s="55">
        <v>0</v>
      </c>
      <c r="O147" s="55">
        <v>0</v>
      </c>
      <c r="P147" s="47" t="s">
        <v>59</v>
      </c>
    </row>
    <row r="148" spans="1:16" ht="18" customHeight="1">
      <c r="A148" s="47" t="s">
        <v>88</v>
      </c>
      <c r="B148" s="53" t="s">
        <v>1692</v>
      </c>
      <c r="C148" s="54" t="s">
        <v>242</v>
      </c>
      <c r="D148" s="55">
        <v>345</v>
      </c>
      <c r="E148" s="50">
        <v>9.9</v>
      </c>
      <c r="F148" s="55">
        <v>71</v>
      </c>
      <c r="G148" s="50">
        <v>1.7</v>
      </c>
      <c r="H148" s="55">
        <v>19</v>
      </c>
      <c r="I148" s="55">
        <v>1.4</v>
      </c>
      <c r="J148" s="55">
        <v>0</v>
      </c>
      <c r="K148" s="55">
        <v>0.41</v>
      </c>
      <c r="L148" s="55">
        <v>0.04</v>
      </c>
      <c r="M148" s="55">
        <v>0.9</v>
      </c>
      <c r="N148" s="55">
        <v>0</v>
      </c>
      <c r="O148" s="55">
        <v>0</v>
      </c>
      <c r="P148" s="47" t="s">
        <v>51</v>
      </c>
    </row>
    <row r="149" spans="1:16" ht="18" customHeight="1">
      <c r="A149" s="47" t="s">
        <v>88</v>
      </c>
      <c r="B149" s="53" t="s">
        <v>241</v>
      </c>
      <c r="C149" s="54" t="s">
        <v>242</v>
      </c>
      <c r="D149" s="55">
        <v>345</v>
      </c>
      <c r="E149" s="50">
        <v>9.9</v>
      </c>
      <c r="F149" s="55">
        <v>71</v>
      </c>
      <c r="G149" s="50">
        <v>1.7</v>
      </c>
      <c r="H149" s="55">
        <v>19</v>
      </c>
      <c r="I149" s="55">
        <v>1.4</v>
      </c>
      <c r="J149" s="55">
        <v>0</v>
      </c>
      <c r="K149" s="55">
        <v>0.41</v>
      </c>
      <c r="L149" s="55">
        <v>0.04</v>
      </c>
      <c r="M149" s="55">
        <v>0.9</v>
      </c>
      <c r="N149" s="55">
        <v>0</v>
      </c>
      <c r="O149" s="55">
        <v>0</v>
      </c>
      <c r="P149" s="47" t="s">
        <v>51</v>
      </c>
    </row>
    <row r="150" spans="1:16" ht="18" customHeight="1">
      <c r="A150" s="47" t="s">
        <v>88</v>
      </c>
      <c r="B150" s="53" t="s">
        <v>243</v>
      </c>
      <c r="C150" s="54" t="s">
        <v>69</v>
      </c>
      <c r="D150" s="55">
        <v>294</v>
      </c>
      <c r="E150" s="50">
        <v>6.6</v>
      </c>
      <c r="F150" s="55">
        <v>75</v>
      </c>
      <c r="G150" s="50">
        <v>1</v>
      </c>
      <c r="H150" s="55">
        <v>28</v>
      </c>
      <c r="I150" s="55">
        <v>2.2000000000000002</v>
      </c>
      <c r="J150" s="55">
        <v>0</v>
      </c>
      <c r="K150" s="55">
        <v>0.2</v>
      </c>
      <c r="L150" s="55">
        <v>0.04</v>
      </c>
      <c r="M150" s="55">
        <v>1.8</v>
      </c>
      <c r="N150" s="55">
        <v>0.1</v>
      </c>
      <c r="O150" s="55">
        <v>0</v>
      </c>
      <c r="P150" s="47" t="s">
        <v>51</v>
      </c>
    </row>
    <row r="151" spans="1:16" ht="18" customHeight="1">
      <c r="A151" s="47" t="s">
        <v>88</v>
      </c>
      <c r="B151" s="53" t="s">
        <v>244</v>
      </c>
      <c r="C151" s="54" t="s">
        <v>245</v>
      </c>
      <c r="D151" s="55">
        <v>294</v>
      </c>
      <c r="E151" s="50">
        <v>6.6</v>
      </c>
      <c r="F151" s="55">
        <v>75</v>
      </c>
      <c r="G151" s="50">
        <v>1.1000000000000001</v>
      </c>
      <c r="H151" s="55">
        <v>28</v>
      </c>
      <c r="I151" s="55">
        <v>2.2000000000000002</v>
      </c>
      <c r="J151" s="55">
        <v>0</v>
      </c>
      <c r="K151" s="55">
        <v>0.2</v>
      </c>
      <c r="L151" s="55">
        <v>0.04</v>
      </c>
      <c r="M151" s="55">
        <v>1.8</v>
      </c>
      <c r="N151" s="55">
        <v>0.1</v>
      </c>
      <c r="O151" s="55">
        <v>0</v>
      </c>
      <c r="P151" s="47" t="s">
        <v>51</v>
      </c>
    </row>
    <row r="152" spans="1:16" ht="18" customHeight="1">
      <c r="A152" s="47" t="s">
        <v>88</v>
      </c>
      <c r="B152" s="53" t="s">
        <v>246</v>
      </c>
      <c r="C152" s="54" t="s">
        <v>247</v>
      </c>
      <c r="D152" s="55">
        <v>226</v>
      </c>
      <c r="E152" s="50">
        <v>5.8</v>
      </c>
      <c r="F152" s="55">
        <v>72</v>
      </c>
      <c r="G152" s="50">
        <v>1.3</v>
      </c>
      <c r="H152" s="55">
        <v>14</v>
      </c>
      <c r="I152" s="55">
        <v>1.4</v>
      </c>
      <c r="J152" s="55">
        <v>0</v>
      </c>
      <c r="K152" s="55">
        <v>0.08</v>
      </c>
      <c r="L152" s="55">
        <v>0.13</v>
      </c>
      <c r="M152" s="55">
        <v>4.5999999999999996</v>
      </c>
      <c r="N152" s="55">
        <v>0</v>
      </c>
      <c r="O152" s="55">
        <v>0</v>
      </c>
      <c r="P152" s="47" t="s">
        <v>51</v>
      </c>
    </row>
    <row r="153" spans="1:16" ht="18" customHeight="1">
      <c r="A153" s="47" t="s">
        <v>88</v>
      </c>
      <c r="B153" s="53" t="s">
        <v>248</v>
      </c>
      <c r="C153" s="54" t="s">
        <v>249</v>
      </c>
      <c r="D153" s="55">
        <v>366</v>
      </c>
      <c r="E153" s="50">
        <v>8.5</v>
      </c>
      <c r="F153" s="55">
        <v>77</v>
      </c>
      <c r="G153" s="50">
        <v>6.8</v>
      </c>
      <c r="H153" s="55">
        <v>72</v>
      </c>
      <c r="I153" s="55">
        <v>0.5</v>
      </c>
      <c r="J153" s="55">
        <v>0</v>
      </c>
      <c r="K153" s="55">
        <v>0.12</v>
      </c>
      <c r="L153" s="55">
        <v>0.75</v>
      </c>
      <c r="M153" s="55">
        <v>0.8</v>
      </c>
      <c r="N153" s="55">
        <v>0</v>
      </c>
      <c r="O153" s="55">
        <v>0</v>
      </c>
      <c r="P153" s="47" t="s">
        <v>51</v>
      </c>
    </row>
    <row r="154" spans="1:16" ht="18" customHeight="1">
      <c r="A154" s="47" t="s">
        <v>88</v>
      </c>
      <c r="B154" s="53" t="s">
        <v>250</v>
      </c>
      <c r="C154" s="54" t="s">
        <v>249</v>
      </c>
      <c r="D154" s="55">
        <v>328</v>
      </c>
      <c r="E154" s="50">
        <v>7.3</v>
      </c>
      <c r="F154" s="55">
        <v>76.8</v>
      </c>
      <c r="G154" s="50">
        <v>1.5</v>
      </c>
      <c r="H154" s="55">
        <v>46</v>
      </c>
      <c r="I154" s="55">
        <v>0.5</v>
      </c>
      <c r="J154" s="55">
        <v>0</v>
      </c>
      <c r="K154" s="55">
        <v>0.13</v>
      </c>
      <c r="L154" s="55">
        <v>0.02</v>
      </c>
      <c r="M154" s="55">
        <v>1</v>
      </c>
      <c r="N154" s="55">
        <v>0</v>
      </c>
      <c r="O154" s="55">
        <v>0</v>
      </c>
      <c r="P154" s="47" t="s">
        <v>51</v>
      </c>
    </row>
    <row r="155" spans="1:16" ht="18" customHeight="1">
      <c r="A155" s="47" t="s">
        <v>88</v>
      </c>
      <c r="B155" s="53" t="s">
        <v>251</v>
      </c>
      <c r="C155" s="54" t="s">
        <v>249</v>
      </c>
      <c r="D155" s="55">
        <v>355</v>
      </c>
      <c r="E155" s="50">
        <v>7.9</v>
      </c>
      <c r="F155" s="55">
        <v>76</v>
      </c>
      <c r="G155" s="50">
        <v>4.9000000000000004</v>
      </c>
      <c r="H155" s="55">
        <v>102</v>
      </c>
      <c r="I155" s="55">
        <v>0.4</v>
      </c>
      <c r="J155" s="55">
        <v>0</v>
      </c>
      <c r="K155" s="55">
        <v>0.11</v>
      </c>
      <c r="L155" s="55">
        <v>0.3</v>
      </c>
      <c r="M155" s="55">
        <v>1.3</v>
      </c>
      <c r="N155" s="55">
        <v>0</v>
      </c>
      <c r="O155" s="55">
        <v>0</v>
      </c>
      <c r="P155" s="47" t="s">
        <v>51</v>
      </c>
    </row>
    <row r="156" spans="1:16" ht="18" customHeight="1">
      <c r="A156" s="47" t="s">
        <v>88</v>
      </c>
      <c r="B156" s="53" t="s">
        <v>252</v>
      </c>
      <c r="C156" s="54" t="s">
        <v>253</v>
      </c>
      <c r="D156" s="55">
        <v>342</v>
      </c>
      <c r="E156" s="50">
        <v>20.6</v>
      </c>
      <c r="F156" s="55">
        <v>72</v>
      </c>
      <c r="G156" s="50">
        <v>1.5</v>
      </c>
      <c r="H156" s="55">
        <v>44</v>
      </c>
      <c r="I156" s="55">
        <v>1.5</v>
      </c>
      <c r="J156" s="55">
        <v>0</v>
      </c>
      <c r="K156" s="55">
        <v>0.3</v>
      </c>
      <c r="L156" s="55">
        <v>0.04</v>
      </c>
      <c r="M156" s="55">
        <v>2.8</v>
      </c>
      <c r="N156" s="55">
        <v>0.1</v>
      </c>
      <c r="O156" s="55">
        <v>0</v>
      </c>
      <c r="P156" s="47" t="s">
        <v>51</v>
      </c>
    </row>
    <row r="157" spans="1:16" ht="18" customHeight="1">
      <c r="A157" s="47" t="s">
        <v>88</v>
      </c>
      <c r="B157" s="53" t="s">
        <v>254</v>
      </c>
      <c r="C157" s="54" t="s">
        <v>255</v>
      </c>
      <c r="D157" s="55">
        <v>355</v>
      </c>
      <c r="E157" s="50">
        <v>14.2</v>
      </c>
      <c r="F157" s="55">
        <v>72</v>
      </c>
      <c r="G157" s="50">
        <v>3.7</v>
      </c>
      <c r="H157" s="55">
        <v>29</v>
      </c>
      <c r="I157" s="55">
        <v>0.9</v>
      </c>
      <c r="J157" s="55">
        <v>0</v>
      </c>
      <c r="K157" s="55">
        <v>0.13</v>
      </c>
      <c r="L157" s="55">
        <v>0.03</v>
      </c>
      <c r="M157" s="55">
        <v>1.3</v>
      </c>
      <c r="N157" s="55">
        <v>0</v>
      </c>
      <c r="O157" s="55">
        <v>0</v>
      </c>
      <c r="P157" s="47" t="s">
        <v>51</v>
      </c>
    </row>
    <row r="158" spans="1:16" ht="18" customHeight="1">
      <c r="A158" s="47" t="s">
        <v>88</v>
      </c>
      <c r="B158" s="53" t="s">
        <v>256</v>
      </c>
      <c r="C158" s="54" t="s">
        <v>257</v>
      </c>
      <c r="D158" s="55">
        <v>364</v>
      </c>
      <c r="E158" s="50">
        <v>6.5</v>
      </c>
      <c r="F158" s="55">
        <v>78</v>
      </c>
      <c r="G158" s="50">
        <v>1.3</v>
      </c>
      <c r="H158" s="55">
        <v>4</v>
      </c>
      <c r="I158" s="55">
        <v>0.2</v>
      </c>
      <c r="J158" s="55">
        <v>0</v>
      </c>
      <c r="K158" s="55">
        <v>7.0000000000000007E-2</v>
      </c>
      <c r="L158" s="55">
        <v>0.02</v>
      </c>
      <c r="M158" s="55">
        <v>0.9</v>
      </c>
      <c r="N158" s="55">
        <v>0</v>
      </c>
      <c r="O158" s="55">
        <v>0</v>
      </c>
      <c r="P158" s="47" t="s">
        <v>51</v>
      </c>
    </row>
    <row r="159" spans="1:16" ht="18" customHeight="1">
      <c r="A159" s="47" t="s">
        <v>88</v>
      </c>
      <c r="B159" s="53" t="s">
        <v>245</v>
      </c>
      <c r="C159" s="54" t="s">
        <v>258</v>
      </c>
      <c r="D159" s="55">
        <v>362</v>
      </c>
      <c r="E159" s="50">
        <v>6.6</v>
      </c>
      <c r="F159" s="55">
        <v>82</v>
      </c>
      <c r="G159" s="50">
        <v>0.5</v>
      </c>
      <c r="H159" s="55">
        <v>62</v>
      </c>
      <c r="I159" s="55">
        <v>0.6</v>
      </c>
      <c r="J159" s="55">
        <v>26.7</v>
      </c>
      <c r="K159" s="55">
        <v>0.14000000000000001</v>
      </c>
      <c r="L159" s="55">
        <v>0.06</v>
      </c>
      <c r="M159" s="55">
        <v>1.3</v>
      </c>
      <c r="N159" s="55">
        <v>0</v>
      </c>
      <c r="O159" s="55">
        <v>0</v>
      </c>
      <c r="P159" s="47" t="s">
        <v>51</v>
      </c>
    </row>
    <row r="160" spans="1:16" ht="18" customHeight="1">
      <c r="A160" s="47" t="s">
        <v>88</v>
      </c>
      <c r="B160" s="53" t="s">
        <v>259</v>
      </c>
      <c r="C160" s="54" t="s">
        <v>260</v>
      </c>
      <c r="D160" s="55">
        <v>412</v>
      </c>
      <c r="E160" s="50">
        <v>26.7</v>
      </c>
      <c r="F160" s="55">
        <v>42.2</v>
      </c>
      <c r="G160" s="50">
        <v>17.2</v>
      </c>
      <c r="H160" s="55">
        <v>120</v>
      </c>
      <c r="I160" s="55">
        <v>6</v>
      </c>
      <c r="J160" s="55">
        <v>1</v>
      </c>
      <c r="K160" s="55">
        <v>0.7</v>
      </c>
      <c r="L160" s="55">
        <v>0.18</v>
      </c>
      <c r="M160" s="55">
        <v>3.2</v>
      </c>
      <c r="N160" s="55">
        <v>0</v>
      </c>
      <c r="O160" s="55">
        <v>0</v>
      </c>
    </row>
    <row r="161" spans="1:16" ht="18" customHeight="1">
      <c r="A161" s="47" t="s">
        <v>88</v>
      </c>
      <c r="B161" s="48" t="s">
        <v>261</v>
      </c>
      <c r="C161" s="54" t="s">
        <v>261</v>
      </c>
      <c r="D161" s="55">
        <v>217</v>
      </c>
      <c r="E161" s="55">
        <v>4.9000000000000004</v>
      </c>
      <c r="F161" s="55">
        <v>46</v>
      </c>
      <c r="G161" s="55">
        <v>1.7</v>
      </c>
      <c r="H161" s="55">
        <v>19</v>
      </c>
      <c r="I161" s="55">
        <v>1.4</v>
      </c>
      <c r="J161" s="55">
        <v>0</v>
      </c>
      <c r="K161" s="55">
        <v>7.0000000000000007E-2</v>
      </c>
      <c r="L161" s="55">
        <v>0.03</v>
      </c>
      <c r="M161" s="55">
        <v>0.7</v>
      </c>
      <c r="N161" s="55">
        <v>0</v>
      </c>
      <c r="O161" s="55">
        <v>0</v>
      </c>
      <c r="P161" s="47" t="s">
        <v>51</v>
      </c>
    </row>
    <row r="162" spans="1:16" ht="18" customHeight="1">
      <c r="A162" s="47" t="s">
        <v>262</v>
      </c>
      <c r="B162" s="53" t="s">
        <v>263</v>
      </c>
      <c r="C162" s="54" t="s">
        <v>264</v>
      </c>
      <c r="D162" s="55">
        <v>237</v>
      </c>
      <c r="E162" s="50">
        <v>2.2000000000000002</v>
      </c>
      <c r="F162" s="55">
        <v>66</v>
      </c>
      <c r="G162" s="50">
        <v>0.18</v>
      </c>
      <c r="H162" s="55">
        <v>28</v>
      </c>
      <c r="I162" s="55">
        <v>1.3</v>
      </c>
      <c r="J162" s="55">
        <v>31</v>
      </c>
      <c r="K162" s="55">
        <v>0.02</v>
      </c>
      <c r="L162" s="55">
        <v>0.01</v>
      </c>
      <c r="M162" s="55">
        <v>0.8</v>
      </c>
      <c r="N162" s="55">
        <v>4</v>
      </c>
      <c r="O162" s="55">
        <v>11</v>
      </c>
      <c r="P162" s="47" t="s">
        <v>51</v>
      </c>
    </row>
    <row r="163" spans="1:16" ht="18" customHeight="1">
      <c r="A163" s="47" t="s">
        <v>262</v>
      </c>
      <c r="B163" s="48" t="s">
        <v>265</v>
      </c>
      <c r="C163" s="54" t="s">
        <v>266</v>
      </c>
      <c r="D163" s="55">
        <v>44</v>
      </c>
      <c r="E163" s="55">
        <v>0.5</v>
      </c>
      <c r="F163" s="55">
        <v>13.5</v>
      </c>
      <c r="G163" s="55">
        <v>0.08</v>
      </c>
      <c r="H163" s="55">
        <v>8</v>
      </c>
      <c r="I163" s="55">
        <v>0.3</v>
      </c>
      <c r="J163" s="55">
        <v>23</v>
      </c>
      <c r="K163" s="55">
        <v>0.03</v>
      </c>
      <c r="L163" s="55">
        <v>0.03</v>
      </c>
      <c r="M163" s="55">
        <v>0.3</v>
      </c>
      <c r="N163" s="55">
        <v>50</v>
      </c>
      <c r="O163" s="55">
        <v>21</v>
      </c>
      <c r="P163" s="47" t="s">
        <v>51</v>
      </c>
    </row>
    <row r="164" spans="1:16" ht="18" customHeight="1">
      <c r="A164" s="47" t="s">
        <v>262</v>
      </c>
      <c r="B164" s="53" t="s">
        <v>2001</v>
      </c>
      <c r="C164" s="54" t="s">
        <v>267</v>
      </c>
      <c r="D164" s="55">
        <v>47</v>
      </c>
      <c r="E164" s="50">
        <v>0.6</v>
      </c>
      <c r="F164" s="55">
        <v>10.4</v>
      </c>
      <c r="G164" s="50">
        <v>0.1</v>
      </c>
      <c r="H164" s="55">
        <v>11</v>
      </c>
      <c r="I164" s="55">
        <v>0.2</v>
      </c>
      <c r="J164" s="55">
        <v>18</v>
      </c>
      <c r="K164" s="55">
        <v>0.09</v>
      </c>
      <c r="L164" s="55">
        <v>0.03</v>
      </c>
      <c r="M164" s="55">
        <v>1.7</v>
      </c>
      <c r="N164" s="55">
        <v>25</v>
      </c>
      <c r="O164" s="55">
        <v>0</v>
      </c>
      <c r="P164" s="47" t="s">
        <v>51</v>
      </c>
    </row>
    <row r="165" spans="1:16" ht="18" customHeight="1">
      <c r="A165" s="47" t="s">
        <v>262</v>
      </c>
      <c r="B165" s="53" t="s">
        <v>1970</v>
      </c>
      <c r="C165" s="54" t="s">
        <v>267</v>
      </c>
      <c r="D165" s="55">
        <v>60</v>
      </c>
      <c r="E165" s="50">
        <v>0.6</v>
      </c>
      <c r="F165" s="55">
        <v>16</v>
      </c>
      <c r="G165" s="50">
        <v>0.1</v>
      </c>
      <c r="H165" s="55">
        <v>11</v>
      </c>
      <c r="I165" s="55">
        <v>0.2</v>
      </c>
      <c r="J165" s="55">
        <v>18</v>
      </c>
      <c r="K165" s="55">
        <v>0.09</v>
      </c>
      <c r="L165" s="55">
        <v>0.03</v>
      </c>
      <c r="M165" s="55">
        <v>1.7</v>
      </c>
      <c r="N165" s="55">
        <v>25</v>
      </c>
      <c r="O165" s="55">
        <v>0</v>
      </c>
      <c r="P165" s="47" t="s">
        <v>51</v>
      </c>
    </row>
    <row r="166" spans="1:16" ht="18" customHeight="1">
      <c r="A166" s="47" t="s">
        <v>262</v>
      </c>
      <c r="B166" s="53" t="s">
        <v>1766</v>
      </c>
      <c r="C166" s="54" t="s">
        <v>269</v>
      </c>
      <c r="D166" s="55">
        <v>47</v>
      </c>
      <c r="E166" s="50">
        <v>0.8</v>
      </c>
      <c r="F166" s="55">
        <v>10</v>
      </c>
      <c r="G166" s="50">
        <v>0.08</v>
      </c>
      <c r="H166" s="55">
        <v>18</v>
      </c>
      <c r="I166" s="55">
        <v>0.2</v>
      </c>
      <c r="J166" s="55">
        <v>8</v>
      </c>
      <c r="K166" s="55">
        <v>0.11</v>
      </c>
      <c r="L166" s="55">
        <v>0.06</v>
      </c>
      <c r="M166" s="55">
        <v>0.5</v>
      </c>
      <c r="N166" s="55">
        <v>39</v>
      </c>
      <c r="O166" s="55">
        <v>25</v>
      </c>
      <c r="P166" s="47" t="s">
        <v>51</v>
      </c>
    </row>
    <row r="167" spans="1:16" ht="18" customHeight="1">
      <c r="A167" s="47" t="s">
        <v>262</v>
      </c>
      <c r="B167" s="53" t="s">
        <v>268</v>
      </c>
      <c r="C167" s="54" t="s">
        <v>269</v>
      </c>
      <c r="D167" s="55">
        <v>47</v>
      </c>
      <c r="E167" s="50">
        <v>0.8</v>
      </c>
      <c r="F167" s="55">
        <v>10</v>
      </c>
      <c r="G167" s="50">
        <v>0.08</v>
      </c>
      <c r="H167" s="55">
        <v>18</v>
      </c>
      <c r="I167" s="55">
        <v>0.2</v>
      </c>
      <c r="J167" s="55">
        <v>8</v>
      </c>
      <c r="K167" s="55">
        <v>0.11</v>
      </c>
      <c r="L167" s="55">
        <v>0.06</v>
      </c>
      <c r="M167" s="55">
        <v>0.5</v>
      </c>
      <c r="N167" s="55">
        <v>39</v>
      </c>
      <c r="O167" s="55">
        <v>25</v>
      </c>
      <c r="P167" s="47" t="s">
        <v>51</v>
      </c>
    </row>
    <row r="168" spans="1:16" ht="18" customHeight="1">
      <c r="A168" s="47" t="s">
        <v>262</v>
      </c>
      <c r="B168" s="53" t="s">
        <v>1968</v>
      </c>
      <c r="C168" s="54" t="s">
        <v>269</v>
      </c>
      <c r="D168" s="55">
        <v>30</v>
      </c>
      <c r="E168" s="50">
        <v>0.8</v>
      </c>
      <c r="F168" s="55">
        <v>10</v>
      </c>
      <c r="G168" s="50">
        <v>0.08</v>
      </c>
      <c r="H168" s="55">
        <v>18</v>
      </c>
      <c r="I168" s="55">
        <v>0.2</v>
      </c>
      <c r="J168" s="55">
        <v>8</v>
      </c>
      <c r="K168" s="55">
        <v>0.11</v>
      </c>
      <c r="L168" s="55">
        <v>0.06</v>
      </c>
      <c r="M168" s="55">
        <v>0.5</v>
      </c>
      <c r="N168" s="55">
        <v>39</v>
      </c>
      <c r="O168" s="55">
        <v>25</v>
      </c>
      <c r="P168" s="47" t="s">
        <v>51</v>
      </c>
    </row>
    <row r="169" spans="1:16" ht="18" customHeight="1">
      <c r="A169" s="47" t="s">
        <v>262</v>
      </c>
      <c r="B169" s="53" t="s">
        <v>1972</v>
      </c>
      <c r="C169" s="54" t="s">
        <v>269</v>
      </c>
      <c r="D169" s="55">
        <v>68</v>
      </c>
      <c r="E169" s="50">
        <v>0.8</v>
      </c>
      <c r="F169" s="55">
        <v>10</v>
      </c>
      <c r="G169" s="50">
        <v>0.08</v>
      </c>
      <c r="H169" s="55">
        <v>18</v>
      </c>
      <c r="I169" s="55">
        <v>0.2</v>
      </c>
      <c r="J169" s="55">
        <v>8</v>
      </c>
      <c r="K169" s="55">
        <v>0.11</v>
      </c>
      <c r="L169" s="55">
        <v>0.06</v>
      </c>
      <c r="M169" s="55">
        <v>0.5</v>
      </c>
      <c r="N169" s="55">
        <v>39</v>
      </c>
      <c r="O169" s="55">
        <v>25</v>
      </c>
      <c r="P169" s="47" t="s">
        <v>51</v>
      </c>
    </row>
    <row r="170" spans="1:16" ht="18" customHeight="1">
      <c r="A170" s="47" t="s">
        <v>262</v>
      </c>
      <c r="B170" s="53" t="s">
        <v>270</v>
      </c>
      <c r="C170" s="54" t="s">
        <v>271</v>
      </c>
      <c r="D170" s="55">
        <v>39</v>
      </c>
      <c r="E170" s="50">
        <v>0.5</v>
      </c>
      <c r="F170" s="55">
        <v>10</v>
      </c>
      <c r="G170" s="50">
        <v>0.48</v>
      </c>
      <c r="H170" s="55">
        <v>17</v>
      </c>
      <c r="I170" s="55">
        <v>0.1</v>
      </c>
      <c r="J170" s="55">
        <v>10</v>
      </c>
      <c r="K170" s="55">
        <v>7.0000000000000007E-2</v>
      </c>
      <c r="L170" s="55">
        <v>0.04</v>
      </c>
      <c r="M170" s="55">
        <v>0.2</v>
      </c>
      <c r="N170" s="55">
        <v>35</v>
      </c>
      <c r="O170" s="55">
        <v>18</v>
      </c>
      <c r="P170" s="47" t="s">
        <v>51</v>
      </c>
    </row>
    <row r="171" spans="1:16" ht="18" customHeight="1">
      <c r="A171" s="47" t="s">
        <v>262</v>
      </c>
      <c r="B171" s="53" t="s">
        <v>272</v>
      </c>
      <c r="C171" s="54" t="s">
        <v>272</v>
      </c>
      <c r="D171" s="55">
        <v>298</v>
      </c>
      <c r="E171" s="50">
        <v>1</v>
      </c>
      <c r="F171" s="55">
        <v>55.7</v>
      </c>
      <c r="G171" s="50">
        <v>0</v>
      </c>
      <c r="H171" s="55">
        <v>17</v>
      </c>
      <c r="I171" s="55">
        <v>0.7</v>
      </c>
      <c r="J171" s="55">
        <v>18</v>
      </c>
      <c r="K171" s="55">
        <v>0.02</v>
      </c>
      <c r="L171" s="55">
        <v>0.03</v>
      </c>
      <c r="M171" s="55">
        <v>0.4</v>
      </c>
      <c r="N171" s="55">
        <v>1</v>
      </c>
      <c r="O171" s="55">
        <v>0</v>
      </c>
      <c r="P171" s="47" t="s">
        <v>51</v>
      </c>
    </row>
    <row r="172" spans="1:16" ht="18" customHeight="1">
      <c r="A172" s="47" t="s">
        <v>262</v>
      </c>
      <c r="B172" s="53" t="s">
        <v>273</v>
      </c>
      <c r="C172" s="54" t="s">
        <v>274</v>
      </c>
      <c r="D172" s="55">
        <v>68</v>
      </c>
      <c r="E172" s="50">
        <v>0.9</v>
      </c>
      <c r="F172" s="55">
        <v>10</v>
      </c>
      <c r="G172" s="50">
        <v>0.48</v>
      </c>
      <c r="H172" s="55">
        <v>42</v>
      </c>
      <c r="I172" s="55">
        <v>0.4</v>
      </c>
      <c r="J172" s="55">
        <v>3</v>
      </c>
      <c r="K172" s="55">
        <v>0.1</v>
      </c>
      <c r="L172" s="55">
        <v>0.05</v>
      </c>
      <c r="M172" s="55">
        <v>0.4</v>
      </c>
      <c r="N172" s="55">
        <v>35</v>
      </c>
      <c r="O172" s="55">
        <v>5</v>
      </c>
      <c r="P172" s="47" t="s">
        <v>51</v>
      </c>
    </row>
    <row r="173" spans="1:16" ht="18" customHeight="1">
      <c r="A173" s="47" t="s">
        <v>262</v>
      </c>
      <c r="B173" s="53" t="s">
        <v>275</v>
      </c>
      <c r="C173" s="54" t="s">
        <v>276</v>
      </c>
      <c r="D173" s="55">
        <v>289</v>
      </c>
      <c r="E173" s="50">
        <v>5</v>
      </c>
      <c r="F173" s="55">
        <v>28.7</v>
      </c>
      <c r="G173" s="50">
        <v>0.47</v>
      </c>
      <c r="H173" s="55">
        <v>18</v>
      </c>
      <c r="I173" s="55">
        <v>1.8</v>
      </c>
      <c r="J173" s="55">
        <v>1</v>
      </c>
      <c r="K173" s="55">
        <v>0.13</v>
      </c>
      <c r="L173" s="55">
        <v>0.06</v>
      </c>
      <c r="M173" s="55">
        <v>1.1000000000000001</v>
      </c>
      <c r="N173" s="55">
        <v>8</v>
      </c>
      <c r="O173" s="55">
        <v>13</v>
      </c>
      <c r="P173" s="47" t="s">
        <v>51</v>
      </c>
    </row>
    <row r="174" spans="1:16" ht="18" customHeight="1">
      <c r="A174" s="47" t="s">
        <v>262</v>
      </c>
      <c r="B174" s="53" t="s">
        <v>277</v>
      </c>
      <c r="C174" s="54" t="s">
        <v>278</v>
      </c>
      <c r="D174" s="55">
        <v>91</v>
      </c>
      <c r="E174" s="50">
        <v>4.4000000000000004</v>
      </c>
      <c r="F174" s="55">
        <v>22.8</v>
      </c>
      <c r="G174" s="50">
        <v>0.38</v>
      </c>
      <c r="H174" s="55">
        <v>8</v>
      </c>
      <c r="I174" s="55">
        <v>0.9</v>
      </c>
      <c r="J174" s="55">
        <v>0</v>
      </c>
      <c r="K174" s="55">
        <v>0.05</v>
      </c>
      <c r="L174" s="55">
        <v>0.04</v>
      </c>
      <c r="M174" s="55">
        <v>0</v>
      </c>
      <c r="N174" s="55">
        <v>99</v>
      </c>
      <c r="O174" s="55">
        <v>6</v>
      </c>
      <c r="P174" s="47" t="s">
        <v>51</v>
      </c>
    </row>
    <row r="175" spans="1:16" ht="18" customHeight="1">
      <c r="A175" s="47" t="s">
        <v>262</v>
      </c>
      <c r="B175" s="53" t="s">
        <v>279</v>
      </c>
      <c r="C175" s="54" t="s">
        <v>279</v>
      </c>
      <c r="D175" s="55">
        <v>55</v>
      </c>
      <c r="E175" s="50">
        <v>0.5</v>
      </c>
      <c r="F175" s="55">
        <v>0</v>
      </c>
      <c r="G175" s="50">
        <v>0.2</v>
      </c>
      <c r="H175" s="55">
        <v>5</v>
      </c>
      <c r="I175" s="55">
        <v>0.2</v>
      </c>
      <c r="J175" s="55">
        <v>6</v>
      </c>
      <c r="K175" s="55">
        <v>0.06</v>
      </c>
      <c r="L175" s="55">
        <v>0.01</v>
      </c>
      <c r="M175" s="55">
        <v>0.1</v>
      </c>
      <c r="N175" s="55">
        <v>2</v>
      </c>
      <c r="O175" s="55">
        <v>35</v>
      </c>
      <c r="P175" s="47" t="s">
        <v>51</v>
      </c>
    </row>
    <row r="176" spans="1:16" ht="18" customHeight="1">
      <c r="A176" s="47" t="s">
        <v>262</v>
      </c>
      <c r="B176" s="53" t="s">
        <v>280</v>
      </c>
      <c r="C176" s="54" t="s">
        <v>281</v>
      </c>
      <c r="D176" s="55">
        <v>27</v>
      </c>
      <c r="E176" s="50">
        <v>0.9</v>
      </c>
      <c r="F176" s="55">
        <v>8.9</v>
      </c>
      <c r="G176" s="50">
        <v>0.1</v>
      </c>
      <c r="H176" s="55">
        <v>13</v>
      </c>
      <c r="I176" s="55">
        <v>0.5</v>
      </c>
      <c r="J176" s="55">
        <v>4</v>
      </c>
      <c r="K176" s="55">
        <v>0.04</v>
      </c>
      <c r="L176" s="55">
        <v>0.04</v>
      </c>
      <c r="M176" s="55">
        <v>0.4</v>
      </c>
      <c r="N176" s="55">
        <v>99</v>
      </c>
      <c r="O176" s="55">
        <v>2</v>
      </c>
      <c r="P176" s="47" t="s">
        <v>51</v>
      </c>
    </row>
    <row r="177" spans="1:16" ht="18" customHeight="1">
      <c r="A177" s="47" t="s">
        <v>262</v>
      </c>
      <c r="B177" s="53" t="s">
        <v>1899</v>
      </c>
      <c r="C177" s="54" t="s">
        <v>1900</v>
      </c>
      <c r="D177" s="55">
        <v>43</v>
      </c>
      <c r="E177" s="50">
        <v>0.9</v>
      </c>
      <c r="F177" s="55">
        <v>8.9</v>
      </c>
      <c r="G177" s="50">
        <v>0.1</v>
      </c>
      <c r="H177" s="55">
        <v>13</v>
      </c>
      <c r="I177" s="55">
        <v>0.5</v>
      </c>
      <c r="J177" s="55">
        <v>4</v>
      </c>
      <c r="K177" s="55">
        <v>0.04</v>
      </c>
      <c r="L177" s="55">
        <v>0.04</v>
      </c>
      <c r="M177" s="55">
        <v>0.4</v>
      </c>
      <c r="N177" s="55">
        <v>99</v>
      </c>
      <c r="O177" s="55">
        <v>2</v>
      </c>
      <c r="P177" s="47" t="s">
        <v>51</v>
      </c>
    </row>
    <row r="178" spans="1:16" ht="18" customHeight="1">
      <c r="A178" s="47" t="s">
        <v>262</v>
      </c>
      <c r="B178" s="53" t="s">
        <v>282</v>
      </c>
      <c r="C178" s="54" t="s">
        <v>283</v>
      </c>
      <c r="D178" s="55">
        <v>243</v>
      </c>
      <c r="E178" s="50">
        <v>0.4</v>
      </c>
      <c r="F178" s="55">
        <v>62.9</v>
      </c>
      <c r="G178" s="50">
        <v>0.1</v>
      </c>
      <c r="H178" s="55">
        <v>7</v>
      </c>
      <c r="I178" s="55">
        <v>0.2</v>
      </c>
      <c r="J178" s="55">
        <v>0</v>
      </c>
      <c r="K178" s="55">
        <v>0.01</v>
      </c>
      <c r="L178" s="55">
        <v>0.01</v>
      </c>
      <c r="M178" s="55">
        <v>0.1</v>
      </c>
      <c r="N178" s="55">
        <v>17</v>
      </c>
      <c r="O178" s="55">
        <v>0</v>
      </c>
      <c r="P178" s="47" t="s">
        <v>51</v>
      </c>
    </row>
    <row r="179" spans="1:16" ht="18" customHeight="1">
      <c r="A179" s="47" t="s">
        <v>262</v>
      </c>
      <c r="B179" s="53" t="s">
        <v>1914</v>
      </c>
      <c r="C179" s="54" t="s">
        <v>1916</v>
      </c>
      <c r="D179" s="55">
        <v>243</v>
      </c>
      <c r="E179" s="50">
        <v>0.4</v>
      </c>
      <c r="F179" s="55">
        <v>62.9</v>
      </c>
      <c r="G179" s="50">
        <v>0.1</v>
      </c>
      <c r="H179" s="55">
        <v>7</v>
      </c>
      <c r="I179" s="55">
        <v>0.2</v>
      </c>
      <c r="J179" s="55">
        <v>0</v>
      </c>
      <c r="K179" s="55">
        <v>0.01</v>
      </c>
      <c r="L179" s="55">
        <v>0.01</v>
      </c>
      <c r="M179" s="55">
        <v>0.1</v>
      </c>
      <c r="N179" s="55">
        <v>17</v>
      </c>
      <c r="O179" s="55">
        <v>0</v>
      </c>
      <c r="P179" s="47" t="s">
        <v>51</v>
      </c>
    </row>
    <row r="180" spans="1:16" ht="18" customHeight="1">
      <c r="A180" s="47"/>
      <c r="B180" s="53" t="s">
        <v>1793</v>
      </c>
      <c r="C180" s="54" t="s">
        <v>283</v>
      </c>
      <c r="D180" s="55">
        <v>238</v>
      </c>
      <c r="E180" s="50">
        <v>0.4</v>
      </c>
      <c r="F180" s="55">
        <v>62.9</v>
      </c>
      <c r="G180" s="50">
        <v>0.1</v>
      </c>
      <c r="H180" s="55">
        <v>7</v>
      </c>
      <c r="I180" s="55">
        <v>0.2</v>
      </c>
      <c r="J180" s="55">
        <v>0</v>
      </c>
      <c r="K180" s="55">
        <v>0.01</v>
      </c>
      <c r="L180" s="55">
        <v>0.01</v>
      </c>
      <c r="M180" s="55">
        <v>0.1</v>
      </c>
      <c r="N180" s="55">
        <v>17</v>
      </c>
      <c r="O180" s="55">
        <v>0</v>
      </c>
    </row>
    <row r="181" spans="1:16" ht="18" customHeight="1">
      <c r="A181" s="47"/>
      <c r="B181" s="53" t="s">
        <v>1794</v>
      </c>
      <c r="C181" s="54" t="s">
        <v>1795</v>
      </c>
      <c r="D181" s="55">
        <v>59</v>
      </c>
      <c r="E181" s="55">
        <v>0.3</v>
      </c>
      <c r="F181" s="55">
        <v>16.3</v>
      </c>
      <c r="G181" s="55">
        <v>0.1</v>
      </c>
      <c r="H181" s="55">
        <v>4</v>
      </c>
      <c r="I181" s="55">
        <v>0.2</v>
      </c>
      <c r="J181" s="55">
        <v>17</v>
      </c>
      <c r="K181" s="55">
        <v>0.02</v>
      </c>
      <c r="L181" s="55">
        <v>0.02</v>
      </c>
      <c r="M181" s="55">
        <v>0.01</v>
      </c>
      <c r="N181" s="55">
        <v>0</v>
      </c>
      <c r="O181" s="55">
        <v>0</v>
      </c>
    </row>
    <row r="182" spans="1:16" ht="18" customHeight="1">
      <c r="A182" s="47"/>
      <c r="B182" s="53" t="s">
        <v>1741</v>
      </c>
      <c r="C182" s="54" t="s">
        <v>1744</v>
      </c>
      <c r="D182" s="55">
        <v>31</v>
      </c>
      <c r="E182" s="50">
        <v>1.4</v>
      </c>
      <c r="F182" s="55">
        <v>8</v>
      </c>
      <c r="G182" s="50">
        <v>0</v>
      </c>
      <c r="H182" s="55">
        <v>55</v>
      </c>
      <c r="I182" s="55">
        <v>0.4</v>
      </c>
      <c r="J182" s="55">
        <v>0</v>
      </c>
      <c r="K182" s="55">
        <v>0.05</v>
      </c>
      <c r="L182" s="55">
        <v>0.02</v>
      </c>
      <c r="M182" s="55">
        <v>0.7</v>
      </c>
      <c r="N182" s="55">
        <v>70</v>
      </c>
      <c r="O182" s="55">
        <v>3</v>
      </c>
    </row>
    <row r="183" spans="1:16" ht="18" customHeight="1">
      <c r="A183" s="47"/>
      <c r="B183" s="53" t="s">
        <v>284</v>
      </c>
      <c r="C183" s="54" t="s">
        <v>285</v>
      </c>
      <c r="D183" s="55">
        <v>31</v>
      </c>
      <c r="E183" s="50">
        <v>1.4</v>
      </c>
      <c r="F183" s="55">
        <v>8</v>
      </c>
      <c r="G183" s="50">
        <v>0</v>
      </c>
      <c r="H183" s="55">
        <v>55</v>
      </c>
      <c r="I183" s="55">
        <v>0.4</v>
      </c>
      <c r="J183" s="55">
        <v>0</v>
      </c>
      <c r="K183" s="55">
        <v>0.05</v>
      </c>
      <c r="L183" s="55">
        <v>0.02</v>
      </c>
      <c r="M183" s="55">
        <v>0.7</v>
      </c>
      <c r="N183" s="55">
        <v>70</v>
      </c>
      <c r="O183" s="55">
        <v>3</v>
      </c>
    </row>
    <row r="184" spans="1:16" ht="18" customHeight="1">
      <c r="A184" s="47" t="s">
        <v>262</v>
      </c>
      <c r="B184" s="53" t="s">
        <v>286</v>
      </c>
      <c r="C184" s="54" t="s">
        <v>285</v>
      </c>
      <c r="D184" s="55">
        <v>31</v>
      </c>
      <c r="E184" s="50">
        <v>1.4</v>
      </c>
      <c r="F184" s="55">
        <v>2</v>
      </c>
      <c r="G184" s="50">
        <v>0.78</v>
      </c>
      <c r="H184" s="55">
        <v>55</v>
      </c>
      <c r="I184" s="55">
        <v>0.4</v>
      </c>
      <c r="J184" s="55">
        <v>0</v>
      </c>
      <c r="K184" s="55">
        <v>0.05</v>
      </c>
      <c r="L184" s="55">
        <v>0.02</v>
      </c>
      <c r="M184" s="55">
        <v>0.7</v>
      </c>
      <c r="N184" s="55">
        <v>70</v>
      </c>
      <c r="O184" s="55">
        <v>3</v>
      </c>
      <c r="P184" s="47" t="s">
        <v>51</v>
      </c>
    </row>
    <row r="185" spans="1:16" ht="18" customHeight="1">
      <c r="A185" s="47" t="s">
        <v>262</v>
      </c>
      <c r="B185" s="53" t="s">
        <v>287</v>
      </c>
      <c r="C185" s="54" t="s">
        <v>287</v>
      </c>
      <c r="D185" s="55">
        <v>24</v>
      </c>
      <c r="E185" s="50">
        <v>0.4</v>
      </c>
      <c r="F185" s="55">
        <v>6.5</v>
      </c>
      <c r="G185" s="50">
        <v>0.2</v>
      </c>
      <c r="H185" s="55">
        <v>7</v>
      </c>
      <c r="I185" s="55">
        <v>0.1</v>
      </c>
      <c r="J185" s="55">
        <v>0</v>
      </c>
      <c r="K185" s="55">
        <v>0.04</v>
      </c>
      <c r="L185" s="55">
        <v>0.02</v>
      </c>
      <c r="M185" s="55">
        <v>0.1</v>
      </c>
      <c r="N185" s="55">
        <v>45</v>
      </c>
      <c r="O185" s="55">
        <v>0</v>
      </c>
      <c r="P185" s="47" t="s">
        <v>51</v>
      </c>
    </row>
    <row r="186" spans="1:16" ht="18" customHeight="1">
      <c r="A186" s="47" t="s">
        <v>262</v>
      </c>
      <c r="B186" s="53" t="s">
        <v>288</v>
      </c>
      <c r="C186" s="54" t="s">
        <v>289</v>
      </c>
      <c r="D186" s="55">
        <v>93</v>
      </c>
      <c r="E186" s="50">
        <v>1.2</v>
      </c>
      <c r="F186" s="55">
        <v>21.2</v>
      </c>
      <c r="G186" s="50">
        <v>0.12</v>
      </c>
      <c r="H186" s="55">
        <v>7</v>
      </c>
      <c r="I186" s="55">
        <v>0.6</v>
      </c>
      <c r="J186" s="55">
        <v>7</v>
      </c>
      <c r="K186" s="55">
        <v>0.04</v>
      </c>
      <c r="L186" s="55">
        <v>0.03</v>
      </c>
      <c r="M186" s="55">
        <v>0.5</v>
      </c>
      <c r="N186" s="55">
        <v>8</v>
      </c>
      <c r="O186" s="55">
        <v>38</v>
      </c>
      <c r="P186" s="47" t="s">
        <v>51</v>
      </c>
    </row>
    <row r="187" spans="1:16" ht="18" customHeight="1">
      <c r="A187" s="47" t="s">
        <v>262</v>
      </c>
      <c r="B187" s="53" t="s">
        <v>1906</v>
      </c>
      <c r="C187" s="54" t="s">
        <v>1907</v>
      </c>
      <c r="D187" s="55">
        <v>93</v>
      </c>
      <c r="E187" s="50">
        <v>1.2</v>
      </c>
      <c r="F187" s="55">
        <v>21.2</v>
      </c>
      <c r="G187" s="50">
        <v>0.12</v>
      </c>
      <c r="H187" s="55">
        <v>7</v>
      </c>
      <c r="I187" s="55">
        <v>0.6</v>
      </c>
      <c r="J187" s="55">
        <v>7</v>
      </c>
      <c r="K187" s="55">
        <v>0.04</v>
      </c>
      <c r="L187" s="55">
        <v>0.03</v>
      </c>
      <c r="M187" s="55">
        <v>0.5</v>
      </c>
      <c r="N187" s="55">
        <v>8</v>
      </c>
      <c r="O187" s="55">
        <v>38</v>
      </c>
      <c r="P187" s="47" t="s">
        <v>51</v>
      </c>
    </row>
    <row r="188" spans="1:16" ht="18" customHeight="1">
      <c r="A188" s="47" t="s">
        <v>262</v>
      </c>
      <c r="B188" s="53" t="s">
        <v>290</v>
      </c>
      <c r="C188" s="54" t="s">
        <v>291</v>
      </c>
      <c r="D188" s="55">
        <v>51</v>
      </c>
      <c r="E188" s="50">
        <v>0.5</v>
      </c>
      <c r="F188" s="55">
        <v>13</v>
      </c>
      <c r="G188" s="50">
        <v>0.15</v>
      </c>
      <c r="H188" s="55">
        <v>4</v>
      </c>
      <c r="I188" s="55">
        <v>0.2</v>
      </c>
      <c r="J188" s="55">
        <v>0</v>
      </c>
      <c r="K188" s="55">
        <v>0.04</v>
      </c>
      <c r="L188" s="55">
        <v>0.03</v>
      </c>
      <c r="M188" s="55">
        <v>0.3</v>
      </c>
      <c r="N188" s="55">
        <v>4</v>
      </c>
      <c r="O188" s="55">
        <v>26</v>
      </c>
      <c r="P188" s="47" t="s">
        <v>51</v>
      </c>
    </row>
    <row r="189" spans="1:16" ht="18" customHeight="1">
      <c r="A189" s="47" t="s">
        <v>262</v>
      </c>
      <c r="B189" s="53" t="s">
        <v>1764</v>
      </c>
      <c r="C189" s="54" t="s">
        <v>1765</v>
      </c>
      <c r="D189" s="55">
        <v>71</v>
      </c>
      <c r="E189" s="50">
        <v>0.2</v>
      </c>
      <c r="F189" s="55">
        <v>19.5</v>
      </c>
      <c r="G189" s="50">
        <v>0.1</v>
      </c>
      <c r="H189" s="55">
        <v>5</v>
      </c>
      <c r="I189" s="55">
        <v>0.3</v>
      </c>
      <c r="J189" s="55">
        <v>0</v>
      </c>
      <c r="K189" s="55">
        <v>0.02</v>
      </c>
      <c r="L189" s="55">
        <v>0.01</v>
      </c>
      <c r="M189" s="55">
        <v>0.3</v>
      </c>
      <c r="N189" s="55">
        <v>0</v>
      </c>
      <c r="O189" s="55">
        <v>0</v>
      </c>
      <c r="P189" s="47" t="s">
        <v>51</v>
      </c>
    </row>
    <row r="190" spans="1:16" ht="18" customHeight="1">
      <c r="A190" s="47" t="s">
        <v>262</v>
      </c>
      <c r="B190" s="53" t="s">
        <v>292</v>
      </c>
      <c r="C190" s="54" t="s">
        <v>293</v>
      </c>
      <c r="D190" s="55">
        <v>71</v>
      </c>
      <c r="E190" s="50">
        <v>0.2</v>
      </c>
      <c r="F190" s="55">
        <v>19.5</v>
      </c>
      <c r="G190" s="50">
        <v>0.1</v>
      </c>
      <c r="H190" s="55">
        <v>5</v>
      </c>
      <c r="I190" s="55">
        <v>0.3</v>
      </c>
      <c r="J190" s="55">
        <v>0</v>
      </c>
      <c r="K190" s="55">
        <v>0.02</v>
      </c>
      <c r="L190" s="55">
        <v>0.01</v>
      </c>
      <c r="M190" s="55">
        <v>0.3</v>
      </c>
      <c r="N190" s="55">
        <v>0</v>
      </c>
      <c r="O190" s="55">
        <v>0</v>
      </c>
      <c r="P190" s="47" t="s">
        <v>51</v>
      </c>
    </row>
    <row r="191" spans="1:16" ht="18" customHeight="1">
      <c r="A191" s="47" t="s">
        <v>262</v>
      </c>
      <c r="B191" s="53" t="s">
        <v>1931</v>
      </c>
      <c r="C191" s="54" t="s">
        <v>293</v>
      </c>
      <c r="D191" s="55">
        <v>71</v>
      </c>
      <c r="E191" s="50">
        <v>0.2</v>
      </c>
      <c r="F191" s="55">
        <v>19.5</v>
      </c>
      <c r="G191" s="50">
        <v>0.1</v>
      </c>
      <c r="H191" s="55">
        <v>5</v>
      </c>
      <c r="I191" s="55">
        <v>0.3</v>
      </c>
      <c r="J191" s="55">
        <v>0</v>
      </c>
      <c r="K191" s="55">
        <v>0.02</v>
      </c>
      <c r="L191" s="55">
        <v>0.01</v>
      </c>
      <c r="M191" s="55">
        <v>0.3</v>
      </c>
      <c r="N191" s="55">
        <v>0</v>
      </c>
      <c r="O191" s="55">
        <v>0</v>
      </c>
      <c r="P191" s="47" t="s">
        <v>51</v>
      </c>
    </row>
    <row r="192" spans="1:16" ht="18" customHeight="1">
      <c r="A192" s="47" t="s">
        <v>262</v>
      </c>
      <c r="B192" s="53" t="s">
        <v>294</v>
      </c>
      <c r="C192" s="54" t="s">
        <v>295</v>
      </c>
      <c r="D192" s="55">
        <v>34</v>
      </c>
      <c r="E192" s="50">
        <v>0.9</v>
      </c>
      <c r="F192" s="55">
        <v>10.3</v>
      </c>
      <c r="G192" s="50">
        <v>0.17</v>
      </c>
      <c r="H192" s="55">
        <v>3</v>
      </c>
      <c r="I192" s="55">
        <v>0.5</v>
      </c>
      <c r="J192" s="55">
        <v>2</v>
      </c>
      <c r="K192" s="55">
        <v>0.02</v>
      </c>
      <c r="L192" s="55">
        <v>0.01</v>
      </c>
      <c r="M192" s="55">
        <v>0.4</v>
      </c>
      <c r="N192" s="55">
        <v>7</v>
      </c>
      <c r="O192" s="55">
        <v>15</v>
      </c>
      <c r="P192" s="47" t="s">
        <v>51</v>
      </c>
    </row>
    <row r="193" spans="1:16" ht="18" customHeight="1">
      <c r="A193" s="47" t="s">
        <v>262</v>
      </c>
      <c r="B193" s="48" t="s">
        <v>296</v>
      </c>
      <c r="C193" s="54" t="s">
        <v>297</v>
      </c>
      <c r="D193" s="55">
        <v>33</v>
      </c>
      <c r="E193" s="55">
        <v>1.2</v>
      </c>
      <c r="F193" s="55">
        <v>10.3</v>
      </c>
      <c r="G193" s="55">
        <v>0.18</v>
      </c>
      <c r="H193" s="55">
        <v>6</v>
      </c>
      <c r="I193" s="55">
        <v>0.5</v>
      </c>
      <c r="J193" s="55">
        <v>2</v>
      </c>
      <c r="K193" s="55">
        <v>0.02</v>
      </c>
      <c r="L193" s="55">
        <v>0.02</v>
      </c>
      <c r="M193" s="55">
        <v>0.5</v>
      </c>
      <c r="N193" s="55">
        <v>6</v>
      </c>
      <c r="O193" s="55">
        <v>9</v>
      </c>
      <c r="P193" s="47" t="s">
        <v>51</v>
      </c>
    </row>
    <row r="194" spans="1:16" ht="18" customHeight="1">
      <c r="A194" s="47" t="s">
        <v>262</v>
      </c>
      <c r="B194" s="48" t="s">
        <v>1753</v>
      </c>
      <c r="C194" s="54" t="s">
        <v>299</v>
      </c>
      <c r="D194" s="55">
        <v>59</v>
      </c>
      <c r="E194" s="55">
        <v>0.3</v>
      </c>
      <c r="F194" s="55">
        <v>16.3</v>
      </c>
      <c r="G194" s="55">
        <v>0.1</v>
      </c>
      <c r="H194" s="55">
        <v>4</v>
      </c>
      <c r="I194" s="55">
        <v>0.2</v>
      </c>
      <c r="J194" s="55">
        <v>17</v>
      </c>
      <c r="K194" s="55">
        <v>0.02</v>
      </c>
      <c r="L194" s="55">
        <v>0.02</v>
      </c>
      <c r="M194" s="55">
        <v>0.01</v>
      </c>
      <c r="N194" s="55">
        <v>0</v>
      </c>
      <c r="O194" s="55">
        <v>0</v>
      </c>
      <c r="P194" s="47" t="s">
        <v>104</v>
      </c>
    </row>
    <row r="195" spans="1:16" ht="18" customHeight="1">
      <c r="A195" s="47" t="s">
        <v>262</v>
      </c>
      <c r="B195" s="48" t="s">
        <v>298</v>
      </c>
      <c r="C195" s="54" t="s">
        <v>299</v>
      </c>
      <c r="D195" s="55">
        <v>59</v>
      </c>
      <c r="E195" s="55">
        <v>0.3</v>
      </c>
      <c r="F195" s="55">
        <v>16.3</v>
      </c>
      <c r="G195" s="55">
        <v>0.1</v>
      </c>
      <c r="H195" s="55">
        <v>4</v>
      </c>
      <c r="I195" s="55">
        <v>0.2</v>
      </c>
      <c r="J195" s="55">
        <v>17</v>
      </c>
      <c r="K195" s="55">
        <v>0.02</v>
      </c>
      <c r="L195" s="55">
        <v>0.02</v>
      </c>
      <c r="M195" s="55">
        <v>0.01</v>
      </c>
      <c r="N195" s="55">
        <v>0</v>
      </c>
      <c r="O195" s="55">
        <v>0</v>
      </c>
      <c r="P195" s="47" t="s">
        <v>104</v>
      </c>
    </row>
    <row r="196" spans="1:16" ht="18" customHeight="1">
      <c r="A196" s="47" t="s">
        <v>262</v>
      </c>
      <c r="B196" s="48" t="s">
        <v>300</v>
      </c>
      <c r="C196" s="54" t="s">
        <v>301</v>
      </c>
      <c r="D196" s="55">
        <v>26</v>
      </c>
      <c r="E196" s="55">
        <v>0.9</v>
      </c>
      <c r="F196" s="55">
        <v>11.8</v>
      </c>
      <c r="G196" s="55">
        <v>0.2</v>
      </c>
      <c r="H196" s="55">
        <v>3</v>
      </c>
      <c r="I196" s="55">
        <v>0.2</v>
      </c>
      <c r="J196" s="55">
        <v>20</v>
      </c>
      <c r="K196" s="55">
        <v>0.01</v>
      </c>
      <c r="L196" s="55">
        <v>0.01</v>
      </c>
      <c r="M196" s="55">
        <v>0.6</v>
      </c>
      <c r="N196" s="55">
        <v>4</v>
      </c>
      <c r="O196" s="55">
        <v>14</v>
      </c>
      <c r="P196" s="47" t="s">
        <v>51</v>
      </c>
    </row>
    <row r="197" spans="1:16" ht="18" customHeight="1">
      <c r="A197" s="47" t="s">
        <v>262</v>
      </c>
      <c r="B197" s="48" t="s">
        <v>302</v>
      </c>
      <c r="C197" s="54" t="s">
        <v>302</v>
      </c>
      <c r="D197" s="55">
        <v>298</v>
      </c>
      <c r="E197" s="55">
        <v>0.3</v>
      </c>
      <c r="F197" s="55">
        <v>60</v>
      </c>
      <c r="G197" s="55">
        <v>0.1</v>
      </c>
      <c r="H197" s="55">
        <v>26</v>
      </c>
      <c r="I197" s="55">
        <v>1.6</v>
      </c>
      <c r="J197" s="55">
        <v>0</v>
      </c>
      <c r="K197" s="55">
        <v>0.02</v>
      </c>
      <c r="L197" s="55">
        <v>0.03</v>
      </c>
      <c r="M197" s="55">
        <v>0.7</v>
      </c>
      <c r="N197" s="55">
        <v>0</v>
      </c>
      <c r="O197" s="55">
        <v>0</v>
      </c>
      <c r="P197" s="47" t="s">
        <v>51</v>
      </c>
    </row>
    <row r="198" spans="1:16" ht="18" customHeight="1">
      <c r="A198" s="47" t="s">
        <v>262</v>
      </c>
      <c r="B198" s="48" t="s">
        <v>1734</v>
      </c>
      <c r="C198" s="54" t="s">
        <v>1737</v>
      </c>
      <c r="D198" s="55">
        <v>75</v>
      </c>
      <c r="E198" s="55">
        <v>0.2</v>
      </c>
      <c r="F198" s="55">
        <v>11.4</v>
      </c>
      <c r="G198" s="55">
        <v>0.3</v>
      </c>
      <c r="H198" s="55">
        <v>2</v>
      </c>
      <c r="I198" s="55">
        <v>0.5</v>
      </c>
      <c r="J198" s="55">
        <v>0</v>
      </c>
      <c r="K198" s="55">
        <v>0.01</v>
      </c>
      <c r="L198" s="55">
        <v>0.01</v>
      </c>
      <c r="M198" s="55">
        <v>0.1</v>
      </c>
      <c r="N198" s="55">
        <v>2</v>
      </c>
      <c r="O198" s="55">
        <v>0</v>
      </c>
      <c r="P198" s="47" t="s">
        <v>51</v>
      </c>
    </row>
    <row r="199" spans="1:16" ht="18" customHeight="1">
      <c r="A199" s="47" t="s">
        <v>262</v>
      </c>
      <c r="B199" s="48" t="s">
        <v>303</v>
      </c>
      <c r="C199" s="54" t="s">
        <v>304</v>
      </c>
      <c r="D199" s="55">
        <v>43</v>
      </c>
      <c r="E199" s="55">
        <v>0.2</v>
      </c>
      <c r="F199" s="55">
        <v>11.4</v>
      </c>
      <c r="G199" s="55">
        <v>0.3</v>
      </c>
      <c r="H199" s="55">
        <v>2</v>
      </c>
      <c r="I199" s="55">
        <v>0.5</v>
      </c>
      <c r="J199" s="55">
        <v>0</v>
      </c>
      <c r="K199" s="55">
        <v>0.01</v>
      </c>
      <c r="L199" s="55">
        <v>0.01</v>
      </c>
      <c r="M199" s="55">
        <v>0.1</v>
      </c>
      <c r="N199" s="55">
        <v>2</v>
      </c>
      <c r="O199" s="55">
        <v>0</v>
      </c>
      <c r="P199" s="47" t="s">
        <v>51</v>
      </c>
    </row>
    <row r="200" spans="1:16" ht="18" customHeight="1">
      <c r="A200" s="47" t="s">
        <v>262</v>
      </c>
      <c r="B200" s="48" t="s">
        <v>1926</v>
      </c>
      <c r="C200" s="54" t="s">
        <v>304</v>
      </c>
      <c r="D200" s="55">
        <v>43</v>
      </c>
      <c r="E200" s="55">
        <v>0.2</v>
      </c>
      <c r="F200" s="55">
        <v>11.4</v>
      </c>
      <c r="G200" s="55">
        <v>0.3</v>
      </c>
      <c r="H200" s="55">
        <v>2</v>
      </c>
      <c r="I200" s="55">
        <v>0.5</v>
      </c>
      <c r="J200" s="55">
        <v>0</v>
      </c>
      <c r="K200" s="55">
        <v>0.01</v>
      </c>
      <c r="L200" s="55">
        <v>0.01</v>
      </c>
      <c r="M200" s="55">
        <v>0.1</v>
      </c>
      <c r="N200" s="55">
        <v>2</v>
      </c>
      <c r="O200" s="55">
        <v>0</v>
      </c>
      <c r="P200" s="47" t="s">
        <v>51</v>
      </c>
    </row>
    <row r="201" spans="1:16" ht="18" customHeight="1">
      <c r="A201" s="47" t="s">
        <v>262</v>
      </c>
      <c r="B201" s="48" t="s">
        <v>1677</v>
      </c>
      <c r="C201" s="54" t="s">
        <v>304</v>
      </c>
      <c r="D201" s="55">
        <v>43</v>
      </c>
      <c r="E201" s="55">
        <v>0.2</v>
      </c>
      <c r="F201" s="55">
        <v>11.4</v>
      </c>
      <c r="G201" s="55">
        <v>0.3</v>
      </c>
      <c r="H201" s="55">
        <v>2</v>
      </c>
      <c r="I201" s="55">
        <v>0.5</v>
      </c>
      <c r="J201" s="55">
        <v>0</v>
      </c>
      <c r="K201" s="55">
        <v>0.01</v>
      </c>
      <c r="L201" s="55">
        <v>0.01</v>
      </c>
      <c r="M201" s="55">
        <v>0.1</v>
      </c>
      <c r="N201" s="55">
        <v>2</v>
      </c>
      <c r="O201" s="55">
        <v>0</v>
      </c>
      <c r="P201" s="47" t="s">
        <v>51</v>
      </c>
    </row>
    <row r="202" spans="1:16" ht="18" customHeight="1">
      <c r="A202" s="47" t="s">
        <v>262</v>
      </c>
      <c r="B202" s="48" t="s">
        <v>305</v>
      </c>
      <c r="C202" s="54" t="s">
        <v>306</v>
      </c>
      <c r="D202" s="55">
        <v>44</v>
      </c>
      <c r="E202" s="55">
        <v>0.5</v>
      </c>
      <c r="F202" s="55">
        <v>13.1</v>
      </c>
      <c r="G202" s="55">
        <v>0.1</v>
      </c>
      <c r="H202" s="55">
        <v>4</v>
      </c>
      <c r="I202" s="55">
        <v>0.8</v>
      </c>
      <c r="J202" s="55">
        <v>0</v>
      </c>
      <c r="K202" s="55">
        <v>0.02</v>
      </c>
      <c r="L202" s="55">
        <v>0.01</v>
      </c>
      <c r="M202" s="55">
        <v>0.1</v>
      </c>
      <c r="N202" s="55">
        <v>5</v>
      </c>
      <c r="O202" s="55">
        <v>15</v>
      </c>
      <c r="P202" s="47" t="s">
        <v>51</v>
      </c>
    </row>
    <row r="203" spans="1:16" ht="18" customHeight="1">
      <c r="A203" s="47" t="s">
        <v>262</v>
      </c>
      <c r="B203" s="48" t="s">
        <v>307</v>
      </c>
      <c r="C203" s="54" t="s">
        <v>308</v>
      </c>
      <c r="D203" s="55">
        <v>256</v>
      </c>
      <c r="E203" s="55">
        <v>0.2</v>
      </c>
      <c r="F203" s="55">
        <v>66.2</v>
      </c>
      <c r="G203" s="55">
        <v>0.5</v>
      </c>
      <c r="H203" s="55">
        <v>4</v>
      </c>
      <c r="I203" s="55">
        <v>1.4</v>
      </c>
      <c r="J203" s="55">
        <v>0</v>
      </c>
      <c r="K203" s="55">
        <v>0.01</v>
      </c>
      <c r="L203" s="55">
        <v>0.01</v>
      </c>
      <c r="M203" s="55">
        <v>0</v>
      </c>
      <c r="N203" s="55">
        <v>0</v>
      </c>
      <c r="O203" s="55">
        <v>0</v>
      </c>
      <c r="P203" s="47" t="s">
        <v>51</v>
      </c>
    </row>
    <row r="204" spans="1:16" ht="18" customHeight="1">
      <c r="A204" s="47" t="s">
        <v>262</v>
      </c>
      <c r="B204" s="48" t="s">
        <v>309</v>
      </c>
      <c r="C204" s="54" t="s">
        <v>309</v>
      </c>
      <c r="D204" s="55">
        <v>43</v>
      </c>
      <c r="E204" s="55">
        <v>0.1</v>
      </c>
      <c r="F204" s="55">
        <v>11.4</v>
      </c>
      <c r="G204" s="55">
        <v>0.4</v>
      </c>
      <c r="H204" s="55">
        <v>7</v>
      </c>
      <c r="I204" s="55">
        <v>0.4</v>
      </c>
      <c r="J204" s="55">
        <v>0</v>
      </c>
      <c r="K204" s="55">
        <v>0.1</v>
      </c>
      <c r="L204" s="55">
        <v>0.02</v>
      </c>
      <c r="M204" s="55">
        <v>0</v>
      </c>
      <c r="N204" s="55">
        <v>1</v>
      </c>
      <c r="O204" s="55">
        <v>0</v>
      </c>
      <c r="P204" s="47" t="s">
        <v>51</v>
      </c>
    </row>
    <row r="205" spans="1:16" ht="18" customHeight="1">
      <c r="A205" s="47" t="s">
        <v>262</v>
      </c>
      <c r="B205" s="48" t="s">
        <v>310</v>
      </c>
      <c r="C205" s="54" t="s">
        <v>311</v>
      </c>
      <c r="D205" s="55">
        <v>39</v>
      </c>
      <c r="E205" s="55">
        <v>0.2</v>
      </c>
      <c r="F205" s="55">
        <v>9.9</v>
      </c>
      <c r="G205" s="55">
        <v>0.1</v>
      </c>
      <c r="H205" s="55">
        <v>2</v>
      </c>
      <c r="I205" s="55">
        <v>0.5</v>
      </c>
      <c r="J205" s="55">
        <v>115</v>
      </c>
      <c r="K205" s="55">
        <v>0.02</v>
      </c>
      <c r="L205" s="55">
        <v>0.01</v>
      </c>
      <c r="M205" s="55">
        <v>0.2</v>
      </c>
      <c r="N205" s="55">
        <v>1</v>
      </c>
      <c r="O205" s="55">
        <v>0</v>
      </c>
      <c r="P205" s="47" t="s">
        <v>51</v>
      </c>
    </row>
    <row r="206" spans="1:16" ht="18" customHeight="1">
      <c r="A206" s="47" t="s">
        <v>262</v>
      </c>
      <c r="B206" s="48" t="s">
        <v>312</v>
      </c>
      <c r="C206" s="54" t="s">
        <v>313</v>
      </c>
      <c r="D206" s="55">
        <v>28</v>
      </c>
      <c r="E206" s="55">
        <v>0.9</v>
      </c>
      <c r="F206" s="55">
        <v>7.1</v>
      </c>
      <c r="G206" s="55">
        <v>0.18</v>
      </c>
      <c r="H206" s="55">
        <v>5</v>
      </c>
      <c r="I206" s="55">
        <v>0.5</v>
      </c>
      <c r="J206" s="55">
        <v>297</v>
      </c>
      <c r="K206" s="55">
        <v>0.03</v>
      </c>
      <c r="L206" s="55">
        <v>0.02</v>
      </c>
      <c r="M206" s="55">
        <v>0.3</v>
      </c>
      <c r="N206" s="55">
        <v>5</v>
      </c>
      <c r="O206" s="55">
        <v>11</v>
      </c>
      <c r="P206" s="47" t="s">
        <v>51</v>
      </c>
    </row>
    <row r="207" spans="1:16" ht="18" customHeight="1">
      <c r="A207" s="47" t="s">
        <v>262</v>
      </c>
      <c r="B207" s="48" t="s">
        <v>314</v>
      </c>
      <c r="C207" s="54" t="s">
        <v>315</v>
      </c>
      <c r="D207" s="55">
        <v>260</v>
      </c>
      <c r="E207" s="55">
        <v>0.6</v>
      </c>
      <c r="F207" s="55">
        <v>75.3</v>
      </c>
      <c r="G207" s="55">
        <v>0.1</v>
      </c>
      <c r="H207" s="55">
        <v>23</v>
      </c>
      <c r="I207" s="55">
        <v>0.6</v>
      </c>
      <c r="J207" s="55">
        <v>0</v>
      </c>
      <c r="K207" s="55">
        <v>0.02</v>
      </c>
      <c r="L207" s="55">
        <v>0.02</v>
      </c>
      <c r="M207" s="55">
        <v>0.5</v>
      </c>
      <c r="N207" s="55">
        <v>0</v>
      </c>
      <c r="O207" s="55">
        <v>0</v>
      </c>
      <c r="P207" s="47" t="s">
        <v>51</v>
      </c>
    </row>
    <row r="208" spans="1:16" ht="18" customHeight="1">
      <c r="A208" s="47" t="s">
        <v>262</v>
      </c>
      <c r="B208" s="48" t="s">
        <v>1754</v>
      </c>
      <c r="C208" s="54" t="s">
        <v>317</v>
      </c>
      <c r="D208" s="55">
        <v>47.6</v>
      </c>
      <c r="E208" s="55">
        <v>0.7</v>
      </c>
      <c r="F208" s="55">
        <v>12.4</v>
      </c>
      <c r="G208" s="55">
        <v>0.8</v>
      </c>
      <c r="H208" s="55">
        <v>11.9</v>
      </c>
      <c r="I208" s="55">
        <v>0.3</v>
      </c>
      <c r="J208" s="55">
        <v>169</v>
      </c>
      <c r="K208" s="55">
        <v>0.02</v>
      </c>
      <c r="L208" s="55">
        <v>0.02</v>
      </c>
      <c r="M208" s="55">
        <v>0.4</v>
      </c>
      <c r="N208" s="55">
        <v>4.8</v>
      </c>
      <c r="O208" s="55">
        <v>0</v>
      </c>
      <c r="P208" s="47" t="s">
        <v>51</v>
      </c>
    </row>
    <row r="209" spans="1:16" ht="18" customHeight="1">
      <c r="A209" s="47" t="s">
        <v>262</v>
      </c>
      <c r="B209" s="48" t="s">
        <v>316</v>
      </c>
      <c r="C209" s="54" t="s">
        <v>317</v>
      </c>
      <c r="D209" s="55">
        <v>47.6</v>
      </c>
      <c r="E209" s="55">
        <v>0.7</v>
      </c>
      <c r="F209" s="55">
        <v>12.4</v>
      </c>
      <c r="G209" s="55">
        <v>0.8</v>
      </c>
      <c r="H209" s="55">
        <v>11.9</v>
      </c>
      <c r="I209" s="55">
        <v>0.3</v>
      </c>
      <c r="J209" s="55">
        <v>169</v>
      </c>
      <c r="K209" s="55">
        <v>0.02</v>
      </c>
      <c r="L209" s="55">
        <v>0.02</v>
      </c>
      <c r="M209" s="55">
        <v>0.4</v>
      </c>
      <c r="N209" s="55">
        <v>4.8</v>
      </c>
      <c r="O209" s="55">
        <v>0</v>
      </c>
      <c r="P209" s="47" t="s">
        <v>51</v>
      </c>
    </row>
    <row r="210" spans="1:16" ht="18" customHeight="1">
      <c r="A210" s="47" t="s">
        <v>262</v>
      </c>
      <c r="B210" s="48" t="s">
        <v>318</v>
      </c>
      <c r="C210" s="54" t="s">
        <v>319</v>
      </c>
      <c r="D210" s="55">
        <v>31</v>
      </c>
      <c r="E210" s="55">
        <v>0.7</v>
      </c>
      <c r="F210" s="55">
        <v>7.5</v>
      </c>
      <c r="G210" s="55">
        <v>0.12</v>
      </c>
      <c r="H210" s="55">
        <v>4</v>
      </c>
      <c r="I210" s="55">
        <v>0.2</v>
      </c>
      <c r="J210" s="55">
        <v>26</v>
      </c>
      <c r="K210" s="55">
        <v>0.05</v>
      </c>
      <c r="L210" s="55">
        <v>0.01</v>
      </c>
      <c r="M210" s="55">
        <v>0.2</v>
      </c>
      <c r="N210" s="55">
        <v>6</v>
      </c>
      <c r="O210" s="55">
        <v>39</v>
      </c>
      <c r="P210" s="47" t="s">
        <v>51</v>
      </c>
    </row>
    <row r="211" spans="1:16" ht="18" customHeight="1">
      <c r="A211" s="47" t="s">
        <v>262</v>
      </c>
      <c r="B211" s="48" t="s">
        <v>1960</v>
      </c>
      <c r="C211" s="54" t="s">
        <v>319</v>
      </c>
      <c r="D211" s="55">
        <v>31</v>
      </c>
      <c r="E211" s="55">
        <v>0.7</v>
      </c>
      <c r="F211" s="55">
        <v>7.5</v>
      </c>
      <c r="G211" s="55">
        <v>0.12</v>
      </c>
      <c r="H211" s="55">
        <v>4</v>
      </c>
      <c r="I211" s="55">
        <v>0.2</v>
      </c>
      <c r="J211" s="55">
        <v>26</v>
      </c>
      <c r="K211" s="55">
        <v>0.05</v>
      </c>
      <c r="L211" s="55">
        <v>0.01</v>
      </c>
      <c r="M211" s="55">
        <v>0.2</v>
      </c>
      <c r="N211" s="55">
        <v>6</v>
      </c>
      <c r="O211" s="55">
        <v>39</v>
      </c>
      <c r="P211" s="47" t="s">
        <v>51</v>
      </c>
    </row>
    <row r="212" spans="1:16" ht="18" customHeight="1">
      <c r="A212" s="47" t="s">
        <v>262</v>
      </c>
      <c r="B212" s="48" t="s">
        <v>320</v>
      </c>
      <c r="C212" s="54" t="s">
        <v>321</v>
      </c>
      <c r="D212" s="55">
        <v>42</v>
      </c>
      <c r="E212" s="55">
        <v>0.7</v>
      </c>
      <c r="F212" s="55">
        <v>10.4</v>
      </c>
      <c r="G212" s="55">
        <v>0.13</v>
      </c>
      <c r="H212" s="55">
        <v>11</v>
      </c>
      <c r="I212" s="55">
        <v>0.2</v>
      </c>
      <c r="J212" s="55">
        <v>12</v>
      </c>
      <c r="K212" s="55">
        <v>0.09</v>
      </c>
      <c r="L212" s="55">
        <v>0.03</v>
      </c>
      <c r="M212" s="55">
        <v>0.5</v>
      </c>
      <c r="N212" s="55">
        <v>40</v>
      </c>
      <c r="O212" s="55">
        <v>0</v>
      </c>
      <c r="P212" s="47" t="s">
        <v>51</v>
      </c>
    </row>
    <row r="213" spans="1:16" ht="18" customHeight="1">
      <c r="A213" s="47"/>
      <c r="B213" s="48" t="s">
        <v>322</v>
      </c>
      <c r="C213" s="54"/>
      <c r="D213" s="55">
        <v>42</v>
      </c>
      <c r="E213" s="55">
        <v>0.7</v>
      </c>
      <c r="F213" s="55">
        <v>10</v>
      </c>
      <c r="G213" s="55">
        <v>0.3</v>
      </c>
      <c r="H213" s="55">
        <v>11</v>
      </c>
      <c r="I213" s="55">
        <v>0.2</v>
      </c>
      <c r="J213" s="55">
        <v>12</v>
      </c>
      <c r="K213" s="55">
        <v>0.09</v>
      </c>
      <c r="L213" s="55">
        <v>0.03</v>
      </c>
      <c r="M213" s="55">
        <v>0.5</v>
      </c>
      <c r="N213" s="55">
        <v>40</v>
      </c>
      <c r="O213" s="55">
        <v>0</v>
      </c>
    </row>
    <row r="214" spans="1:16" ht="18" customHeight="1">
      <c r="A214" s="47"/>
      <c r="B214" s="48" t="s">
        <v>323</v>
      </c>
      <c r="C214" s="54"/>
      <c r="D214" s="55">
        <v>42</v>
      </c>
      <c r="E214" s="55">
        <v>0.7</v>
      </c>
      <c r="F214" s="55">
        <v>10.4</v>
      </c>
      <c r="G214" s="55">
        <v>0.15</v>
      </c>
      <c r="H214" s="55">
        <v>11</v>
      </c>
      <c r="I214" s="55">
        <v>0.2</v>
      </c>
      <c r="J214" s="55">
        <v>12</v>
      </c>
      <c r="K214" s="55">
        <v>0.09</v>
      </c>
      <c r="L214" s="55">
        <v>0.03</v>
      </c>
      <c r="M214" s="55">
        <v>0.5</v>
      </c>
      <c r="N214" s="55">
        <v>40</v>
      </c>
      <c r="O214" s="55">
        <v>0</v>
      </c>
    </row>
    <row r="215" spans="1:16" ht="18" customHeight="1">
      <c r="A215" s="47"/>
      <c r="B215" s="48" t="s">
        <v>324</v>
      </c>
      <c r="C215" s="54" t="s">
        <v>325</v>
      </c>
      <c r="D215" s="55">
        <v>42</v>
      </c>
      <c r="E215" s="55">
        <v>0.7</v>
      </c>
      <c r="F215" s="55">
        <v>7.2</v>
      </c>
      <c r="G215" s="55">
        <v>0.1</v>
      </c>
      <c r="H215" s="55">
        <v>11</v>
      </c>
      <c r="I215" s="55">
        <v>0.2</v>
      </c>
      <c r="J215" s="55">
        <v>12</v>
      </c>
      <c r="K215" s="55">
        <v>0.09</v>
      </c>
      <c r="L215" s="55">
        <v>0.03</v>
      </c>
      <c r="M215" s="55">
        <v>0.5</v>
      </c>
      <c r="N215" s="55">
        <v>40</v>
      </c>
      <c r="O215" s="55">
        <v>0</v>
      </c>
    </row>
    <row r="216" spans="1:16" ht="18" customHeight="1">
      <c r="A216" s="47"/>
      <c r="B216" s="48" t="s">
        <v>326</v>
      </c>
      <c r="C216" s="54"/>
      <c r="D216" s="55">
        <v>40</v>
      </c>
      <c r="E216" s="55">
        <v>0.8</v>
      </c>
      <c r="F216" s="55">
        <v>2</v>
      </c>
      <c r="G216" s="55">
        <v>0.78</v>
      </c>
      <c r="H216" s="55">
        <v>39</v>
      </c>
      <c r="I216" s="55">
        <v>0.1</v>
      </c>
      <c r="J216" s="55">
        <v>13</v>
      </c>
      <c r="K216" s="55">
        <v>0.09</v>
      </c>
      <c r="L216" s="55">
        <v>0.02</v>
      </c>
      <c r="M216" s="55">
        <v>0.4</v>
      </c>
      <c r="N216" s="55">
        <v>46</v>
      </c>
      <c r="O216" s="55">
        <v>27</v>
      </c>
    </row>
    <row r="217" spans="1:16" ht="18" customHeight="1">
      <c r="A217" s="47" t="s">
        <v>262</v>
      </c>
      <c r="B217" s="48" t="s">
        <v>327</v>
      </c>
      <c r="C217" s="54" t="s">
        <v>328</v>
      </c>
      <c r="D217" s="55">
        <v>40</v>
      </c>
      <c r="E217" s="55">
        <v>0.8</v>
      </c>
      <c r="F217" s="55">
        <v>11.2</v>
      </c>
      <c r="G217" s="55">
        <v>0.15</v>
      </c>
      <c r="H217" s="55">
        <v>39</v>
      </c>
      <c r="I217" s="55">
        <v>0.1</v>
      </c>
      <c r="J217" s="55">
        <v>13</v>
      </c>
      <c r="K217" s="55">
        <v>0.09</v>
      </c>
      <c r="L217" s="55">
        <v>0.02</v>
      </c>
      <c r="M217" s="55">
        <v>0.4</v>
      </c>
      <c r="N217" s="55">
        <v>46</v>
      </c>
      <c r="O217" s="55">
        <v>27</v>
      </c>
      <c r="P217" s="47" t="s">
        <v>51</v>
      </c>
    </row>
    <row r="218" spans="1:16" ht="18" customHeight="1">
      <c r="A218" s="47" t="s">
        <v>262</v>
      </c>
      <c r="B218" s="48" t="s">
        <v>329</v>
      </c>
      <c r="C218" s="54" t="s">
        <v>329</v>
      </c>
      <c r="D218" s="55">
        <v>34</v>
      </c>
      <c r="E218" s="55">
        <v>0.6</v>
      </c>
      <c r="F218" s="55">
        <v>5.3</v>
      </c>
      <c r="G218" s="55">
        <v>0.18</v>
      </c>
      <c r="H218" s="55">
        <v>4</v>
      </c>
      <c r="I218" s="55">
        <v>0.3</v>
      </c>
      <c r="J218" s="55">
        <v>5</v>
      </c>
      <c r="K218" s="55">
        <v>0.02</v>
      </c>
      <c r="L218" s="55">
        <v>0.02</v>
      </c>
      <c r="M218" s="55">
        <v>0.4</v>
      </c>
      <c r="N218" s="55">
        <v>4</v>
      </c>
      <c r="O218" s="55">
        <v>9</v>
      </c>
      <c r="P218" s="47" t="s">
        <v>51</v>
      </c>
    </row>
    <row r="219" spans="1:16" ht="18" customHeight="1">
      <c r="A219" s="47" t="s">
        <v>262</v>
      </c>
      <c r="B219" s="53" t="s">
        <v>330</v>
      </c>
      <c r="C219" s="54" t="s">
        <v>330</v>
      </c>
      <c r="D219" s="55">
        <v>35</v>
      </c>
      <c r="E219" s="50">
        <v>0.5</v>
      </c>
      <c r="F219" s="55">
        <v>10.3</v>
      </c>
      <c r="G219" s="50">
        <v>0.1</v>
      </c>
      <c r="H219" s="55">
        <v>7</v>
      </c>
      <c r="I219" s="55">
        <v>0.2</v>
      </c>
      <c r="J219" s="55">
        <v>1</v>
      </c>
      <c r="K219" s="55">
        <v>0.04</v>
      </c>
      <c r="L219" s="55">
        <v>0.02</v>
      </c>
      <c r="M219" s="55">
        <v>0.2</v>
      </c>
      <c r="N219" s="55">
        <v>29</v>
      </c>
      <c r="O219" s="55">
        <v>0</v>
      </c>
      <c r="P219" s="47" t="s">
        <v>51</v>
      </c>
    </row>
    <row r="220" spans="1:16" ht="18" customHeight="1">
      <c r="A220" s="47" t="s">
        <v>262</v>
      </c>
      <c r="B220" s="48" t="s">
        <v>331</v>
      </c>
      <c r="C220" s="54" t="s">
        <v>331</v>
      </c>
      <c r="D220" s="55">
        <v>37</v>
      </c>
      <c r="E220" s="55">
        <v>0.6</v>
      </c>
      <c r="F220" s="55">
        <v>10.3</v>
      </c>
      <c r="G220" s="55">
        <v>0.1</v>
      </c>
      <c r="H220" s="55">
        <v>9</v>
      </c>
      <c r="I220" s="55">
        <v>0.1</v>
      </c>
      <c r="J220" s="55">
        <v>3</v>
      </c>
      <c r="K220" s="55">
        <v>0.04</v>
      </c>
      <c r="L220" s="55">
        <v>0.01</v>
      </c>
      <c r="M220" s="55">
        <v>0.2</v>
      </c>
      <c r="N220" s="55">
        <v>38</v>
      </c>
      <c r="O220" s="55">
        <v>0</v>
      </c>
      <c r="P220" s="47" t="s">
        <v>51</v>
      </c>
    </row>
    <row r="221" spans="1:16" ht="18" customHeight="1">
      <c r="A221" s="47" t="s">
        <v>262</v>
      </c>
      <c r="B221" s="48" t="s">
        <v>332</v>
      </c>
      <c r="C221" s="54" t="s">
        <v>333</v>
      </c>
      <c r="D221" s="55">
        <v>31</v>
      </c>
      <c r="E221" s="55">
        <v>1</v>
      </c>
      <c r="F221" s="55">
        <v>7.5</v>
      </c>
      <c r="G221" s="55">
        <v>0.08</v>
      </c>
      <c r="H221" s="55">
        <v>6</v>
      </c>
      <c r="I221" s="55">
        <v>0.3</v>
      </c>
      <c r="J221" s="55">
        <v>0</v>
      </c>
      <c r="K221" s="55">
        <v>0.03</v>
      </c>
      <c r="L221" s="55">
        <v>0.01</v>
      </c>
      <c r="M221" s="55">
        <v>1</v>
      </c>
      <c r="N221" s="55">
        <v>22</v>
      </c>
      <c r="O221" s="55">
        <v>20</v>
      </c>
      <c r="P221" s="47" t="s">
        <v>51</v>
      </c>
    </row>
    <row r="222" spans="1:16" ht="18" customHeight="1">
      <c r="A222" s="47" t="s">
        <v>262</v>
      </c>
      <c r="B222" s="48" t="s">
        <v>334</v>
      </c>
      <c r="C222" s="54" t="s">
        <v>335</v>
      </c>
      <c r="D222" s="55">
        <v>54</v>
      </c>
      <c r="E222" s="55">
        <v>0.9</v>
      </c>
      <c r="F222" s="55">
        <v>14.8</v>
      </c>
      <c r="G222" s="55">
        <v>0.43</v>
      </c>
      <c r="H222" s="55">
        <v>30</v>
      </c>
      <c r="I222" s="55">
        <v>0.3</v>
      </c>
      <c r="J222" s="55">
        <v>8</v>
      </c>
      <c r="K222" s="55">
        <v>0</v>
      </c>
      <c r="L222" s="55">
        <v>0.02</v>
      </c>
      <c r="M222" s="55">
        <v>0.3</v>
      </c>
      <c r="N222" s="55">
        <v>27</v>
      </c>
      <c r="O222" s="55">
        <v>14</v>
      </c>
      <c r="P222" s="47" t="s">
        <v>51</v>
      </c>
    </row>
    <row r="223" spans="1:16" ht="18" customHeight="1">
      <c r="A223" s="47" t="s">
        <v>262</v>
      </c>
      <c r="B223" s="48" t="s">
        <v>336</v>
      </c>
      <c r="C223" s="54" t="s">
        <v>337</v>
      </c>
      <c r="D223" s="55">
        <v>23</v>
      </c>
      <c r="E223" s="55">
        <v>0.4</v>
      </c>
      <c r="F223" s="55">
        <v>14.9</v>
      </c>
      <c r="G223" s="55">
        <v>0.05</v>
      </c>
      <c r="H223" s="55">
        <v>10</v>
      </c>
      <c r="I223" s="55">
        <v>0.4</v>
      </c>
      <c r="J223" s="55">
        <v>0</v>
      </c>
      <c r="K223" s="55">
        <v>0.11</v>
      </c>
      <c r="L223" s="55">
        <v>0.01</v>
      </c>
      <c r="M223" s="55">
        <v>0.2</v>
      </c>
      <c r="N223" s="55">
        <v>15</v>
      </c>
      <c r="O223" s="55">
        <v>48</v>
      </c>
      <c r="P223" s="47" t="s">
        <v>51</v>
      </c>
    </row>
    <row r="224" spans="1:16" ht="18" customHeight="1">
      <c r="A224" s="47" t="s">
        <v>262</v>
      </c>
      <c r="B224" s="48" t="s">
        <v>1881</v>
      </c>
      <c r="C224" s="54" t="s">
        <v>337</v>
      </c>
      <c r="D224" s="55">
        <v>23</v>
      </c>
      <c r="E224" s="55">
        <v>0.4</v>
      </c>
      <c r="F224" s="55">
        <v>14.9</v>
      </c>
      <c r="G224" s="55">
        <v>0.05</v>
      </c>
      <c r="H224" s="55">
        <v>10</v>
      </c>
      <c r="I224" s="55">
        <v>0.4</v>
      </c>
      <c r="J224" s="55">
        <v>0</v>
      </c>
      <c r="K224" s="55">
        <v>0.11</v>
      </c>
      <c r="L224" s="55">
        <v>0.01</v>
      </c>
      <c r="M224" s="55">
        <v>0.2</v>
      </c>
      <c r="N224" s="55">
        <v>15</v>
      </c>
      <c r="O224" s="55">
        <v>48</v>
      </c>
      <c r="P224" s="47" t="s">
        <v>51</v>
      </c>
    </row>
    <row r="225" spans="1:16" ht="18" customHeight="1">
      <c r="A225" s="47" t="s">
        <v>262</v>
      </c>
      <c r="B225" s="48" t="s">
        <v>338</v>
      </c>
      <c r="C225" s="54" t="s">
        <v>339</v>
      </c>
      <c r="D225" s="55">
        <v>52</v>
      </c>
      <c r="E225" s="55">
        <v>0.3</v>
      </c>
      <c r="F225" s="55">
        <v>11.5</v>
      </c>
      <c r="G225" s="55">
        <v>0.4</v>
      </c>
      <c r="H225" s="55">
        <v>17</v>
      </c>
      <c r="I225" s="55">
        <v>0.3</v>
      </c>
      <c r="J225" s="55">
        <v>0</v>
      </c>
      <c r="K225" s="55">
        <v>0.06</v>
      </c>
      <c r="L225" s="55">
        <v>0.02</v>
      </c>
      <c r="M225" s="55">
        <v>0.3</v>
      </c>
      <c r="N225" s="55">
        <v>11</v>
      </c>
      <c r="O225" s="55">
        <v>0</v>
      </c>
      <c r="P225" s="47" t="s">
        <v>51</v>
      </c>
    </row>
    <row r="226" spans="1:16" ht="18" customHeight="1">
      <c r="A226" s="47" t="s">
        <v>262</v>
      </c>
      <c r="B226" s="48" t="s">
        <v>340</v>
      </c>
      <c r="C226" s="54" t="s">
        <v>339</v>
      </c>
      <c r="D226" s="55">
        <v>52</v>
      </c>
      <c r="E226" s="55">
        <v>0.3</v>
      </c>
      <c r="F226" s="55">
        <v>17</v>
      </c>
      <c r="G226" s="55">
        <v>0.2</v>
      </c>
      <c r="H226" s="55">
        <v>17</v>
      </c>
      <c r="I226" s="55">
        <v>0.3</v>
      </c>
      <c r="J226" s="55">
        <v>0</v>
      </c>
      <c r="K226" s="55">
        <v>0.06</v>
      </c>
      <c r="L226" s="55">
        <v>0.02</v>
      </c>
      <c r="M226" s="55">
        <v>0.3</v>
      </c>
      <c r="N226" s="55">
        <v>11</v>
      </c>
      <c r="O226" s="55">
        <v>0</v>
      </c>
      <c r="P226" s="47" t="s">
        <v>51</v>
      </c>
    </row>
    <row r="227" spans="1:16" ht="18" customHeight="1">
      <c r="A227" s="47" t="s">
        <v>262</v>
      </c>
      <c r="B227" s="48" t="s">
        <v>1730</v>
      </c>
      <c r="C227" s="54" t="s">
        <v>342</v>
      </c>
      <c r="D227" s="55">
        <v>62</v>
      </c>
      <c r="E227" s="55">
        <v>0.4</v>
      </c>
      <c r="F227" s="55">
        <v>17</v>
      </c>
      <c r="G227" s="55">
        <v>0.2</v>
      </c>
      <c r="H227" s="55">
        <v>9</v>
      </c>
      <c r="I227" s="55">
        <v>0.2</v>
      </c>
      <c r="J227" s="55">
        <v>3</v>
      </c>
      <c r="K227" s="55">
        <v>7.0000000000000007E-2</v>
      </c>
      <c r="L227" s="55">
        <v>0.01</v>
      </c>
      <c r="M227" s="55">
        <v>0.1</v>
      </c>
      <c r="N227" s="55">
        <v>5</v>
      </c>
      <c r="O227" s="55">
        <v>0</v>
      </c>
      <c r="P227" s="47" t="s">
        <v>51</v>
      </c>
    </row>
    <row r="228" spans="1:16" ht="18" customHeight="1">
      <c r="A228" s="47" t="s">
        <v>262</v>
      </c>
      <c r="B228" s="48" t="s">
        <v>341</v>
      </c>
      <c r="C228" s="54" t="s">
        <v>342</v>
      </c>
      <c r="D228" s="55">
        <v>62</v>
      </c>
      <c r="E228" s="55">
        <v>0.4</v>
      </c>
      <c r="F228" s="55">
        <v>17</v>
      </c>
      <c r="G228" s="55">
        <v>0.2</v>
      </c>
      <c r="H228" s="55">
        <v>9</v>
      </c>
      <c r="I228" s="55">
        <v>0.2</v>
      </c>
      <c r="J228" s="55">
        <v>3</v>
      </c>
      <c r="K228" s="55">
        <v>7.0000000000000007E-2</v>
      </c>
      <c r="L228" s="55">
        <v>0.01</v>
      </c>
      <c r="M228" s="55">
        <v>0.1</v>
      </c>
      <c r="N228" s="55">
        <v>5</v>
      </c>
      <c r="O228" s="55">
        <v>0</v>
      </c>
      <c r="P228" s="47" t="s">
        <v>51</v>
      </c>
    </row>
    <row r="229" spans="1:16" ht="18" customHeight="1">
      <c r="A229" s="47" t="s">
        <v>262</v>
      </c>
      <c r="B229" s="48" t="s">
        <v>1912</v>
      </c>
      <c r="C229" s="54" t="s">
        <v>1901</v>
      </c>
      <c r="D229" s="55">
        <v>62</v>
      </c>
      <c r="E229" s="55">
        <v>0.4</v>
      </c>
      <c r="F229" s="55">
        <v>17</v>
      </c>
      <c r="G229" s="55">
        <v>0.2</v>
      </c>
      <c r="H229" s="55">
        <v>9</v>
      </c>
      <c r="I229" s="55">
        <v>0.2</v>
      </c>
      <c r="J229" s="55">
        <v>3</v>
      </c>
      <c r="K229" s="55">
        <v>7.0000000000000007E-2</v>
      </c>
      <c r="L229" s="55">
        <v>0.01</v>
      </c>
      <c r="M229" s="55">
        <v>0.1</v>
      </c>
      <c r="N229" s="55">
        <v>5</v>
      </c>
      <c r="O229" s="55">
        <v>0</v>
      </c>
      <c r="P229" s="47" t="s">
        <v>51</v>
      </c>
    </row>
    <row r="230" spans="1:16" ht="18" customHeight="1">
      <c r="A230" s="47" t="s">
        <v>262</v>
      </c>
      <c r="B230" s="48" t="s">
        <v>343</v>
      </c>
      <c r="C230" s="54" t="s">
        <v>343</v>
      </c>
      <c r="D230" s="55">
        <v>56</v>
      </c>
      <c r="E230" s="55">
        <v>0.5</v>
      </c>
      <c r="F230" s="55">
        <v>17.100000000000001</v>
      </c>
      <c r="G230" s="55">
        <v>0.8</v>
      </c>
      <c r="H230" s="55">
        <v>6</v>
      </c>
      <c r="I230" s="55">
        <v>0.4</v>
      </c>
      <c r="J230" s="55">
        <v>3</v>
      </c>
      <c r="K230" s="55">
        <v>0.03</v>
      </c>
      <c r="L230" s="55">
        <v>0.01</v>
      </c>
      <c r="M230" s="55">
        <v>0.2</v>
      </c>
      <c r="N230" s="55">
        <v>2</v>
      </c>
      <c r="O230" s="55">
        <v>15</v>
      </c>
      <c r="P230" s="47" t="s">
        <v>51</v>
      </c>
    </row>
    <row r="231" spans="1:16" ht="18" customHeight="1">
      <c r="A231" s="47" t="s">
        <v>262</v>
      </c>
      <c r="B231" s="48" t="s">
        <v>1874</v>
      </c>
      <c r="C231" s="54" t="s">
        <v>1875</v>
      </c>
      <c r="D231" s="55">
        <v>56</v>
      </c>
      <c r="E231" s="55">
        <v>0.5</v>
      </c>
      <c r="F231" s="55">
        <v>17.100000000000001</v>
      </c>
      <c r="G231" s="55">
        <v>0.8</v>
      </c>
      <c r="H231" s="55">
        <v>6</v>
      </c>
      <c r="I231" s="55">
        <v>0.4</v>
      </c>
      <c r="J231" s="55">
        <v>3</v>
      </c>
      <c r="K231" s="55">
        <v>0.03</v>
      </c>
      <c r="L231" s="55">
        <v>0.01</v>
      </c>
      <c r="M231" s="55">
        <v>0.2</v>
      </c>
      <c r="N231" s="55">
        <v>2</v>
      </c>
      <c r="O231" s="55">
        <v>15</v>
      </c>
      <c r="P231" s="47" t="s">
        <v>51</v>
      </c>
    </row>
    <row r="232" spans="1:16" ht="18" customHeight="1">
      <c r="A232" s="47"/>
      <c r="B232" s="48" t="s">
        <v>2255</v>
      </c>
      <c r="C232" s="54"/>
      <c r="D232" s="55">
        <v>489.29</v>
      </c>
      <c r="E232" s="55">
        <v>4.17</v>
      </c>
      <c r="F232" s="55">
        <v>59.23</v>
      </c>
      <c r="G232" s="55">
        <v>26.19</v>
      </c>
      <c r="H232" s="55"/>
      <c r="I232" s="55"/>
      <c r="J232" s="55"/>
      <c r="K232" s="55"/>
      <c r="L232" s="55"/>
      <c r="M232" s="55"/>
      <c r="N232" s="55"/>
      <c r="O232" s="55"/>
    </row>
    <row r="233" spans="1:16" ht="18" customHeight="1">
      <c r="A233" s="47"/>
      <c r="B233" s="48" t="s">
        <v>2207</v>
      </c>
      <c r="C233" s="54"/>
      <c r="D233" s="55">
        <v>295</v>
      </c>
      <c r="E233" s="55">
        <v>1.4</v>
      </c>
      <c r="F233" s="55">
        <v>17</v>
      </c>
      <c r="G233" s="55">
        <v>57</v>
      </c>
      <c r="H233" s="55"/>
      <c r="I233" s="55"/>
      <c r="J233" s="55"/>
      <c r="K233" s="55"/>
      <c r="L233" s="55"/>
      <c r="M233" s="55"/>
      <c r="N233" s="55"/>
      <c r="O233" s="55"/>
    </row>
    <row r="234" spans="1:16" ht="18" customHeight="1">
      <c r="A234" s="47" t="s">
        <v>262</v>
      </c>
      <c r="B234" s="48" t="s">
        <v>344</v>
      </c>
      <c r="C234" s="54" t="s">
        <v>345</v>
      </c>
      <c r="D234" s="55">
        <v>56</v>
      </c>
      <c r="E234" s="55">
        <v>0.5</v>
      </c>
      <c r="F234" s="55">
        <v>18</v>
      </c>
      <c r="G234" s="55">
        <v>0.21</v>
      </c>
      <c r="H234" s="55">
        <v>6</v>
      </c>
      <c r="I234" s="55">
        <v>0.4</v>
      </c>
      <c r="J234" s="55">
        <v>3</v>
      </c>
      <c r="K234" s="55">
        <v>0.03</v>
      </c>
      <c r="L234" s="55">
        <v>0.01</v>
      </c>
      <c r="M234" s="55">
        <v>0.2</v>
      </c>
      <c r="N234" s="55">
        <v>2</v>
      </c>
      <c r="O234" s="55">
        <v>15</v>
      </c>
      <c r="P234" s="47" t="s">
        <v>51</v>
      </c>
    </row>
    <row r="235" spans="1:16" ht="18" customHeight="1">
      <c r="A235" s="47" t="s">
        <v>262</v>
      </c>
      <c r="B235" s="48" t="s">
        <v>346</v>
      </c>
      <c r="C235" s="54" t="s">
        <v>347</v>
      </c>
      <c r="D235" s="55">
        <v>274</v>
      </c>
      <c r="E235" s="55">
        <v>3</v>
      </c>
      <c r="F235" s="55">
        <v>73.8</v>
      </c>
      <c r="G235" s="55">
        <v>0.2</v>
      </c>
      <c r="H235" s="55">
        <v>58</v>
      </c>
      <c r="I235" s="55">
        <v>2.1</v>
      </c>
      <c r="J235" s="55">
        <v>0</v>
      </c>
      <c r="K235" s="55">
        <v>0.14000000000000001</v>
      </c>
      <c r="L235" s="55">
        <v>0.03</v>
      </c>
      <c r="M235" s="55">
        <v>0.6</v>
      </c>
      <c r="N235" s="55">
        <v>0</v>
      </c>
      <c r="O235" s="55">
        <v>0</v>
      </c>
      <c r="P235" s="47" t="s">
        <v>51</v>
      </c>
    </row>
    <row r="236" spans="1:16" ht="18" customHeight="1">
      <c r="A236" s="47"/>
      <c r="B236" s="48" t="s">
        <v>348</v>
      </c>
      <c r="C236" s="54"/>
      <c r="D236" s="55">
        <v>55</v>
      </c>
      <c r="E236" s="55">
        <v>0.2</v>
      </c>
      <c r="F236" s="55">
        <v>15.1</v>
      </c>
      <c r="G236" s="55">
        <v>0.2</v>
      </c>
      <c r="H236" s="55">
        <v>4</v>
      </c>
      <c r="I236" s="55">
        <v>0.1</v>
      </c>
      <c r="J236" s="55">
        <v>0</v>
      </c>
      <c r="K236" s="55">
        <v>0</v>
      </c>
      <c r="L236" s="55">
        <v>0</v>
      </c>
      <c r="M236" s="55">
        <v>0</v>
      </c>
      <c r="N236" s="55">
        <v>0</v>
      </c>
      <c r="O236" s="55">
        <v>0</v>
      </c>
    </row>
    <row r="237" spans="1:16" ht="18" customHeight="1">
      <c r="A237" s="47" t="s">
        <v>262</v>
      </c>
      <c r="B237" s="48" t="s">
        <v>1777</v>
      </c>
      <c r="C237" s="54" t="s">
        <v>350</v>
      </c>
      <c r="D237" s="55">
        <v>55</v>
      </c>
      <c r="E237" s="55">
        <v>0.2</v>
      </c>
      <c r="F237" s="55">
        <v>12.9</v>
      </c>
      <c r="G237" s="55">
        <v>0.1</v>
      </c>
      <c r="H237" s="55">
        <v>4</v>
      </c>
      <c r="I237" s="55">
        <v>0.1</v>
      </c>
      <c r="J237" s="55">
        <v>0</v>
      </c>
      <c r="K237" s="55">
        <v>0</v>
      </c>
      <c r="L237" s="55">
        <v>0</v>
      </c>
      <c r="M237" s="55">
        <v>0</v>
      </c>
      <c r="N237" s="55">
        <v>0</v>
      </c>
      <c r="O237" s="55">
        <v>0</v>
      </c>
      <c r="P237" s="47" t="s">
        <v>51</v>
      </c>
    </row>
    <row r="238" spans="1:16" ht="18" customHeight="1">
      <c r="A238" s="47" t="s">
        <v>262</v>
      </c>
      <c r="B238" s="48" t="s">
        <v>349</v>
      </c>
      <c r="C238" s="54" t="s">
        <v>350</v>
      </c>
      <c r="D238" s="55">
        <v>55</v>
      </c>
      <c r="E238" s="55">
        <v>0.2</v>
      </c>
      <c r="F238" s="55">
        <v>12.9</v>
      </c>
      <c r="G238" s="55">
        <v>0.1</v>
      </c>
      <c r="H238" s="55">
        <v>4</v>
      </c>
      <c r="I238" s="55">
        <v>0.1</v>
      </c>
      <c r="J238" s="55">
        <v>0</v>
      </c>
      <c r="K238" s="55">
        <v>0</v>
      </c>
      <c r="L238" s="55">
        <v>0</v>
      </c>
      <c r="M238" s="55">
        <v>0</v>
      </c>
      <c r="N238" s="55">
        <v>0</v>
      </c>
      <c r="O238" s="55">
        <v>0</v>
      </c>
      <c r="P238" s="47" t="s">
        <v>51</v>
      </c>
    </row>
    <row r="239" spans="1:16" ht="18" customHeight="1">
      <c r="A239" s="47" t="s">
        <v>262</v>
      </c>
      <c r="B239" s="48" t="s">
        <v>1951</v>
      </c>
      <c r="C239" s="54" t="s">
        <v>350</v>
      </c>
      <c r="D239" s="55">
        <v>55</v>
      </c>
      <c r="E239" s="55">
        <v>0.2</v>
      </c>
      <c r="F239" s="55">
        <v>12.9</v>
      </c>
      <c r="G239" s="55">
        <v>0.1</v>
      </c>
      <c r="H239" s="55">
        <v>4</v>
      </c>
      <c r="I239" s="55">
        <v>0.1</v>
      </c>
      <c r="J239" s="55">
        <v>0</v>
      </c>
      <c r="K239" s="55">
        <v>0</v>
      </c>
      <c r="L239" s="55">
        <v>0</v>
      </c>
      <c r="M239" s="55">
        <v>0</v>
      </c>
      <c r="N239" s="55">
        <v>0</v>
      </c>
      <c r="O239" s="55">
        <v>0</v>
      </c>
      <c r="P239" s="47" t="s">
        <v>51</v>
      </c>
    </row>
    <row r="240" spans="1:16" ht="18" customHeight="1">
      <c r="A240" s="47" t="s">
        <v>262</v>
      </c>
      <c r="B240" s="48" t="s">
        <v>351</v>
      </c>
      <c r="C240" s="54" t="s">
        <v>352</v>
      </c>
      <c r="D240" s="55">
        <v>47</v>
      </c>
      <c r="E240" s="55">
        <v>0.3</v>
      </c>
      <c r="F240" s="55">
        <v>15</v>
      </c>
      <c r="G240" s="55">
        <v>0.15</v>
      </c>
      <c r="H240" s="55">
        <v>5</v>
      </c>
      <c r="I240" s="55">
        <v>0.3</v>
      </c>
      <c r="J240" s="55">
        <v>2</v>
      </c>
      <c r="K240" s="55">
        <v>0.06</v>
      </c>
      <c r="L240" s="55">
        <v>0.01</v>
      </c>
      <c r="M240" s="55">
        <v>0.2</v>
      </c>
      <c r="N240" s="55">
        <v>2</v>
      </c>
      <c r="O240" s="55">
        <v>27</v>
      </c>
      <c r="P240" s="47" t="s">
        <v>51</v>
      </c>
    </row>
    <row r="241" spans="1:16" ht="18" customHeight="1">
      <c r="A241" s="47" t="s">
        <v>262</v>
      </c>
      <c r="B241" s="48" t="s">
        <v>353</v>
      </c>
      <c r="C241" s="54" t="s">
        <v>354</v>
      </c>
      <c r="D241" s="55">
        <v>79</v>
      </c>
      <c r="E241" s="55">
        <v>0.4</v>
      </c>
      <c r="F241" s="55">
        <v>23.4</v>
      </c>
      <c r="G241" s="55">
        <v>0.1</v>
      </c>
      <c r="H241" s="55">
        <v>6</v>
      </c>
      <c r="I241" s="55">
        <v>0.3</v>
      </c>
      <c r="J241" s="55">
        <v>2</v>
      </c>
      <c r="K241" s="55">
        <v>0.02</v>
      </c>
      <c r="L241" s="55">
        <v>0.02</v>
      </c>
      <c r="M241" s="55">
        <v>0.4</v>
      </c>
      <c r="N241" s="55">
        <v>2</v>
      </c>
      <c r="O241" s="55">
        <v>0</v>
      </c>
      <c r="P241" s="47" t="s">
        <v>51</v>
      </c>
    </row>
    <row r="242" spans="1:16" ht="18" customHeight="1">
      <c r="A242" s="47" t="s">
        <v>355</v>
      </c>
      <c r="B242" s="48" t="s">
        <v>356</v>
      </c>
      <c r="C242" s="54" t="s">
        <v>357</v>
      </c>
      <c r="D242" s="55">
        <v>162</v>
      </c>
      <c r="E242" s="55">
        <v>11.7</v>
      </c>
      <c r="F242" s="55">
        <v>28</v>
      </c>
      <c r="G242" s="55">
        <v>9.68</v>
      </c>
      <c r="H242" s="55">
        <v>56.4</v>
      </c>
      <c r="I242" s="55">
        <v>2</v>
      </c>
      <c r="J242" s="55">
        <v>150</v>
      </c>
      <c r="K242" s="55">
        <v>0.06</v>
      </c>
      <c r="L242" s="55">
        <v>0.28000000000000003</v>
      </c>
      <c r="M242" s="55">
        <v>0</v>
      </c>
      <c r="N242" s="55">
        <v>0</v>
      </c>
      <c r="O242" s="55">
        <v>0</v>
      </c>
      <c r="P242" s="47" t="s">
        <v>51</v>
      </c>
    </row>
    <row r="243" spans="1:16" ht="18" customHeight="1">
      <c r="A243" s="47"/>
      <c r="B243" s="48" t="s">
        <v>2208</v>
      </c>
      <c r="C243" s="54"/>
      <c r="D243" s="55">
        <v>45</v>
      </c>
      <c r="E243" s="55"/>
      <c r="F243" s="55">
        <v>11</v>
      </c>
      <c r="G243" s="55"/>
      <c r="H243" s="55"/>
      <c r="I243" s="55"/>
      <c r="J243" s="55"/>
      <c r="K243" s="55"/>
      <c r="L243" s="55"/>
      <c r="M243" s="55"/>
      <c r="N243" s="55"/>
      <c r="O243" s="55"/>
    </row>
    <row r="244" spans="1:16" ht="18" customHeight="1">
      <c r="A244" s="47" t="s">
        <v>355</v>
      </c>
      <c r="B244" s="53" t="s">
        <v>358</v>
      </c>
      <c r="C244" s="54" t="s">
        <v>357</v>
      </c>
      <c r="D244" s="55">
        <v>158</v>
      </c>
      <c r="E244" s="50">
        <v>8</v>
      </c>
      <c r="F244" s="55">
        <v>0.88</v>
      </c>
      <c r="G244" s="50">
        <v>9.68</v>
      </c>
      <c r="H244" s="55">
        <v>39</v>
      </c>
      <c r="I244" s="55">
        <v>2</v>
      </c>
      <c r="J244" s="55">
        <v>159</v>
      </c>
      <c r="K244" s="55">
        <v>0.06</v>
      </c>
      <c r="L244" s="55">
        <v>0.42</v>
      </c>
      <c r="M244" s="55">
        <v>0.1</v>
      </c>
      <c r="N244" s="55">
        <v>0</v>
      </c>
      <c r="O244" s="55">
        <v>0</v>
      </c>
      <c r="P244" s="47" t="s">
        <v>51</v>
      </c>
    </row>
    <row r="245" spans="1:16" ht="18" customHeight="1">
      <c r="A245" s="47" t="s">
        <v>355</v>
      </c>
      <c r="B245" s="48" t="s">
        <v>359</v>
      </c>
      <c r="C245" s="54" t="s">
        <v>360</v>
      </c>
      <c r="D245" s="55">
        <v>53</v>
      </c>
      <c r="E245" s="55">
        <v>11.3</v>
      </c>
      <c r="F245" s="55">
        <v>0.9</v>
      </c>
      <c r="G245" s="55">
        <v>0.1</v>
      </c>
      <c r="H245" s="55">
        <v>7</v>
      </c>
      <c r="I245" s="55">
        <v>0.2</v>
      </c>
      <c r="J245" s="55">
        <v>0</v>
      </c>
      <c r="K245" s="55">
        <v>0.01</v>
      </c>
      <c r="L245" s="55">
        <v>0.38</v>
      </c>
      <c r="M245" s="55">
        <v>0.1</v>
      </c>
      <c r="N245" s="55">
        <v>0</v>
      </c>
      <c r="O245" s="55">
        <v>0</v>
      </c>
      <c r="P245" s="47" t="s">
        <v>51</v>
      </c>
    </row>
    <row r="246" spans="1:16" ht="18" customHeight="1">
      <c r="A246" s="47" t="s">
        <v>355</v>
      </c>
      <c r="B246" s="48" t="s">
        <v>361</v>
      </c>
      <c r="C246" s="54" t="s">
        <v>362</v>
      </c>
      <c r="D246" s="55">
        <v>339</v>
      </c>
      <c r="E246" s="55">
        <v>15.6</v>
      </c>
      <c r="F246" s="55">
        <v>0.9</v>
      </c>
      <c r="G246" s="55">
        <v>29.7</v>
      </c>
      <c r="H246" s="55">
        <v>129</v>
      </c>
      <c r="I246" s="55">
        <v>5.5</v>
      </c>
      <c r="J246" s="55">
        <v>453</v>
      </c>
      <c r="K246" s="55">
        <v>0.2</v>
      </c>
      <c r="L246" s="55">
        <v>0.42</v>
      </c>
      <c r="M246" s="55">
        <v>0.1</v>
      </c>
      <c r="N246" s="55">
        <v>0</v>
      </c>
      <c r="O246" s="55">
        <v>0</v>
      </c>
      <c r="P246" s="47" t="s">
        <v>51</v>
      </c>
    </row>
    <row r="247" spans="1:16" ht="18" customHeight="1">
      <c r="A247" s="47" t="s">
        <v>355</v>
      </c>
      <c r="B247" s="48" t="s">
        <v>363</v>
      </c>
      <c r="C247" s="54" t="s">
        <v>364</v>
      </c>
      <c r="D247" s="55">
        <v>151</v>
      </c>
      <c r="E247" s="55">
        <v>12.1</v>
      </c>
      <c r="F247" s="55">
        <v>0.09</v>
      </c>
      <c r="G247" s="55">
        <v>9.0299999999999994</v>
      </c>
      <c r="H247" s="55">
        <v>35</v>
      </c>
      <c r="I247" s="55">
        <v>1.7</v>
      </c>
      <c r="J247" s="55">
        <v>147</v>
      </c>
      <c r="K247" s="55">
        <v>0.04</v>
      </c>
      <c r="L247" s="55">
        <v>0.39</v>
      </c>
      <c r="M247" s="55">
        <v>0.1</v>
      </c>
      <c r="N247" s="55">
        <v>0</v>
      </c>
      <c r="O247" s="55">
        <v>14</v>
      </c>
      <c r="P247" s="47" t="s">
        <v>51</v>
      </c>
    </row>
    <row r="248" spans="1:16" ht="18" customHeight="1">
      <c r="A248" s="47" t="s">
        <v>355</v>
      </c>
      <c r="B248" s="48" t="s">
        <v>357</v>
      </c>
      <c r="C248" s="54" t="s">
        <v>365</v>
      </c>
      <c r="D248" s="55">
        <v>140</v>
      </c>
      <c r="E248" s="55">
        <v>12.7</v>
      </c>
      <c r="F248" s="55">
        <v>44</v>
      </c>
      <c r="G248" s="55">
        <v>9.0299999999999994</v>
      </c>
      <c r="H248" s="55">
        <v>47</v>
      </c>
      <c r="I248" s="55">
        <v>1.8</v>
      </c>
      <c r="J248" s="55">
        <v>156</v>
      </c>
      <c r="K248" s="55">
        <v>0.1</v>
      </c>
      <c r="L248" s="55">
        <v>0.26</v>
      </c>
      <c r="M248" s="55">
        <v>0.1</v>
      </c>
      <c r="N248" s="55">
        <v>0</v>
      </c>
      <c r="O248" s="55">
        <v>12</v>
      </c>
      <c r="P248" s="47" t="s">
        <v>51</v>
      </c>
    </row>
    <row r="249" spans="1:16" ht="18" customHeight="1">
      <c r="A249" s="47"/>
      <c r="B249" s="48" t="s">
        <v>1806</v>
      </c>
      <c r="C249" s="54"/>
      <c r="D249" s="55">
        <v>140</v>
      </c>
      <c r="E249" s="55">
        <v>12.7</v>
      </c>
      <c r="F249" s="55">
        <v>44</v>
      </c>
      <c r="G249" s="55">
        <v>9.0299999999999994</v>
      </c>
      <c r="H249" s="55">
        <v>47</v>
      </c>
      <c r="I249" s="55">
        <v>1.8</v>
      </c>
      <c r="J249" s="55">
        <v>156</v>
      </c>
      <c r="K249" s="55">
        <v>0.1</v>
      </c>
      <c r="L249" s="55">
        <v>0.26</v>
      </c>
      <c r="M249" s="55">
        <v>0.1</v>
      </c>
      <c r="N249" s="55">
        <v>0</v>
      </c>
      <c r="O249" s="55">
        <v>12</v>
      </c>
    </row>
    <row r="250" spans="1:16" ht="18" customHeight="1">
      <c r="A250" s="47" t="s">
        <v>355</v>
      </c>
      <c r="B250" s="48" t="s">
        <v>366</v>
      </c>
      <c r="C250" s="54" t="s">
        <v>367</v>
      </c>
      <c r="D250" s="55">
        <v>152</v>
      </c>
      <c r="E250" s="55">
        <v>12.3</v>
      </c>
      <c r="F250" s="55">
        <v>2</v>
      </c>
      <c r="G250" s="55">
        <v>10.29</v>
      </c>
      <c r="H250" s="55">
        <v>39</v>
      </c>
      <c r="I250" s="55">
        <v>3.7</v>
      </c>
      <c r="J250" s="55">
        <v>541</v>
      </c>
      <c r="K250" s="55">
        <v>0.12</v>
      </c>
      <c r="L250" s="55">
        <v>0.67</v>
      </c>
      <c r="M250" s="55">
        <v>0.1</v>
      </c>
      <c r="N250" s="55">
        <v>0</v>
      </c>
      <c r="O250" s="55">
        <v>11</v>
      </c>
      <c r="P250" s="47" t="s">
        <v>51</v>
      </c>
    </row>
    <row r="251" spans="1:16" ht="18" customHeight="1">
      <c r="A251" s="47" t="s">
        <v>355</v>
      </c>
      <c r="B251" s="48" t="s">
        <v>368</v>
      </c>
      <c r="C251" s="54" t="s">
        <v>369</v>
      </c>
      <c r="D251" s="55">
        <v>173</v>
      </c>
      <c r="E251" s="55">
        <v>6</v>
      </c>
      <c r="F251" s="55">
        <v>2</v>
      </c>
      <c r="G251" s="55">
        <v>10.29</v>
      </c>
      <c r="H251" s="55">
        <v>39</v>
      </c>
      <c r="I251" s="55">
        <v>0.8</v>
      </c>
      <c r="J251" s="55">
        <v>88</v>
      </c>
      <c r="K251" s="55">
        <v>0.12</v>
      </c>
      <c r="L251" s="55">
        <v>0.1</v>
      </c>
      <c r="M251" s="55">
        <v>1.87</v>
      </c>
      <c r="N251" s="55">
        <v>0</v>
      </c>
      <c r="O251" s="55">
        <v>0</v>
      </c>
      <c r="P251" s="47" t="s">
        <v>51</v>
      </c>
    </row>
    <row r="252" spans="1:16" ht="18" customHeight="1">
      <c r="A252" s="47" t="s">
        <v>355</v>
      </c>
      <c r="B252" s="48" t="s">
        <v>366</v>
      </c>
      <c r="C252" s="54" t="s">
        <v>370</v>
      </c>
      <c r="D252" s="55">
        <v>170</v>
      </c>
      <c r="E252" s="55">
        <v>12.6</v>
      </c>
      <c r="F252" s="55">
        <v>2</v>
      </c>
      <c r="G252" s="55">
        <v>10.29</v>
      </c>
      <c r="H252" s="55">
        <v>72</v>
      </c>
      <c r="I252" s="55">
        <v>4.8</v>
      </c>
      <c r="J252" s="55">
        <v>432</v>
      </c>
      <c r="K252" s="55">
        <v>0.12</v>
      </c>
      <c r="L252" s="55">
        <v>0.4</v>
      </c>
      <c r="M252" s="55">
        <v>0.1</v>
      </c>
      <c r="N252" s="55">
        <v>0</v>
      </c>
      <c r="O252" s="55">
        <v>15</v>
      </c>
      <c r="P252" s="47" t="s">
        <v>51</v>
      </c>
    </row>
    <row r="253" spans="1:16" ht="18" customHeight="1">
      <c r="A253" s="47" t="s">
        <v>371</v>
      </c>
      <c r="B253" s="48" t="s">
        <v>372</v>
      </c>
      <c r="C253" s="54" t="s">
        <v>372</v>
      </c>
      <c r="D253" s="55">
        <v>294</v>
      </c>
      <c r="E253" s="55">
        <v>0.2</v>
      </c>
      <c r="F253" s="55">
        <v>75</v>
      </c>
      <c r="G253" s="55">
        <v>0</v>
      </c>
      <c r="H253" s="55">
        <v>2</v>
      </c>
      <c r="I253" s="55">
        <v>0.8</v>
      </c>
      <c r="J253" s="55">
        <v>0</v>
      </c>
      <c r="K253" s="55">
        <v>0.01</v>
      </c>
      <c r="L253" s="55">
        <v>0.01</v>
      </c>
      <c r="M253" s="55">
        <v>0.2</v>
      </c>
      <c r="N253" s="55">
        <v>3</v>
      </c>
      <c r="O253" s="55">
        <v>0</v>
      </c>
      <c r="P253" s="47" t="s">
        <v>51</v>
      </c>
    </row>
    <row r="254" spans="1:16" ht="18" customHeight="1">
      <c r="A254" s="47" t="s">
        <v>371</v>
      </c>
      <c r="B254" s="48" t="s">
        <v>373</v>
      </c>
      <c r="C254" s="54" t="s">
        <v>373</v>
      </c>
      <c r="D254" s="55">
        <v>293</v>
      </c>
      <c r="E254" s="55">
        <v>0.1</v>
      </c>
      <c r="F254" s="55">
        <v>79</v>
      </c>
      <c r="G254" s="55">
        <v>0</v>
      </c>
      <c r="H254" s="55">
        <v>1</v>
      </c>
      <c r="I254" s="55">
        <v>0.2</v>
      </c>
      <c r="J254" s="55">
        <v>0</v>
      </c>
      <c r="K254" s="55">
        <v>0</v>
      </c>
      <c r="L254" s="55">
        <v>0</v>
      </c>
      <c r="M254" s="55">
        <v>0</v>
      </c>
      <c r="N254" s="55">
        <v>0</v>
      </c>
      <c r="O254" s="55">
        <v>0</v>
      </c>
      <c r="P254" s="47" t="s">
        <v>51</v>
      </c>
    </row>
    <row r="255" spans="1:16" ht="18" customHeight="1">
      <c r="A255" s="47" t="s">
        <v>371</v>
      </c>
      <c r="B255" s="48" t="s">
        <v>374</v>
      </c>
      <c r="C255" s="54" t="s">
        <v>374</v>
      </c>
      <c r="D255" s="55">
        <v>387</v>
      </c>
      <c r="E255" s="55">
        <v>0</v>
      </c>
      <c r="F255" s="55">
        <v>100</v>
      </c>
      <c r="G255" s="55">
        <v>0</v>
      </c>
      <c r="H255" s="55">
        <v>3</v>
      </c>
      <c r="I255" s="55">
        <v>0.3</v>
      </c>
      <c r="J255" s="55">
        <v>0</v>
      </c>
      <c r="K255" s="55">
        <v>0</v>
      </c>
      <c r="L255" s="55">
        <v>0</v>
      </c>
      <c r="M255" s="55">
        <v>0</v>
      </c>
      <c r="N255" s="55">
        <v>0</v>
      </c>
      <c r="O255" s="55">
        <v>0</v>
      </c>
      <c r="P255" s="47" t="s">
        <v>51</v>
      </c>
    </row>
    <row r="256" spans="1:16" ht="18" customHeight="1">
      <c r="A256" s="47" t="s">
        <v>371</v>
      </c>
      <c r="B256" s="48" t="s">
        <v>1746</v>
      </c>
      <c r="C256" s="54" t="s">
        <v>375</v>
      </c>
      <c r="D256" s="55">
        <v>327</v>
      </c>
      <c r="E256" s="55">
        <v>0</v>
      </c>
      <c r="F256" s="55">
        <v>20</v>
      </c>
      <c r="G256" s="55">
        <v>0.1</v>
      </c>
      <c r="H256" s="55">
        <v>7</v>
      </c>
      <c r="I256" s="55">
        <v>1.6</v>
      </c>
      <c r="J256" s="55">
        <v>0</v>
      </c>
      <c r="K256" s="55">
        <v>0</v>
      </c>
      <c r="L256" s="55">
        <v>0.01</v>
      </c>
      <c r="M256" s="55">
        <v>0</v>
      </c>
      <c r="N256" s="55">
        <v>0</v>
      </c>
      <c r="O256" s="55">
        <v>0</v>
      </c>
      <c r="P256" s="47" t="s">
        <v>51</v>
      </c>
    </row>
    <row r="257" spans="1:16" ht="18" customHeight="1">
      <c r="A257" s="47" t="s">
        <v>371</v>
      </c>
      <c r="B257" s="48" t="s">
        <v>1885</v>
      </c>
      <c r="C257" s="54" t="s">
        <v>375</v>
      </c>
      <c r="D257" s="55">
        <v>327</v>
      </c>
      <c r="E257" s="55">
        <v>0</v>
      </c>
      <c r="F257" s="55">
        <v>20</v>
      </c>
      <c r="G257" s="55">
        <v>0.1</v>
      </c>
      <c r="H257" s="55">
        <v>7</v>
      </c>
      <c r="I257" s="55">
        <v>1.6</v>
      </c>
      <c r="J257" s="55">
        <v>0</v>
      </c>
      <c r="K257" s="55">
        <v>0</v>
      </c>
      <c r="L257" s="55">
        <v>0.01</v>
      </c>
      <c r="M257" s="55">
        <v>0</v>
      </c>
      <c r="N257" s="55">
        <v>0</v>
      </c>
      <c r="O257" s="55">
        <v>0</v>
      </c>
      <c r="P257" s="47" t="s">
        <v>51</v>
      </c>
    </row>
    <row r="258" spans="1:16" ht="18" customHeight="1">
      <c r="A258" s="47" t="s">
        <v>371</v>
      </c>
      <c r="B258" s="48" t="s">
        <v>375</v>
      </c>
      <c r="C258" s="54" t="s">
        <v>375</v>
      </c>
      <c r="D258" s="55">
        <v>327</v>
      </c>
      <c r="E258" s="55">
        <v>0</v>
      </c>
      <c r="F258" s="55">
        <v>20</v>
      </c>
      <c r="G258" s="55">
        <v>0.1</v>
      </c>
      <c r="H258" s="55">
        <v>7</v>
      </c>
      <c r="I258" s="55">
        <v>1.6</v>
      </c>
      <c r="J258" s="55">
        <v>0</v>
      </c>
      <c r="K258" s="55">
        <v>0</v>
      </c>
      <c r="L258" s="55">
        <v>0.01</v>
      </c>
      <c r="M258" s="55">
        <v>0</v>
      </c>
      <c r="N258" s="55">
        <v>0</v>
      </c>
      <c r="O258" s="55">
        <v>0</v>
      </c>
      <c r="P258" s="47" t="s">
        <v>51</v>
      </c>
    </row>
    <row r="259" spans="1:16" ht="18" customHeight="1">
      <c r="A259" s="47"/>
      <c r="B259" s="48" t="s">
        <v>376</v>
      </c>
      <c r="C259" s="54"/>
      <c r="D259" s="55">
        <v>327</v>
      </c>
      <c r="E259" s="55">
        <v>0</v>
      </c>
      <c r="F259" s="55">
        <v>28</v>
      </c>
      <c r="G259" s="55">
        <v>0.1</v>
      </c>
      <c r="H259" s="55">
        <v>7</v>
      </c>
      <c r="I259" s="55">
        <v>1.6</v>
      </c>
      <c r="J259" s="55">
        <v>0</v>
      </c>
      <c r="K259" s="55">
        <v>0</v>
      </c>
      <c r="L259" s="55">
        <v>0.01</v>
      </c>
      <c r="M259" s="55">
        <v>0</v>
      </c>
      <c r="N259" s="55">
        <v>0</v>
      </c>
      <c r="O259" s="55">
        <v>0</v>
      </c>
    </row>
    <row r="260" spans="1:16" ht="18" customHeight="1">
      <c r="A260" s="47" t="s">
        <v>371</v>
      </c>
      <c r="B260" s="48" t="s">
        <v>377</v>
      </c>
      <c r="C260" s="54" t="s">
        <v>377</v>
      </c>
      <c r="D260" s="55">
        <v>385</v>
      </c>
      <c r="E260" s="55">
        <v>0.1</v>
      </c>
      <c r="F260" s="55">
        <v>100</v>
      </c>
      <c r="G260" s="55">
        <v>0</v>
      </c>
      <c r="H260" s="55">
        <v>18</v>
      </c>
      <c r="I260" s="55">
        <v>0.5</v>
      </c>
      <c r="J260" s="55">
        <v>0</v>
      </c>
      <c r="K260" s="55">
        <v>0</v>
      </c>
      <c r="L260" s="55">
        <v>0</v>
      </c>
      <c r="M260" s="55">
        <v>0.1</v>
      </c>
      <c r="N260" s="55">
        <v>0</v>
      </c>
      <c r="O260" s="55">
        <v>0</v>
      </c>
      <c r="P260" s="47" t="s">
        <v>51</v>
      </c>
    </row>
    <row r="261" spans="1:16" ht="18" customHeight="1">
      <c r="A261" s="47" t="s">
        <v>371</v>
      </c>
      <c r="B261" s="48" t="s">
        <v>378</v>
      </c>
      <c r="C261" s="54" t="s">
        <v>378</v>
      </c>
      <c r="D261" s="55">
        <v>376</v>
      </c>
      <c r="E261" s="55">
        <v>0.2</v>
      </c>
      <c r="F261" s="55">
        <v>100</v>
      </c>
      <c r="G261" s="55">
        <v>0</v>
      </c>
      <c r="H261" s="55">
        <v>32</v>
      </c>
      <c r="I261" s="55">
        <v>0.7</v>
      </c>
      <c r="J261" s="55">
        <v>0</v>
      </c>
      <c r="K261" s="55">
        <v>0.02</v>
      </c>
      <c r="L261" s="55">
        <v>0.01</v>
      </c>
      <c r="M261" s="55">
        <v>0</v>
      </c>
      <c r="N261" s="55">
        <v>0</v>
      </c>
      <c r="O261" s="55">
        <v>0</v>
      </c>
      <c r="P261" s="47" t="s">
        <v>51</v>
      </c>
    </row>
    <row r="262" spans="1:16" ht="18" customHeight="1">
      <c r="A262" s="47" t="s">
        <v>379</v>
      </c>
      <c r="B262" s="48" t="s">
        <v>380</v>
      </c>
      <c r="C262" s="54" t="s">
        <v>381</v>
      </c>
      <c r="D262" s="55">
        <v>405</v>
      </c>
      <c r="E262" s="55">
        <v>23.3</v>
      </c>
      <c r="F262" s="55">
        <v>31</v>
      </c>
      <c r="G262" s="55">
        <v>19.8</v>
      </c>
      <c r="H262" s="55">
        <v>188</v>
      </c>
      <c r="I262" s="55">
        <v>6</v>
      </c>
      <c r="J262" s="55">
        <v>0</v>
      </c>
      <c r="K262" s="55">
        <v>0.39</v>
      </c>
      <c r="L262" s="55">
        <v>0.16</v>
      </c>
      <c r="M262" s="55">
        <v>2</v>
      </c>
      <c r="N262" s="55">
        <v>0</v>
      </c>
      <c r="O262" s="55">
        <v>0</v>
      </c>
      <c r="P262" s="47" t="s">
        <v>51</v>
      </c>
    </row>
    <row r="263" spans="1:16" ht="18" customHeight="1">
      <c r="A263" s="47" t="s">
        <v>379</v>
      </c>
      <c r="B263" s="48" t="s">
        <v>1722</v>
      </c>
      <c r="C263" s="54" t="s">
        <v>1722</v>
      </c>
      <c r="D263" s="55">
        <v>156</v>
      </c>
      <c r="E263" s="55">
        <v>10</v>
      </c>
      <c r="F263" s="55">
        <v>30</v>
      </c>
      <c r="G263" s="55">
        <v>1.2</v>
      </c>
      <c r="H263" s="55">
        <v>62</v>
      </c>
      <c r="I263" s="55">
        <v>3.7</v>
      </c>
      <c r="J263" s="55">
        <v>0</v>
      </c>
      <c r="K263" s="55">
        <v>0.48</v>
      </c>
      <c r="L263" s="55">
        <v>0.11</v>
      </c>
      <c r="M263" s="55">
        <v>1.6</v>
      </c>
      <c r="N263" s="55">
        <v>4</v>
      </c>
      <c r="O263" s="55">
        <v>0</v>
      </c>
      <c r="P263" s="47" t="s">
        <v>51</v>
      </c>
    </row>
    <row r="264" spans="1:16" ht="18" customHeight="1">
      <c r="A264" s="47" t="s">
        <v>379</v>
      </c>
      <c r="B264" s="48" t="s">
        <v>382</v>
      </c>
      <c r="C264" s="54" t="s">
        <v>383</v>
      </c>
      <c r="D264" s="55">
        <v>156</v>
      </c>
      <c r="E264" s="55">
        <v>10</v>
      </c>
      <c r="F264" s="55">
        <v>30</v>
      </c>
      <c r="G264" s="55">
        <v>1.2</v>
      </c>
      <c r="H264" s="55">
        <v>62</v>
      </c>
      <c r="I264" s="55">
        <v>3.7</v>
      </c>
      <c r="J264" s="55">
        <v>0</v>
      </c>
      <c r="K264" s="55">
        <v>0.48</v>
      </c>
      <c r="L264" s="55">
        <v>0.11</v>
      </c>
      <c r="M264" s="55">
        <v>1.6</v>
      </c>
      <c r="N264" s="55">
        <v>4</v>
      </c>
      <c r="O264" s="55">
        <v>0</v>
      </c>
      <c r="P264" s="47" t="s">
        <v>51</v>
      </c>
    </row>
    <row r="265" spans="1:16" ht="18" customHeight="1">
      <c r="A265" s="47" t="s">
        <v>379</v>
      </c>
      <c r="B265" s="48" t="s">
        <v>1961</v>
      </c>
      <c r="C265" s="54" t="s">
        <v>383</v>
      </c>
      <c r="D265" s="55">
        <v>156</v>
      </c>
      <c r="E265" s="55">
        <v>10</v>
      </c>
      <c r="F265" s="55">
        <v>30</v>
      </c>
      <c r="G265" s="55">
        <v>1.2</v>
      </c>
      <c r="H265" s="55">
        <v>62</v>
      </c>
      <c r="I265" s="55">
        <v>3.7</v>
      </c>
      <c r="J265" s="55">
        <v>0</v>
      </c>
      <c r="K265" s="55">
        <v>0.48</v>
      </c>
      <c r="L265" s="55">
        <v>0.11</v>
      </c>
      <c r="M265" s="55">
        <v>1.6</v>
      </c>
      <c r="N265" s="55">
        <v>4</v>
      </c>
      <c r="O265" s="55">
        <v>0</v>
      </c>
      <c r="P265" s="47" t="s">
        <v>51</v>
      </c>
    </row>
    <row r="266" spans="1:16" ht="18" customHeight="1">
      <c r="A266" s="47" t="s">
        <v>379</v>
      </c>
      <c r="B266" s="48" t="s">
        <v>384</v>
      </c>
      <c r="C266" s="54" t="s">
        <v>385</v>
      </c>
      <c r="D266" s="55">
        <v>413</v>
      </c>
      <c r="E266" s="55">
        <v>41.8</v>
      </c>
      <c r="F266" s="55">
        <v>40</v>
      </c>
      <c r="G266" s="55">
        <v>15.9</v>
      </c>
      <c r="H266" s="55">
        <v>213</v>
      </c>
      <c r="I266" s="55">
        <v>7.5</v>
      </c>
      <c r="J266" s="55">
        <v>0</v>
      </c>
      <c r="K266" s="55">
        <v>0.32</v>
      </c>
      <c r="L266" s="55">
        <v>0.23</v>
      </c>
      <c r="M266" s="55">
        <v>3</v>
      </c>
      <c r="N266" s="55">
        <v>0</v>
      </c>
      <c r="O266" s="55">
        <v>0</v>
      </c>
      <c r="P266" s="47" t="s">
        <v>51</v>
      </c>
    </row>
    <row r="267" spans="1:16" ht="18" customHeight="1">
      <c r="A267" s="47" t="s">
        <v>379</v>
      </c>
      <c r="B267" s="48" t="s">
        <v>386</v>
      </c>
      <c r="C267" s="54" t="s">
        <v>387</v>
      </c>
      <c r="D267" s="55">
        <v>335</v>
      </c>
      <c r="E267" s="55">
        <v>22.3</v>
      </c>
      <c r="F267" s="55">
        <v>0</v>
      </c>
      <c r="G267" s="55">
        <v>1.5</v>
      </c>
      <c r="H267" s="55">
        <v>100</v>
      </c>
      <c r="I267" s="55">
        <v>5.5</v>
      </c>
      <c r="J267" s="55">
        <v>12</v>
      </c>
      <c r="K267" s="55">
        <v>0.4</v>
      </c>
      <c r="L267" s="55">
        <v>0.14000000000000001</v>
      </c>
      <c r="M267" s="55">
        <v>2</v>
      </c>
      <c r="N267" s="55">
        <v>0</v>
      </c>
      <c r="O267" s="55">
        <v>0</v>
      </c>
      <c r="P267" s="47" t="s">
        <v>51</v>
      </c>
    </row>
    <row r="268" spans="1:16" ht="18" customHeight="1">
      <c r="A268" s="47" t="s">
        <v>379</v>
      </c>
      <c r="B268" s="48" t="s">
        <v>388</v>
      </c>
      <c r="C268" s="54" t="s">
        <v>389</v>
      </c>
      <c r="D268" s="55">
        <v>37</v>
      </c>
      <c r="E268" s="55">
        <v>0.1</v>
      </c>
      <c r="F268" s="55">
        <v>0.1</v>
      </c>
      <c r="G268" s="55">
        <v>0</v>
      </c>
      <c r="H268" s="55">
        <v>5</v>
      </c>
      <c r="I268" s="55">
        <v>0.4</v>
      </c>
      <c r="J268" s="55">
        <v>0</v>
      </c>
      <c r="K268" s="55">
        <v>0</v>
      </c>
      <c r="L268" s="55">
        <v>0</v>
      </c>
      <c r="M268" s="55">
        <v>0.2</v>
      </c>
      <c r="N268" s="55">
        <v>0</v>
      </c>
      <c r="O268" s="55">
        <v>0</v>
      </c>
      <c r="P268" s="47" t="s">
        <v>51</v>
      </c>
    </row>
    <row r="269" spans="1:16" ht="18" customHeight="1">
      <c r="A269" s="47"/>
      <c r="B269" s="48" t="s">
        <v>390</v>
      </c>
      <c r="C269" s="54" t="s">
        <v>391</v>
      </c>
      <c r="D269" s="55">
        <v>400</v>
      </c>
      <c r="E269" s="55">
        <v>36.202449999999999</v>
      </c>
      <c r="F269" s="55">
        <v>0</v>
      </c>
      <c r="G269" s="55">
        <v>0.6</v>
      </c>
      <c r="H269" s="55">
        <v>245</v>
      </c>
      <c r="I269" s="55">
        <v>6.5</v>
      </c>
      <c r="J269" s="55">
        <v>0</v>
      </c>
      <c r="K269" s="55">
        <v>0.53</v>
      </c>
      <c r="L269" s="55">
        <v>0.28000000000000003</v>
      </c>
      <c r="M269" s="55">
        <v>2.2000000000000002</v>
      </c>
      <c r="N269" s="55">
        <v>0</v>
      </c>
      <c r="O269" s="55">
        <v>0</v>
      </c>
    </row>
    <row r="270" spans="1:16" ht="18" customHeight="1">
      <c r="A270" s="47" t="s">
        <v>379</v>
      </c>
      <c r="B270" s="48" t="s">
        <v>392</v>
      </c>
      <c r="C270" s="54" t="s">
        <v>391</v>
      </c>
      <c r="D270" s="55">
        <v>400</v>
      </c>
      <c r="E270" s="55">
        <v>36.202449999999999</v>
      </c>
      <c r="F270" s="55">
        <v>30</v>
      </c>
      <c r="G270" s="55">
        <v>17.8</v>
      </c>
      <c r="H270" s="55">
        <v>245</v>
      </c>
      <c r="I270" s="55">
        <v>6.5</v>
      </c>
      <c r="J270" s="55">
        <v>0</v>
      </c>
      <c r="K270" s="55">
        <v>0.53</v>
      </c>
      <c r="L270" s="55">
        <v>0.28000000000000003</v>
      </c>
      <c r="M270" s="55">
        <v>2.2000000000000002</v>
      </c>
      <c r="N270" s="55">
        <v>0</v>
      </c>
      <c r="O270" s="55">
        <v>0</v>
      </c>
      <c r="P270" s="47" t="s">
        <v>51</v>
      </c>
    </row>
    <row r="271" spans="1:16" ht="18" customHeight="1">
      <c r="A271" s="47" t="s">
        <v>379</v>
      </c>
      <c r="B271" s="48" t="s">
        <v>393</v>
      </c>
      <c r="C271" s="54" t="s">
        <v>394</v>
      </c>
      <c r="D271" s="55">
        <v>378</v>
      </c>
      <c r="E271" s="55">
        <v>34.299999999999997</v>
      </c>
      <c r="F271" s="55">
        <v>31</v>
      </c>
      <c r="G271" s="55">
        <v>18.100000000000001</v>
      </c>
      <c r="H271" s="55">
        <v>224</v>
      </c>
      <c r="I271" s="55">
        <v>7.8</v>
      </c>
      <c r="J271" s="55">
        <v>0</v>
      </c>
      <c r="K271" s="55">
        <v>0.34</v>
      </c>
      <c r="L271" s="55">
        <v>0.22</v>
      </c>
      <c r="M271" s="55">
        <v>1.9</v>
      </c>
      <c r="N271" s="55">
        <v>0</v>
      </c>
      <c r="O271" s="55">
        <v>0</v>
      </c>
      <c r="P271" s="47" t="s">
        <v>51</v>
      </c>
    </row>
    <row r="272" spans="1:16" ht="18" customHeight="1">
      <c r="A272" s="47" t="s">
        <v>379</v>
      </c>
      <c r="B272" s="48" t="s">
        <v>395</v>
      </c>
      <c r="C272" s="54" t="s">
        <v>395</v>
      </c>
      <c r="D272" s="55">
        <v>79</v>
      </c>
      <c r="E272" s="55">
        <v>8.4</v>
      </c>
      <c r="F272" s="55">
        <v>3.7</v>
      </c>
      <c r="G272" s="55">
        <v>3.5</v>
      </c>
      <c r="H272" s="55">
        <v>159</v>
      </c>
      <c r="I272" s="55">
        <v>2.6</v>
      </c>
      <c r="J272" s="55">
        <v>0</v>
      </c>
      <c r="K272" s="55">
        <v>0.05</v>
      </c>
      <c r="L272" s="55">
        <v>0.04</v>
      </c>
      <c r="M272" s="55">
        <v>0.7</v>
      </c>
      <c r="N272" s="55">
        <v>0</v>
      </c>
      <c r="O272" s="55">
        <v>0</v>
      </c>
      <c r="P272" s="47" t="s">
        <v>51</v>
      </c>
    </row>
    <row r="273" spans="1:16" ht="18" customHeight="1">
      <c r="A273" s="47" t="s">
        <v>379</v>
      </c>
      <c r="B273" s="48" t="s">
        <v>396</v>
      </c>
      <c r="C273" s="54" t="s">
        <v>395</v>
      </c>
      <c r="D273" s="55">
        <v>47</v>
      </c>
      <c r="E273" s="55">
        <v>4.7</v>
      </c>
      <c r="F273" s="55">
        <v>0.7</v>
      </c>
      <c r="G273" s="55">
        <v>3.2</v>
      </c>
      <c r="H273" s="55">
        <v>48</v>
      </c>
      <c r="I273" s="55">
        <v>0.8</v>
      </c>
      <c r="J273" s="55">
        <v>0</v>
      </c>
      <c r="K273" s="55">
        <v>0.02</v>
      </c>
      <c r="L273" s="55">
        <v>0.02</v>
      </c>
      <c r="M273" s="55">
        <v>0.2</v>
      </c>
      <c r="N273" s="55">
        <v>0</v>
      </c>
      <c r="O273" s="55">
        <v>0</v>
      </c>
      <c r="P273" s="47" t="s">
        <v>51</v>
      </c>
    </row>
    <row r="274" spans="1:16" ht="18" customHeight="1">
      <c r="A274" s="47"/>
      <c r="B274" s="48" t="s">
        <v>397</v>
      </c>
      <c r="C274" s="54" t="s">
        <v>395</v>
      </c>
      <c r="D274" s="55">
        <v>41</v>
      </c>
      <c r="E274" s="55">
        <v>5.2</v>
      </c>
      <c r="F274" s="55">
        <v>4.7</v>
      </c>
      <c r="G274" s="55">
        <v>2.4</v>
      </c>
      <c r="H274" s="55">
        <v>62</v>
      </c>
      <c r="I274" s="55">
        <v>1.4</v>
      </c>
      <c r="J274" s="55">
        <v>0</v>
      </c>
      <c r="K274" s="55">
        <v>0.02</v>
      </c>
      <c r="L274" s="55">
        <v>0.03</v>
      </c>
      <c r="M274" s="55">
        <v>0.3</v>
      </c>
      <c r="N274" s="55">
        <v>0</v>
      </c>
      <c r="O274" s="55">
        <v>0</v>
      </c>
    </row>
    <row r="275" spans="1:16" ht="18" customHeight="1">
      <c r="A275" s="47" t="s">
        <v>379</v>
      </c>
      <c r="B275" s="48" t="s">
        <v>398</v>
      </c>
      <c r="C275" s="54" t="s">
        <v>395</v>
      </c>
      <c r="D275" s="55">
        <v>41</v>
      </c>
      <c r="E275" s="55">
        <v>5.2</v>
      </c>
      <c r="F275" s="55">
        <v>4.7</v>
      </c>
      <c r="G275" s="55">
        <v>3.5</v>
      </c>
      <c r="H275" s="55">
        <v>62</v>
      </c>
      <c r="I275" s="55">
        <v>1.4</v>
      </c>
      <c r="J275" s="55">
        <v>0</v>
      </c>
      <c r="K275" s="55">
        <v>0.02</v>
      </c>
      <c r="L275" s="55">
        <v>0.03</v>
      </c>
      <c r="M275" s="55">
        <v>0.3</v>
      </c>
      <c r="N275" s="55">
        <v>0</v>
      </c>
      <c r="O275" s="55">
        <v>0</v>
      </c>
      <c r="P275" s="47" t="s">
        <v>51</v>
      </c>
    </row>
    <row r="276" spans="1:16" ht="18" customHeight="1">
      <c r="A276" s="47" t="s">
        <v>379</v>
      </c>
      <c r="B276" s="48" t="s">
        <v>399</v>
      </c>
      <c r="C276" s="54" t="s">
        <v>400</v>
      </c>
      <c r="D276" s="55">
        <v>105.54</v>
      </c>
      <c r="E276" s="55">
        <v>5.62</v>
      </c>
      <c r="F276" s="55">
        <v>4</v>
      </c>
      <c r="G276" s="55">
        <v>2.2999999999999998</v>
      </c>
      <c r="H276" s="55">
        <v>177.18</v>
      </c>
      <c r="I276" s="55">
        <v>0.46</v>
      </c>
      <c r="J276" s="55">
        <v>0</v>
      </c>
      <c r="K276" s="55">
        <v>0.03</v>
      </c>
      <c r="L276" s="55">
        <v>0.03</v>
      </c>
      <c r="M276" s="55">
        <v>0.46</v>
      </c>
      <c r="N276" s="55">
        <v>0</v>
      </c>
      <c r="O276" s="55">
        <v>0</v>
      </c>
      <c r="P276" s="47" t="s">
        <v>401</v>
      </c>
    </row>
    <row r="277" spans="1:16" ht="18" customHeight="1">
      <c r="A277" s="47" t="s">
        <v>379</v>
      </c>
      <c r="B277" s="48" t="s">
        <v>402</v>
      </c>
      <c r="C277" s="54" t="s">
        <v>403</v>
      </c>
      <c r="D277" s="55">
        <v>31.78</v>
      </c>
      <c r="E277" s="55">
        <v>3.2</v>
      </c>
      <c r="F277" s="55">
        <v>0</v>
      </c>
      <c r="G277" s="55">
        <v>3.4</v>
      </c>
      <c r="H277" s="55">
        <v>48</v>
      </c>
      <c r="I277" s="55">
        <v>0.14000000000000001</v>
      </c>
      <c r="J277" s="55">
        <v>0</v>
      </c>
      <c r="K277" s="55">
        <v>0.02</v>
      </c>
      <c r="L277" s="55">
        <v>0.01</v>
      </c>
      <c r="M277" s="55">
        <v>0.76</v>
      </c>
      <c r="N277" s="55">
        <v>0</v>
      </c>
      <c r="O277" s="55">
        <v>0</v>
      </c>
      <c r="P277" s="47" t="s">
        <v>401</v>
      </c>
    </row>
    <row r="278" spans="1:16" ht="18" customHeight="1">
      <c r="A278" s="47" t="s">
        <v>379</v>
      </c>
      <c r="B278" s="48" t="s">
        <v>404</v>
      </c>
      <c r="C278" s="54" t="s">
        <v>405</v>
      </c>
      <c r="D278" s="55">
        <v>81.569999999999993</v>
      </c>
      <c r="E278" s="55">
        <v>9.01</v>
      </c>
      <c r="F278" s="55">
        <v>3</v>
      </c>
      <c r="G278" s="55">
        <v>3.3</v>
      </c>
      <c r="H278" s="55">
        <v>258.72000000000003</v>
      </c>
      <c r="I278" s="55">
        <v>0.51</v>
      </c>
      <c r="J278" s="55">
        <v>0</v>
      </c>
      <c r="K278" s="55">
        <v>0.01</v>
      </c>
      <c r="L278" s="55">
        <v>0.01</v>
      </c>
      <c r="M278" s="55">
        <v>0.09</v>
      </c>
      <c r="N278" s="55">
        <v>0</v>
      </c>
      <c r="O278" s="55">
        <v>0</v>
      </c>
      <c r="P278" s="47" t="s">
        <v>401</v>
      </c>
    </row>
    <row r="279" spans="1:16" ht="18" customHeight="1">
      <c r="A279" s="47" t="s">
        <v>379</v>
      </c>
      <c r="B279" s="48" t="s">
        <v>406</v>
      </c>
      <c r="C279" s="54" t="s">
        <v>407</v>
      </c>
      <c r="D279" s="55">
        <v>81</v>
      </c>
      <c r="E279" s="55">
        <v>3.9</v>
      </c>
      <c r="F279" s="55">
        <v>74</v>
      </c>
      <c r="G279" s="55">
        <v>2.1</v>
      </c>
      <c r="H279" s="55">
        <v>103</v>
      </c>
      <c r="I279" s="55">
        <v>4.5999999999999996</v>
      </c>
      <c r="J279" s="55">
        <v>0</v>
      </c>
      <c r="K279" s="55">
        <v>0.05</v>
      </c>
      <c r="L279" s="55">
        <v>0.01</v>
      </c>
      <c r="M279" s="55">
        <v>0</v>
      </c>
      <c r="N279" s="55">
        <v>0</v>
      </c>
      <c r="O279" s="55">
        <v>0</v>
      </c>
      <c r="P279" s="47" t="s">
        <v>51</v>
      </c>
    </row>
    <row r="280" spans="1:16" ht="18" customHeight="1">
      <c r="A280" s="47" t="s">
        <v>379</v>
      </c>
      <c r="B280" s="48" t="s">
        <v>2194</v>
      </c>
      <c r="C280" s="54"/>
      <c r="D280" s="55">
        <v>415</v>
      </c>
      <c r="E280" s="55">
        <v>25</v>
      </c>
      <c r="F280" s="55">
        <v>9</v>
      </c>
      <c r="G280" s="55">
        <v>31</v>
      </c>
      <c r="H280" s="55"/>
      <c r="I280" s="55"/>
      <c r="J280" s="55"/>
      <c r="K280" s="55"/>
      <c r="L280" s="55"/>
      <c r="M280" s="55"/>
      <c r="N280" s="55"/>
      <c r="O280" s="55"/>
      <c r="P280" s="47" t="s">
        <v>51</v>
      </c>
    </row>
    <row r="281" spans="1:16" ht="18" customHeight="1">
      <c r="A281" s="47" t="s">
        <v>379</v>
      </c>
      <c r="B281" s="48" t="s">
        <v>1688</v>
      </c>
      <c r="C281" s="54" t="s">
        <v>408</v>
      </c>
      <c r="D281" s="55">
        <v>346</v>
      </c>
      <c r="E281" s="55">
        <v>20.399999999999999</v>
      </c>
      <c r="F281" s="55">
        <v>3</v>
      </c>
      <c r="G281" s="55">
        <v>31</v>
      </c>
      <c r="H281" s="55">
        <v>295</v>
      </c>
      <c r="I281" s="55">
        <v>4.5999999999999996</v>
      </c>
      <c r="J281" s="55">
        <v>0</v>
      </c>
      <c r="K281" s="55">
        <v>0.05</v>
      </c>
      <c r="L281" s="55">
        <v>0.02</v>
      </c>
      <c r="M281" s="55">
        <v>0.3</v>
      </c>
      <c r="N281" s="55">
        <v>0</v>
      </c>
      <c r="O281" s="55">
        <v>0</v>
      </c>
      <c r="P281" s="47" t="s">
        <v>51</v>
      </c>
    </row>
    <row r="282" spans="1:16" ht="18" customHeight="1">
      <c r="A282" s="47" t="s">
        <v>379</v>
      </c>
      <c r="B282" s="48" t="s">
        <v>1890</v>
      </c>
      <c r="C282" s="54" t="s">
        <v>408</v>
      </c>
      <c r="D282" s="55">
        <v>152</v>
      </c>
      <c r="E282" s="55">
        <v>20.399999999999999</v>
      </c>
      <c r="F282" s="55">
        <v>3</v>
      </c>
      <c r="G282" s="55">
        <v>31</v>
      </c>
      <c r="H282" s="55">
        <v>48</v>
      </c>
      <c r="I282" s="55">
        <v>4.5999999999999996</v>
      </c>
      <c r="J282" s="55">
        <v>0</v>
      </c>
      <c r="K282" s="55">
        <v>0.05</v>
      </c>
      <c r="L282" s="55">
        <v>0.02</v>
      </c>
      <c r="M282" s="55">
        <v>0.3</v>
      </c>
      <c r="N282" s="55">
        <v>0</v>
      </c>
      <c r="O282" s="55">
        <v>0</v>
      </c>
      <c r="P282" s="47" t="s">
        <v>51</v>
      </c>
    </row>
    <row r="283" spans="1:16" ht="18" customHeight="1">
      <c r="A283" s="47" t="s">
        <v>379</v>
      </c>
      <c r="B283" s="48" t="s">
        <v>1789</v>
      </c>
      <c r="C283" s="54" t="s">
        <v>409</v>
      </c>
      <c r="D283" s="55">
        <v>55</v>
      </c>
      <c r="E283" s="55">
        <v>3.5</v>
      </c>
      <c r="F283" s="55">
        <v>4.7</v>
      </c>
      <c r="G283" s="55">
        <v>2.8</v>
      </c>
      <c r="H283" s="55">
        <v>22</v>
      </c>
      <c r="I283" s="55">
        <v>0.7</v>
      </c>
      <c r="J283" s="55">
        <v>0</v>
      </c>
      <c r="K283" s="55">
        <v>0.03</v>
      </c>
      <c r="L283" s="55">
        <v>0.02</v>
      </c>
      <c r="M283" s="55">
        <v>0.4</v>
      </c>
      <c r="N283" s="55">
        <v>0</v>
      </c>
      <c r="O283" s="55">
        <v>0</v>
      </c>
      <c r="P283" s="47" t="s">
        <v>51</v>
      </c>
    </row>
    <row r="284" spans="1:16" ht="18" customHeight="1">
      <c r="A284" s="47" t="s">
        <v>379</v>
      </c>
      <c r="B284" s="48" t="s">
        <v>409</v>
      </c>
      <c r="C284" s="54" t="s">
        <v>409</v>
      </c>
      <c r="D284" s="55">
        <v>55</v>
      </c>
      <c r="E284" s="55">
        <v>3.5</v>
      </c>
      <c r="F284" s="55">
        <v>4.7</v>
      </c>
      <c r="G284" s="55">
        <v>2.8</v>
      </c>
      <c r="H284" s="55">
        <v>22</v>
      </c>
      <c r="I284" s="55">
        <v>0.7</v>
      </c>
      <c r="J284" s="55">
        <v>0</v>
      </c>
      <c r="K284" s="55">
        <v>0.03</v>
      </c>
      <c r="L284" s="55">
        <v>0.02</v>
      </c>
      <c r="M284" s="55">
        <v>0.4</v>
      </c>
      <c r="N284" s="55">
        <v>0</v>
      </c>
      <c r="O284" s="55">
        <v>0</v>
      </c>
      <c r="P284" s="47" t="s">
        <v>51</v>
      </c>
    </row>
    <row r="285" spans="1:16" ht="18" customHeight="1">
      <c r="A285" s="47" t="s">
        <v>379</v>
      </c>
      <c r="B285" s="48" t="s">
        <v>410</v>
      </c>
      <c r="C285" s="54" t="s">
        <v>411</v>
      </c>
      <c r="D285" s="55">
        <v>59</v>
      </c>
      <c r="E285" s="55">
        <v>3</v>
      </c>
      <c r="F285" s="55">
        <v>5</v>
      </c>
      <c r="G285" s="55">
        <v>3.3</v>
      </c>
      <c r="H285" s="55">
        <v>18</v>
      </c>
      <c r="I285" s="55">
        <v>0.8</v>
      </c>
      <c r="J285" s="55">
        <v>0</v>
      </c>
      <c r="K285" s="55">
        <v>0.03</v>
      </c>
      <c r="L285" s="55">
        <v>0.02</v>
      </c>
      <c r="M285" s="55">
        <v>0.6</v>
      </c>
      <c r="N285" s="55">
        <v>0</v>
      </c>
      <c r="O285" s="55">
        <v>0</v>
      </c>
      <c r="P285" s="47" t="s">
        <v>51</v>
      </c>
    </row>
    <row r="286" spans="1:16" ht="18" customHeight="1">
      <c r="A286" s="47" t="s">
        <v>379</v>
      </c>
      <c r="B286" s="48" t="s">
        <v>412</v>
      </c>
      <c r="C286" s="54" t="s">
        <v>413</v>
      </c>
      <c r="D286" s="55">
        <v>117</v>
      </c>
      <c r="E286" s="55">
        <v>6.8</v>
      </c>
      <c r="F286" s="55">
        <v>59</v>
      </c>
      <c r="G286" s="55">
        <v>0.35</v>
      </c>
      <c r="H286" s="55">
        <v>34</v>
      </c>
      <c r="I286" s="55">
        <v>3.1</v>
      </c>
      <c r="J286" s="55">
        <v>23</v>
      </c>
      <c r="K286" s="55">
        <v>0.22</v>
      </c>
      <c r="L286" s="55">
        <v>0.1</v>
      </c>
      <c r="M286" s="55">
        <v>1.5</v>
      </c>
      <c r="N286" s="55">
        <v>23</v>
      </c>
      <c r="O286" s="55">
        <v>61</v>
      </c>
      <c r="P286" s="47" t="s">
        <v>51</v>
      </c>
    </row>
    <row r="287" spans="1:16" ht="18" customHeight="1">
      <c r="A287" s="47" t="s">
        <v>379</v>
      </c>
      <c r="B287" s="48" t="s">
        <v>414</v>
      </c>
      <c r="C287" s="54" t="s">
        <v>415</v>
      </c>
      <c r="D287" s="55">
        <v>64.08</v>
      </c>
      <c r="E287" s="55">
        <v>3.53</v>
      </c>
      <c r="F287" s="55">
        <v>7.5</v>
      </c>
      <c r="G287" s="55">
        <v>0</v>
      </c>
      <c r="H287" s="55">
        <v>5</v>
      </c>
      <c r="I287" s="55">
        <v>0</v>
      </c>
      <c r="J287" s="55">
        <v>0</v>
      </c>
      <c r="K287" s="55">
        <v>0</v>
      </c>
      <c r="L287" s="55">
        <v>0.01</v>
      </c>
      <c r="M287" s="55">
        <v>0.01</v>
      </c>
      <c r="N287" s="55">
        <v>0.09</v>
      </c>
      <c r="O287" s="55">
        <v>0</v>
      </c>
      <c r="P287" s="47" t="s">
        <v>51</v>
      </c>
    </row>
    <row r="288" spans="1:16" ht="18" customHeight="1">
      <c r="A288" s="47" t="s">
        <v>379</v>
      </c>
      <c r="B288" s="48" t="s">
        <v>416</v>
      </c>
      <c r="C288" s="54" t="s">
        <v>417</v>
      </c>
      <c r="D288" s="55">
        <v>64.08</v>
      </c>
      <c r="E288" s="55">
        <v>3.53</v>
      </c>
      <c r="F288" s="55">
        <v>7.5</v>
      </c>
      <c r="G288" s="55">
        <v>0</v>
      </c>
      <c r="H288" s="55">
        <v>50.84</v>
      </c>
      <c r="I288" s="55">
        <v>0</v>
      </c>
      <c r="J288" s="55">
        <v>0</v>
      </c>
      <c r="K288" s="55">
        <v>0.01</v>
      </c>
      <c r="L288" s="55">
        <v>0.01</v>
      </c>
      <c r="M288" s="55">
        <v>0.09</v>
      </c>
      <c r="N288" s="55">
        <v>0</v>
      </c>
      <c r="O288" s="55">
        <v>0</v>
      </c>
      <c r="P288" s="47" t="s">
        <v>401</v>
      </c>
    </row>
    <row r="289" spans="1:16" ht="18" customHeight="1">
      <c r="A289" s="47" t="s">
        <v>379</v>
      </c>
      <c r="B289" s="48" t="s">
        <v>1785</v>
      </c>
      <c r="C289" s="54" t="s">
        <v>417</v>
      </c>
      <c r="D289" s="55">
        <v>64.08</v>
      </c>
      <c r="E289" s="55">
        <v>3.53</v>
      </c>
      <c r="F289" s="55">
        <v>7.5</v>
      </c>
      <c r="G289" s="55">
        <v>0</v>
      </c>
      <c r="H289" s="55">
        <v>50.84</v>
      </c>
      <c r="I289" s="55">
        <v>0</v>
      </c>
      <c r="J289" s="55">
        <v>0</v>
      </c>
      <c r="K289" s="55">
        <v>0.01</v>
      </c>
      <c r="L289" s="55">
        <v>0.01</v>
      </c>
      <c r="M289" s="55">
        <v>0.09</v>
      </c>
      <c r="N289" s="55">
        <v>0</v>
      </c>
      <c r="O289" s="55">
        <v>0</v>
      </c>
      <c r="P289" s="47" t="s">
        <v>401</v>
      </c>
    </row>
    <row r="290" spans="1:16" ht="18" customHeight="1">
      <c r="A290" s="47" t="s">
        <v>379</v>
      </c>
      <c r="B290" s="48" t="s">
        <v>418</v>
      </c>
      <c r="C290" s="54" t="s">
        <v>419</v>
      </c>
      <c r="D290" s="55">
        <v>352</v>
      </c>
      <c r="E290" s="55">
        <v>21.7</v>
      </c>
      <c r="F290" s="55">
        <v>67</v>
      </c>
      <c r="G290" s="55">
        <v>2.2999999999999998</v>
      </c>
      <c r="H290" s="55">
        <v>65</v>
      </c>
      <c r="I290" s="55">
        <v>5</v>
      </c>
      <c r="J290" s="55">
        <v>40</v>
      </c>
      <c r="K290" s="55">
        <v>0.72</v>
      </c>
      <c r="L290" s="55">
        <v>0.15</v>
      </c>
      <c r="M290" s="55">
        <v>2.5</v>
      </c>
      <c r="N290" s="55">
        <v>0</v>
      </c>
      <c r="O290" s="55">
        <v>0</v>
      </c>
      <c r="P290" s="47" t="s">
        <v>51</v>
      </c>
    </row>
    <row r="291" spans="1:16" ht="18" customHeight="1">
      <c r="A291" s="47" t="s">
        <v>379</v>
      </c>
      <c r="B291" s="48" t="s">
        <v>420</v>
      </c>
      <c r="C291" s="54" t="s">
        <v>421</v>
      </c>
      <c r="D291" s="55">
        <v>120</v>
      </c>
      <c r="E291" s="55">
        <v>8</v>
      </c>
      <c r="F291" s="55">
        <v>13.2</v>
      </c>
      <c r="G291" s="55">
        <v>0.6</v>
      </c>
      <c r="H291" s="55">
        <v>51</v>
      </c>
      <c r="I291" s="55">
        <v>1.6</v>
      </c>
      <c r="J291" s="55">
        <v>51</v>
      </c>
      <c r="K291" s="55">
        <v>0.33</v>
      </c>
      <c r="L291" s="55">
        <v>0.44</v>
      </c>
      <c r="M291" s="55">
        <v>45</v>
      </c>
      <c r="N291" s="55">
        <v>0</v>
      </c>
      <c r="O291" s="55">
        <v>0</v>
      </c>
      <c r="P291" s="47" t="s">
        <v>51</v>
      </c>
    </row>
    <row r="292" spans="1:16" ht="18" customHeight="1">
      <c r="A292" s="47" t="s">
        <v>379</v>
      </c>
      <c r="B292" s="48" t="s">
        <v>422</v>
      </c>
      <c r="C292" s="54" t="s">
        <v>422</v>
      </c>
      <c r="D292" s="55">
        <v>170</v>
      </c>
      <c r="E292" s="55">
        <v>18</v>
      </c>
      <c r="F292" s="55">
        <v>25</v>
      </c>
      <c r="G292" s="55">
        <v>1.1000000000000001</v>
      </c>
      <c r="H292" s="55">
        <v>41</v>
      </c>
      <c r="I292" s="55">
        <v>3.5</v>
      </c>
      <c r="J292" s="55">
        <v>0</v>
      </c>
      <c r="K292" s="55">
        <v>1.36</v>
      </c>
      <c r="L292" s="55">
        <v>0.1</v>
      </c>
      <c r="M292" s="55">
        <v>1.8</v>
      </c>
      <c r="N292" s="55">
        <v>0</v>
      </c>
      <c r="O292" s="55">
        <v>0</v>
      </c>
      <c r="P292" s="47" t="s">
        <v>51</v>
      </c>
    </row>
    <row r="293" spans="1:16" ht="18" customHeight="1">
      <c r="A293" s="47" t="s">
        <v>379</v>
      </c>
      <c r="B293" s="48" t="s">
        <v>423</v>
      </c>
      <c r="C293" s="54" t="s">
        <v>424</v>
      </c>
      <c r="D293" s="55">
        <v>337</v>
      </c>
      <c r="E293" s="55">
        <v>20.399999999999999</v>
      </c>
      <c r="F293" s="55">
        <v>64</v>
      </c>
      <c r="G293" s="55">
        <v>0.7</v>
      </c>
      <c r="H293" s="55">
        <v>75</v>
      </c>
      <c r="I293" s="55">
        <v>5.2</v>
      </c>
      <c r="J293" s="55">
        <v>0</v>
      </c>
      <c r="K293" s="55">
        <v>0.5</v>
      </c>
      <c r="L293" s="55">
        <v>0.15</v>
      </c>
      <c r="M293" s="55">
        <v>2.1</v>
      </c>
      <c r="N293" s="55">
        <v>0</v>
      </c>
      <c r="O293" s="55">
        <v>0</v>
      </c>
      <c r="P293" s="47" t="s">
        <v>51</v>
      </c>
    </row>
    <row r="294" spans="1:16" ht="18" customHeight="1">
      <c r="A294" s="47" t="s">
        <v>379</v>
      </c>
      <c r="B294" s="48" t="s">
        <v>425</v>
      </c>
      <c r="C294" s="54" t="s">
        <v>426</v>
      </c>
      <c r="D294" s="55">
        <v>344</v>
      </c>
      <c r="E294" s="55">
        <v>19.600000000000001</v>
      </c>
      <c r="F294" s="55">
        <v>64.400000000000006</v>
      </c>
      <c r="G294" s="55">
        <v>0.5</v>
      </c>
      <c r="H294" s="55">
        <v>97</v>
      </c>
      <c r="I294" s="55">
        <v>6.2</v>
      </c>
      <c r="J294" s="55">
        <v>0</v>
      </c>
      <c r="K294" s="55">
        <v>0.43</v>
      </c>
      <c r="L294" s="55">
        <v>0.11</v>
      </c>
      <c r="M294" s="55">
        <v>2.2999999999999998</v>
      </c>
      <c r="N294" s="55">
        <v>0</v>
      </c>
      <c r="O294" s="55">
        <v>0</v>
      </c>
      <c r="P294" s="47" t="s">
        <v>51</v>
      </c>
    </row>
    <row r="295" spans="1:16" ht="18" customHeight="1">
      <c r="A295" s="47" t="s">
        <v>427</v>
      </c>
      <c r="B295" s="48" t="s">
        <v>428</v>
      </c>
      <c r="C295" s="54" t="s">
        <v>429</v>
      </c>
      <c r="D295" s="55">
        <v>25</v>
      </c>
      <c r="E295" s="55">
        <v>2.7</v>
      </c>
      <c r="F295" s="55">
        <v>5.8</v>
      </c>
      <c r="G295" s="55">
        <v>0.2</v>
      </c>
      <c r="H295" s="55">
        <v>3</v>
      </c>
      <c r="I295" s="55">
        <v>1.2</v>
      </c>
      <c r="J295" s="55">
        <v>0</v>
      </c>
      <c r="K295" s="55">
        <v>0.38</v>
      </c>
      <c r="L295" s="55">
        <v>0.32</v>
      </c>
      <c r="M295" s="55">
        <v>5.2</v>
      </c>
      <c r="N295" s="55">
        <v>3</v>
      </c>
      <c r="O295" s="55">
        <v>0</v>
      </c>
      <c r="P295" s="47" t="s">
        <v>51</v>
      </c>
    </row>
    <row r="296" spans="1:16" ht="18" customHeight="1">
      <c r="A296" s="47" t="s">
        <v>427</v>
      </c>
      <c r="B296" s="48" t="s">
        <v>430</v>
      </c>
      <c r="C296" s="54" t="s">
        <v>430</v>
      </c>
      <c r="D296" s="55">
        <v>19</v>
      </c>
      <c r="E296" s="55">
        <v>2.9</v>
      </c>
      <c r="F296" s="55">
        <v>3.5</v>
      </c>
      <c r="G296" s="55">
        <v>0.9</v>
      </c>
      <c r="H296" s="55">
        <v>41</v>
      </c>
      <c r="I296" s="55">
        <v>5.6</v>
      </c>
      <c r="J296" s="55">
        <v>0</v>
      </c>
      <c r="K296" s="55">
        <v>0.4</v>
      </c>
      <c r="L296" s="55">
        <v>0.06</v>
      </c>
      <c r="M296" s="55">
        <v>38.4</v>
      </c>
      <c r="N296" s="55">
        <v>2</v>
      </c>
      <c r="O296" s="55">
        <v>0</v>
      </c>
      <c r="P296" s="47" t="s">
        <v>51</v>
      </c>
    </row>
    <row r="297" spans="1:16" ht="18" customHeight="1">
      <c r="A297" s="47" t="s">
        <v>427</v>
      </c>
      <c r="B297" s="48" t="s">
        <v>431</v>
      </c>
      <c r="C297" s="54" t="s">
        <v>432</v>
      </c>
      <c r="D297" s="55">
        <v>21</v>
      </c>
      <c r="E297" s="55">
        <v>4.2</v>
      </c>
      <c r="F297" s="55">
        <v>3.5</v>
      </c>
      <c r="G297" s="55">
        <v>0.1</v>
      </c>
      <c r="H297" s="55">
        <v>3</v>
      </c>
      <c r="I297" s="55">
        <v>1</v>
      </c>
      <c r="J297" s="55">
        <v>0</v>
      </c>
      <c r="K297" s="55">
        <v>0.09</v>
      </c>
      <c r="L297" s="55">
        <v>0.28999999999999998</v>
      </c>
      <c r="M297" s="55">
        <v>1.3</v>
      </c>
      <c r="N297" s="55">
        <v>0</v>
      </c>
      <c r="O297" s="55">
        <v>0</v>
      </c>
      <c r="P297" s="47" t="s">
        <v>51</v>
      </c>
    </row>
    <row r="298" spans="1:16" ht="18" customHeight="1">
      <c r="A298" s="47" t="s">
        <v>427</v>
      </c>
      <c r="B298" s="48" t="s">
        <v>1669</v>
      </c>
      <c r="C298" s="54" t="s">
        <v>434</v>
      </c>
      <c r="D298" s="55">
        <v>32</v>
      </c>
      <c r="E298" s="55">
        <v>2.9</v>
      </c>
      <c r="F298" s="55">
        <v>5.54</v>
      </c>
      <c r="G298" s="55">
        <v>0.26</v>
      </c>
      <c r="H298" s="55">
        <v>2</v>
      </c>
      <c r="I298" s="55">
        <v>1</v>
      </c>
      <c r="J298" s="55">
        <v>0</v>
      </c>
      <c r="K298" s="55">
        <v>0.28000000000000003</v>
      </c>
      <c r="L298" s="55">
        <v>0.2</v>
      </c>
      <c r="M298" s="55">
        <v>5.6</v>
      </c>
      <c r="N298" s="55">
        <v>2</v>
      </c>
      <c r="O298" s="55">
        <v>12</v>
      </c>
      <c r="P298" s="47" t="s">
        <v>51</v>
      </c>
    </row>
    <row r="299" spans="1:16" ht="18" customHeight="1">
      <c r="A299" s="47" t="s">
        <v>427</v>
      </c>
      <c r="B299" s="48" t="s">
        <v>433</v>
      </c>
      <c r="C299" s="54" t="s">
        <v>434</v>
      </c>
      <c r="D299" s="55">
        <v>32</v>
      </c>
      <c r="E299" s="55">
        <v>2.9</v>
      </c>
      <c r="F299" s="55">
        <v>5.54</v>
      </c>
      <c r="G299" s="55">
        <v>0.26</v>
      </c>
      <c r="H299" s="55">
        <v>2</v>
      </c>
      <c r="I299" s="55">
        <v>1</v>
      </c>
      <c r="J299" s="55">
        <v>0</v>
      </c>
      <c r="K299" s="55">
        <v>0.28000000000000003</v>
      </c>
      <c r="L299" s="55">
        <v>0.2</v>
      </c>
      <c r="M299" s="55">
        <v>5.6</v>
      </c>
      <c r="N299" s="55">
        <v>2</v>
      </c>
      <c r="O299" s="55">
        <v>12</v>
      </c>
      <c r="P299" s="47" t="s">
        <v>51</v>
      </c>
    </row>
    <row r="300" spans="1:16" ht="18" customHeight="1">
      <c r="A300" s="47" t="s">
        <v>427</v>
      </c>
      <c r="B300" s="48" t="s">
        <v>435</v>
      </c>
      <c r="C300" s="54" t="s">
        <v>436</v>
      </c>
      <c r="D300" s="55">
        <v>282</v>
      </c>
      <c r="E300" s="55">
        <v>18.5</v>
      </c>
      <c r="F300" s="55">
        <v>5.5</v>
      </c>
      <c r="G300" s="55">
        <v>3.2</v>
      </c>
      <c r="H300" s="55">
        <v>13</v>
      </c>
      <c r="I300" s="55">
        <v>4.2</v>
      </c>
      <c r="J300" s="55">
        <v>0</v>
      </c>
      <c r="K300" s="55">
        <v>0.42</v>
      </c>
      <c r="L300" s="55">
        <v>1.1000000000000001</v>
      </c>
      <c r="M300" s="55">
        <v>20</v>
      </c>
      <c r="N300" s="55">
        <v>0</v>
      </c>
      <c r="O300" s="55">
        <v>0</v>
      </c>
      <c r="P300" s="47" t="s">
        <v>51</v>
      </c>
    </row>
    <row r="301" spans="1:16" ht="18" customHeight="1">
      <c r="A301" s="47" t="s">
        <v>427</v>
      </c>
      <c r="B301" s="48" t="s">
        <v>1700</v>
      </c>
      <c r="C301" s="54" t="s">
        <v>438</v>
      </c>
      <c r="D301" s="55">
        <v>38</v>
      </c>
      <c r="E301" s="55">
        <v>2</v>
      </c>
      <c r="F301" s="55">
        <v>5.5</v>
      </c>
      <c r="G301" s="55">
        <v>0.3</v>
      </c>
      <c r="H301" s="55">
        <v>4</v>
      </c>
      <c r="I301" s="55">
        <v>1.2</v>
      </c>
      <c r="J301" s="55">
        <v>0</v>
      </c>
      <c r="K301" s="55">
        <v>0.05</v>
      </c>
      <c r="L301" s="55">
        <v>0.21</v>
      </c>
      <c r="M301" s="55">
        <v>3.8</v>
      </c>
      <c r="N301" s="55">
        <v>5</v>
      </c>
      <c r="O301" s="55">
        <v>0</v>
      </c>
      <c r="P301" s="47" t="s">
        <v>51</v>
      </c>
    </row>
    <row r="302" spans="1:16" ht="18" customHeight="1">
      <c r="A302" s="47" t="s">
        <v>427</v>
      </c>
      <c r="B302" s="48" t="s">
        <v>437</v>
      </c>
      <c r="C302" s="54" t="s">
        <v>438</v>
      </c>
      <c r="D302" s="55">
        <v>38</v>
      </c>
      <c r="E302" s="55">
        <v>2</v>
      </c>
      <c r="F302" s="55">
        <v>5.5</v>
      </c>
      <c r="G302" s="55">
        <v>0.3</v>
      </c>
      <c r="H302" s="55">
        <v>4</v>
      </c>
      <c r="I302" s="55">
        <v>1.2</v>
      </c>
      <c r="J302" s="55">
        <v>0</v>
      </c>
      <c r="K302" s="55">
        <v>0.05</v>
      </c>
      <c r="L302" s="55">
        <v>0.21</v>
      </c>
      <c r="M302" s="55">
        <v>3.8</v>
      </c>
      <c r="N302" s="55">
        <v>5</v>
      </c>
      <c r="O302" s="55">
        <v>0</v>
      </c>
      <c r="P302" s="47" t="s">
        <v>51</v>
      </c>
    </row>
    <row r="303" spans="1:16" ht="18" customHeight="1">
      <c r="A303" s="47"/>
      <c r="B303" s="48" t="s">
        <v>2088</v>
      </c>
      <c r="C303" s="54" t="s">
        <v>2089</v>
      </c>
      <c r="D303" s="55">
        <v>38</v>
      </c>
      <c r="E303" s="55">
        <v>2</v>
      </c>
      <c r="F303" s="55">
        <v>5.5</v>
      </c>
      <c r="G303" s="55">
        <v>0.3</v>
      </c>
      <c r="H303" s="55">
        <v>4</v>
      </c>
      <c r="I303" s="55">
        <v>1.2</v>
      </c>
      <c r="J303" s="55">
        <v>0</v>
      </c>
      <c r="K303" s="55">
        <v>0.05</v>
      </c>
      <c r="L303" s="55">
        <v>0.21</v>
      </c>
      <c r="M303" s="55">
        <v>0</v>
      </c>
      <c r="N303" s="55">
        <v>5</v>
      </c>
      <c r="O303" s="55">
        <v>0</v>
      </c>
    </row>
    <row r="304" spans="1:16" ht="18" customHeight="1">
      <c r="A304" s="47" t="s">
        <v>427</v>
      </c>
      <c r="B304" s="48" t="s">
        <v>439</v>
      </c>
      <c r="C304" s="54" t="s">
        <v>440</v>
      </c>
      <c r="D304" s="55">
        <v>24</v>
      </c>
      <c r="E304" s="55">
        <v>1.2</v>
      </c>
      <c r="F304" s="55">
        <v>4.3</v>
      </c>
      <c r="G304" s="55">
        <v>0.1</v>
      </c>
      <c r="H304" s="55">
        <v>12</v>
      </c>
      <c r="I304" s="55">
        <v>2.6</v>
      </c>
      <c r="J304" s="55">
        <v>0</v>
      </c>
      <c r="K304" s="55">
        <v>0.04</v>
      </c>
      <c r="L304" s="55">
        <v>0.27</v>
      </c>
      <c r="M304" s="55">
        <v>4.8</v>
      </c>
      <c r="N304" s="55">
        <v>0</v>
      </c>
      <c r="O304" s="55">
        <v>0</v>
      </c>
      <c r="P304" s="47" t="s">
        <v>51</v>
      </c>
    </row>
    <row r="305" spans="1:16" ht="18" customHeight="1">
      <c r="A305" s="47" t="s">
        <v>427</v>
      </c>
      <c r="B305" s="48" t="s">
        <v>441</v>
      </c>
      <c r="C305" s="54" t="s">
        <v>442</v>
      </c>
      <c r="D305" s="55">
        <v>279</v>
      </c>
      <c r="E305" s="55">
        <v>4.4000000000000004</v>
      </c>
      <c r="F305" s="55">
        <v>70.8</v>
      </c>
      <c r="G305" s="55">
        <v>1.8</v>
      </c>
      <c r="H305" s="55">
        <v>78</v>
      </c>
      <c r="I305" s="55">
        <v>54.6</v>
      </c>
      <c r="J305" s="55">
        <v>0</v>
      </c>
      <c r="K305" s="55">
        <v>0.1</v>
      </c>
      <c r="L305" s="55">
        <v>0.01</v>
      </c>
      <c r="M305" s="55">
        <v>1.6</v>
      </c>
      <c r="N305" s="55">
        <v>0</v>
      </c>
      <c r="O305" s="55">
        <v>0</v>
      </c>
      <c r="P305" s="47" t="s">
        <v>51</v>
      </c>
    </row>
    <row r="306" spans="1:16" ht="18" customHeight="1">
      <c r="A306" s="47"/>
      <c r="B306" s="48" t="s">
        <v>443</v>
      </c>
      <c r="C306" s="54" t="s">
        <v>444</v>
      </c>
      <c r="D306" s="55">
        <v>28</v>
      </c>
      <c r="E306" s="55">
        <v>2.4</v>
      </c>
      <c r="F306" s="55">
        <v>3.9</v>
      </c>
      <c r="G306" s="55">
        <v>0.3</v>
      </c>
      <c r="H306" s="55">
        <v>5</v>
      </c>
      <c r="I306" s="55">
        <v>1.7</v>
      </c>
      <c r="J306" s="55">
        <v>0</v>
      </c>
      <c r="K306" s="55">
        <v>0.09</v>
      </c>
      <c r="L306" s="55">
        <v>0.33</v>
      </c>
      <c r="M306" s="55">
        <v>4.8</v>
      </c>
      <c r="N306" s="55">
        <v>0</v>
      </c>
      <c r="O306" s="55">
        <v>0</v>
      </c>
    </row>
    <row r="307" spans="1:16" ht="18" customHeight="1">
      <c r="A307" s="47" t="s">
        <v>427</v>
      </c>
      <c r="B307" s="48" t="s">
        <v>1650</v>
      </c>
      <c r="C307" s="54" t="s">
        <v>444</v>
      </c>
      <c r="D307" s="55">
        <v>28</v>
      </c>
      <c r="E307" s="55">
        <v>2.4</v>
      </c>
      <c r="F307" s="55">
        <v>3.9</v>
      </c>
      <c r="G307" s="55">
        <v>0.5</v>
      </c>
      <c r="H307" s="55">
        <v>5</v>
      </c>
      <c r="I307" s="55">
        <v>1.7</v>
      </c>
      <c r="J307" s="55">
        <v>0</v>
      </c>
      <c r="K307" s="55">
        <v>0.09</v>
      </c>
      <c r="L307" s="55">
        <v>0.33</v>
      </c>
      <c r="M307" s="55">
        <v>4.8</v>
      </c>
      <c r="N307" s="55">
        <v>0</v>
      </c>
      <c r="O307" s="55">
        <v>0</v>
      </c>
      <c r="P307" s="47" t="s">
        <v>51</v>
      </c>
    </row>
    <row r="308" spans="1:16" ht="18" customHeight="1">
      <c r="A308" s="47" t="s">
        <v>427</v>
      </c>
      <c r="B308" s="48" t="s">
        <v>445</v>
      </c>
      <c r="C308" s="54" t="s">
        <v>444</v>
      </c>
      <c r="D308" s="55">
        <v>28</v>
      </c>
      <c r="E308" s="55">
        <v>2.4</v>
      </c>
      <c r="F308" s="55">
        <v>3.9</v>
      </c>
      <c r="G308" s="55">
        <v>0.5</v>
      </c>
      <c r="H308" s="55">
        <v>5</v>
      </c>
      <c r="I308" s="55">
        <v>1.7</v>
      </c>
      <c r="J308" s="55">
        <v>0</v>
      </c>
      <c r="K308" s="55">
        <v>0.09</v>
      </c>
      <c r="L308" s="55">
        <v>0.33</v>
      </c>
      <c r="M308" s="55">
        <v>4.8</v>
      </c>
      <c r="N308" s="55">
        <v>0</v>
      </c>
      <c r="O308" s="55">
        <v>0</v>
      </c>
      <c r="P308" s="47" t="s">
        <v>51</v>
      </c>
    </row>
    <row r="309" spans="1:16" ht="18" customHeight="1">
      <c r="A309" s="47" t="s">
        <v>427</v>
      </c>
      <c r="B309" s="48" t="s">
        <v>444</v>
      </c>
      <c r="C309" s="54" t="s">
        <v>444</v>
      </c>
      <c r="D309" s="55">
        <v>28</v>
      </c>
      <c r="E309" s="55">
        <v>2.4</v>
      </c>
      <c r="F309" s="55">
        <v>3.9</v>
      </c>
      <c r="G309" s="55">
        <v>0.4</v>
      </c>
      <c r="H309" s="55">
        <v>5</v>
      </c>
      <c r="I309" s="55">
        <v>1.7</v>
      </c>
      <c r="J309" s="55">
        <v>0</v>
      </c>
      <c r="K309" s="55">
        <v>0.09</v>
      </c>
      <c r="L309" s="55">
        <v>0.33</v>
      </c>
      <c r="M309" s="55">
        <v>4.8</v>
      </c>
      <c r="N309" s="55">
        <v>0</v>
      </c>
      <c r="O309" s="55">
        <v>0</v>
      </c>
      <c r="P309" s="47" t="s">
        <v>51</v>
      </c>
    </row>
    <row r="310" spans="1:16" ht="18" customHeight="1">
      <c r="A310" s="47" t="s">
        <v>427</v>
      </c>
      <c r="B310" s="48" t="s">
        <v>446</v>
      </c>
      <c r="C310" s="54" t="s">
        <v>447</v>
      </c>
      <c r="D310" s="55">
        <v>32</v>
      </c>
      <c r="E310" s="55">
        <v>2.8</v>
      </c>
      <c r="F310" s="55">
        <v>4.3</v>
      </c>
      <c r="G310" s="55">
        <v>0.6</v>
      </c>
      <c r="H310" s="55">
        <v>41</v>
      </c>
      <c r="I310" s="55">
        <v>6.2</v>
      </c>
      <c r="J310" s="55">
        <v>0</v>
      </c>
      <c r="K310" s="55">
        <v>0.09</v>
      </c>
      <c r="L310" s="55">
        <v>0.43</v>
      </c>
      <c r="M310" s="55">
        <v>46.3</v>
      </c>
      <c r="N310" s="55">
        <v>3</v>
      </c>
      <c r="O310" s="55">
        <v>0</v>
      </c>
      <c r="P310" s="47" t="s">
        <v>51</v>
      </c>
    </row>
    <row r="311" spans="1:16" ht="18" customHeight="1">
      <c r="A311" s="47" t="s">
        <v>427</v>
      </c>
      <c r="B311" s="48" t="s">
        <v>448</v>
      </c>
      <c r="C311" s="54" t="s">
        <v>448</v>
      </c>
      <c r="D311" s="55">
        <v>17</v>
      </c>
      <c r="E311" s="55">
        <v>3.9</v>
      </c>
      <c r="F311" s="55">
        <v>1.4</v>
      </c>
      <c r="G311" s="55">
        <v>0.3</v>
      </c>
      <c r="H311" s="55">
        <v>6</v>
      </c>
      <c r="I311" s="55">
        <v>1</v>
      </c>
      <c r="J311" s="55">
        <v>0</v>
      </c>
      <c r="K311" s="55">
        <v>0.12</v>
      </c>
      <c r="L311" s="55">
        <v>0.48</v>
      </c>
      <c r="M311" s="55">
        <v>4.0999999999999996</v>
      </c>
      <c r="N311" s="55">
        <v>3</v>
      </c>
      <c r="O311" s="55">
        <v>0</v>
      </c>
      <c r="P311" s="47" t="s">
        <v>51</v>
      </c>
    </row>
    <row r="312" spans="1:16" ht="18" customHeight="1">
      <c r="A312" s="47" t="s">
        <v>427</v>
      </c>
      <c r="B312" s="48" t="s">
        <v>449</v>
      </c>
      <c r="C312" s="54" t="s">
        <v>449</v>
      </c>
      <c r="D312" s="55">
        <v>28</v>
      </c>
      <c r="E312" s="55">
        <v>2</v>
      </c>
      <c r="F312" s="55">
        <v>5.9</v>
      </c>
      <c r="G312" s="55">
        <v>0.2</v>
      </c>
      <c r="H312" s="55">
        <v>7</v>
      </c>
      <c r="I312" s="55">
        <v>3</v>
      </c>
      <c r="J312" s="55">
        <v>0</v>
      </c>
      <c r="K312" s="55">
        <v>0.09</v>
      </c>
      <c r="L312" s="55">
        <v>0.05</v>
      </c>
      <c r="M312" s="55">
        <v>0</v>
      </c>
      <c r="N312" s="55">
        <v>0</v>
      </c>
      <c r="O312" s="55">
        <v>0</v>
      </c>
      <c r="P312" s="47" t="s">
        <v>51</v>
      </c>
    </row>
    <row r="313" spans="1:16" ht="18" customHeight="1">
      <c r="A313" s="47" t="s">
        <v>427</v>
      </c>
      <c r="B313" s="48" t="s">
        <v>1781</v>
      </c>
      <c r="C313" s="54" t="s">
        <v>449</v>
      </c>
      <c r="D313" s="55">
        <v>28</v>
      </c>
      <c r="E313" s="55">
        <v>2</v>
      </c>
      <c r="F313" s="55">
        <v>5.9</v>
      </c>
      <c r="G313" s="55">
        <v>0.2</v>
      </c>
      <c r="H313" s="55">
        <v>7</v>
      </c>
      <c r="I313" s="55">
        <v>3</v>
      </c>
      <c r="J313" s="55">
        <v>0</v>
      </c>
      <c r="K313" s="55">
        <v>0.09</v>
      </c>
      <c r="L313" s="55">
        <v>0.05</v>
      </c>
      <c r="M313" s="55">
        <v>0</v>
      </c>
      <c r="N313" s="55">
        <v>0</v>
      </c>
      <c r="O313" s="55">
        <v>0</v>
      </c>
      <c r="P313" s="47" t="s">
        <v>59</v>
      </c>
    </row>
    <row r="314" spans="1:16" ht="18" customHeight="1">
      <c r="A314" s="47" t="s">
        <v>450</v>
      </c>
      <c r="B314" s="48" t="s">
        <v>451</v>
      </c>
      <c r="C314" s="54" t="s">
        <v>451</v>
      </c>
      <c r="D314" s="55">
        <v>100</v>
      </c>
      <c r="E314" s="55">
        <v>20</v>
      </c>
      <c r="F314" s="55">
        <v>1.3</v>
      </c>
      <c r="G314" s="55">
        <v>0.8</v>
      </c>
      <c r="H314" s="55">
        <v>128</v>
      </c>
      <c r="I314" s="55">
        <v>3</v>
      </c>
      <c r="J314" s="55">
        <v>0</v>
      </c>
      <c r="K314" s="55">
        <v>0.03</v>
      </c>
      <c r="L314" s="55">
        <v>0.05</v>
      </c>
      <c r="M314" s="55">
        <v>0.03</v>
      </c>
      <c r="N314" s="55">
        <v>0</v>
      </c>
      <c r="O314" s="55">
        <v>0</v>
      </c>
      <c r="P314" s="47" t="s">
        <v>51</v>
      </c>
    </row>
    <row r="315" spans="1:16" ht="18" customHeight="1">
      <c r="A315" s="47" t="s">
        <v>450</v>
      </c>
      <c r="B315" s="48" t="s">
        <v>452</v>
      </c>
      <c r="C315" s="54" t="s">
        <v>453</v>
      </c>
      <c r="D315" s="55">
        <v>98</v>
      </c>
      <c r="E315" s="55">
        <v>10.199999999999999</v>
      </c>
      <c r="F315" s="55">
        <v>12.4</v>
      </c>
      <c r="G315" s="55">
        <v>0.7</v>
      </c>
      <c r="H315" s="55">
        <v>42</v>
      </c>
      <c r="I315" s="55">
        <v>0.9</v>
      </c>
      <c r="J315" s="55">
        <v>0</v>
      </c>
      <c r="K315" s="55">
        <v>0.01</v>
      </c>
      <c r="L315" s="55">
        <v>0.03</v>
      </c>
      <c r="M315" s="55">
        <v>0.2</v>
      </c>
      <c r="N315" s="55">
        <v>0</v>
      </c>
      <c r="O315" s="55">
        <v>0</v>
      </c>
      <c r="P315" s="47" t="s">
        <v>51</v>
      </c>
    </row>
    <row r="316" spans="1:16" ht="18" customHeight="1">
      <c r="A316" s="47"/>
      <c r="B316" s="48" t="s">
        <v>1717</v>
      </c>
      <c r="C316" s="54" t="s">
        <v>455</v>
      </c>
      <c r="D316" s="55">
        <v>220</v>
      </c>
      <c r="E316" s="55">
        <v>15</v>
      </c>
      <c r="F316" s="55">
        <v>12.4</v>
      </c>
      <c r="G316" s="55">
        <v>6</v>
      </c>
      <c r="H316" s="55">
        <v>80.5</v>
      </c>
      <c r="I316" s="55">
        <v>1.3</v>
      </c>
      <c r="J316" s="55">
        <v>0</v>
      </c>
      <c r="K316" s="55">
        <v>0.1</v>
      </c>
      <c r="L316" s="55">
        <v>0.1</v>
      </c>
      <c r="M316" s="55">
        <v>0.23</v>
      </c>
      <c r="N316" s="55">
        <v>0</v>
      </c>
      <c r="O316" s="55">
        <v>0</v>
      </c>
    </row>
    <row r="317" spans="1:16" ht="18" customHeight="1">
      <c r="A317" s="47"/>
      <c r="B317" s="48" t="s">
        <v>454</v>
      </c>
      <c r="C317" s="54" t="s">
        <v>455</v>
      </c>
      <c r="D317" s="55">
        <v>220</v>
      </c>
      <c r="E317" s="55">
        <v>15</v>
      </c>
      <c r="F317" s="55">
        <v>12.4</v>
      </c>
      <c r="G317" s="55">
        <v>6</v>
      </c>
      <c r="H317" s="55">
        <v>80.5</v>
      </c>
      <c r="I317" s="55">
        <v>1.3</v>
      </c>
      <c r="J317" s="55">
        <v>0</v>
      </c>
      <c r="K317" s="55">
        <v>0.1</v>
      </c>
      <c r="L317" s="55">
        <v>0.1</v>
      </c>
      <c r="M317" s="55">
        <v>0.23</v>
      </c>
      <c r="N317" s="55">
        <v>0</v>
      </c>
      <c r="O317" s="55">
        <v>0</v>
      </c>
    </row>
    <row r="318" spans="1:16" ht="18" customHeight="1">
      <c r="A318" s="47"/>
      <c r="B318" s="48" t="s">
        <v>456</v>
      </c>
      <c r="C318" s="54"/>
      <c r="D318" s="55">
        <v>220</v>
      </c>
      <c r="E318" s="55">
        <v>15</v>
      </c>
      <c r="F318" s="55">
        <v>12.4</v>
      </c>
      <c r="G318" s="55">
        <v>0.8</v>
      </c>
      <c r="H318" s="55">
        <v>80.5</v>
      </c>
      <c r="I318" s="55">
        <v>1.3</v>
      </c>
      <c r="J318" s="55">
        <v>0</v>
      </c>
      <c r="K318" s="55">
        <v>0.1</v>
      </c>
      <c r="L318" s="55">
        <v>0.1</v>
      </c>
      <c r="M318" s="55">
        <v>0.23</v>
      </c>
      <c r="N318" s="55">
        <v>0</v>
      </c>
      <c r="O318" s="55">
        <v>0</v>
      </c>
    </row>
    <row r="319" spans="1:16" ht="18" customHeight="1">
      <c r="A319" s="47" t="s">
        <v>450</v>
      </c>
      <c r="B319" s="48" t="s">
        <v>457</v>
      </c>
      <c r="C319" s="54" t="s">
        <v>455</v>
      </c>
      <c r="D319" s="55">
        <v>220</v>
      </c>
      <c r="E319" s="55">
        <v>15</v>
      </c>
      <c r="F319" s="55">
        <v>12.4</v>
      </c>
      <c r="G319" s="55">
        <v>0.19</v>
      </c>
      <c r="H319" s="55">
        <v>80.5</v>
      </c>
      <c r="I319" s="55">
        <v>1.3</v>
      </c>
      <c r="J319" s="55">
        <v>0</v>
      </c>
      <c r="K319" s="55">
        <v>0.1</v>
      </c>
      <c r="L319" s="55">
        <v>0.1</v>
      </c>
      <c r="M319" s="55">
        <v>0.23</v>
      </c>
      <c r="N319" s="55">
        <v>0</v>
      </c>
      <c r="O319" s="55">
        <v>0</v>
      </c>
      <c r="P319" s="47" t="s">
        <v>51</v>
      </c>
    </row>
    <row r="320" spans="1:16" ht="18" customHeight="1">
      <c r="A320" s="47" t="s">
        <v>450</v>
      </c>
      <c r="B320" s="48" t="s">
        <v>458</v>
      </c>
      <c r="C320" s="54" t="s">
        <v>455</v>
      </c>
      <c r="D320" s="55">
        <v>140</v>
      </c>
      <c r="E320" s="55">
        <v>11.8</v>
      </c>
      <c r="F320" s="55">
        <v>12.4</v>
      </c>
      <c r="G320" s="55">
        <v>6</v>
      </c>
      <c r="H320" s="55">
        <v>58</v>
      </c>
      <c r="I320" s="55">
        <v>0.9</v>
      </c>
      <c r="J320" s="55">
        <v>0.01</v>
      </c>
      <c r="K320" s="55">
        <v>0.01</v>
      </c>
      <c r="L320" s="55">
        <v>0.02</v>
      </c>
      <c r="M320" s="55">
        <v>0.3</v>
      </c>
      <c r="N320" s="55">
        <v>0</v>
      </c>
      <c r="O320" s="55">
        <v>0</v>
      </c>
      <c r="P320" s="47" t="s">
        <v>59</v>
      </c>
    </row>
    <row r="321" spans="1:16" ht="18" customHeight="1">
      <c r="A321" s="47" t="s">
        <v>459</v>
      </c>
      <c r="B321" s="48" t="s">
        <v>460</v>
      </c>
      <c r="C321" s="54" t="s">
        <v>461</v>
      </c>
      <c r="D321" s="55">
        <v>127</v>
      </c>
      <c r="E321" s="55">
        <v>25.9</v>
      </c>
      <c r="F321" s="55">
        <v>0.2</v>
      </c>
      <c r="G321" s="55">
        <v>1.19</v>
      </c>
      <c r="H321" s="55">
        <v>15</v>
      </c>
      <c r="I321" s="55">
        <v>1.8</v>
      </c>
      <c r="J321" s="55">
        <v>12</v>
      </c>
      <c r="K321" s="55">
        <v>0.21</v>
      </c>
      <c r="L321" s="55">
        <v>0.17</v>
      </c>
      <c r="M321" s="55">
        <v>15.3</v>
      </c>
      <c r="N321" s="55">
        <v>1</v>
      </c>
      <c r="O321" s="56">
        <v>34</v>
      </c>
      <c r="P321" s="47" t="s">
        <v>51</v>
      </c>
    </row>
    <row r="322" spans="1:16" ht="18" customHeight="1">
      <c r="A322" s="47" t="s">
        <v>459</v>
      </c>
      <c r="B322" s="48" t="s">
        <v>462</v>
      </c>
      <c r="C322" s="54" t="s">
        <v>463</v>
      </c>
      <c r="D322" s="55">
        <v>410</v>
      </c>
      <c r="E322" s="55">
        <v>16.3</v>
      </c>
      <c r="F322" s="55">
        <v>1.6</v>
      </c>
      <c r="G322" s="55">
        <v>3.56</v>
      </c>
      <c r="H322" s="55">
        <v>21</v>
      </c>
      <c r="I322" s="55">
        <v>21</v>
      </c>
      <c r="J322" s="55">
        <v>24.7</v>
      </c>
      <c r="K322" s="55">
        <v>0.1</v>
      </c>
      <c r="L322" s="55">
        <v>0.35</v>
      </c>
      <c r="M322" s="55">
        <v>31.5</v>
      </c>
      <c r="N322" s="55">
        <v>2.1</v>
      </c>
      <c r="O322" s="55">
        <v>0</v>
      </c>
      <c r="P322" s="47" t="s">
        <v>51</v>
      </c>
    </row>
    <row r="323" spans="1:16" ht="18" customHeight="1">
      <c r="A323" s="47" t="s">
        <v>459</v>
      </c>
      <c r="B323" s="48" t="s">
        <v>464</v>
      </c>
      <c r="C323" s="54" t="s">
        <v>465</v>
      </c>
      <c r="D323" s="55">
        <v>306</v>
      </c>
      <c r="E323" s="55">
        <v>51.5</v>
      </c>
      <c r="F323" s="55">
        <v>0.6</v>
      </c>
      <c r="G323" s="55">
        <v>9.1999999999999993</v>
      </c>
      <c r="H323" s="55">
        <v>115</v>
      </c>
      <c r="I323" s="55">
        <v>20</v>
      </c>
      <c r="J323" s="55">
        <v>2</v>
      </c>
      <c r="K323" s="55">
        <v>0.03</v>
      </c>
      <c r="L323" s="55">
        <v>0.2</v>
      </c>
      <c r="M323" s="55">
        <v>35</v>
      </c>
      <c r="N323" s="55">
        <v>0</v>
      </c>
      <c r="O323" s="55">
        <v>0</v>
      </c>
      <c r="P323" s="47" t="s">
        <v>51</v>
      </c>
    </row>
    <row r="324" spans="1:16" ht="18" customHeight="1">
      <c r="A324" s="47" t="s">
        <v>459</v>
      </c>
      <c r="B324" s="48" t="s">
        <v>466</v>
      </c>
      <c r="C324" s="54" t="s">
        <v>466</v>
      </c>
      <c r="D324" s="55">
        <v>109</v>
      </c>
      <c r="E324" s="55">
        <v>21.8</v>
      </c>
      <c r="F324" s="55">
        <v>0.77</v>
      </c>
      <c r="G324" s="55">
        <v>0.9</v>
      </c>
      <c r="H324" s="55">
        <v>75</v>
      </c>
      <c r="I324" s="55">
        <v>1.5</v>
      </c>
      <c r="J324" s="55">
        <v>0</v>
      </c>
      <c r="K324" s="55">
        <v>0.1</v>
      </c>
      <c r="L324" s="55">
        <v>0.13</v>
      </c>
      <c r="M324" s="55">
        <v>3.6</v>
      </c>
      <c r="N324" s="55">
        <v>0</v>
      </c>
      <c r="O324" s="55">
        <v>44</v>
      </c>
      <c r="P324" s="47" t="s">
        <v>51</v>
      </c>
    </row>
    <row r="325" spans="1:16" ht="18" customHeight="1">
      <c r="A325" s="47" t="s">
        <v>459</v>
      </c>
      <c r="B325" s="48" t="s">
        <v>467</v>
      </c>
      <c r="C325" s="54" t="s">
        <v>468</v>
      </c>
      <c r="D325" s="55">
        <v>80</v>
      </c>
      <c r="E325" s="55">
        <v>17.3</v>
      </c>
      <c r="F325" s="55">
        <v>0.77</v>
      </c>
      <c r="G325" s="55">
        <v>0.56999999999999995</v>
      </c>
      <c r="H325" s="55">
        <v>882</v>
      </c>
      <c r="I325" s="55">
        <v>1.2</v>
      </c>
      <c r="J325" s="55">
        <v>0</v>
      </c>
      <c r="K325" s="55">
        <v>0.04</v>
      </c>
      <c r="L325" s="55">
        <v>0.09</v>
      </c>
      <c r="M325" s="55">
        <v>4.0999999999999996</v>
      </c>
      <c r="N325" s="55">
        <v>0</v>
      </c>
      <c r="O325" s="55">
        <v>19</v>
      </c>
      <c r="P325" s="47" t="s">
        <v>51</v>
      </c>
    </row>
    <row r="326" spans="1:16" ht="18" customHeight="1">
      <c r="A326" s="47"/>
      <c r="B326" s="48" t="s">
        <v>469</v>
      </c>
      <c r="C326" s="54" t="s">
        <v>470</v>
      </c>
      <c r="D326" s="55">
        <v>139</v>
      </c>
      <c r="E326" s="55">
        <v>20.100000000000001</v>
      </c>
      <c r="F326" s="55">
        <v>0.93</v>
      </c>
      <c r="G326" s="55">
        <v>2.04</v>
      </c>
      <c r="H326" s="55">
        <v>40</v>
      </c>
      <c r="I326" s="55">
        <v>0.7</v>
      </c>
      <c r="J326" s="55">
        <v>8</v>
      </c>
      <c r="K326" s="55">
        <v>0.18</v>
      </c>
      <c r="L326" s="55">
        <v>0.26</v>
      </c>
      <c r="M326" s="55">
        <v>4.3</v>
      </c>
      <c r="N326" s="55">
        <v>2</v>
      </c>
      <c r="O326" s="55">
        <v>0</v>
      </c>
    </row>
    <row r="327" spans="1:16" ht="18" customHeight="1">
      <c r="A327" s="47" t="s">
        <v>459</v>
      </c>
      <c r="B327" s="48" t="s">
        <v>471</v>
      </c>
      <c r="C327" s="54" t="s">
        <v>470</v>
      </c>
      <c r="D327" s="55">
        <v>129</v>
      </c>
      <c r="E327" s="55">
        <v>22.1</v>
      </c>
      <c r="F327" s="55">
        <v>0.93</v>
      </c>
      <c r="G327" s="55">
        <v>2.0699999999999998</v>
      </c>
      <c r="H327" s="55">
        <v>40</v>
      </c>
      <c r="I327" s="55">
        <v>0.7</v>
      </c>
      <c r="J327" s="55">
        <v>8</v>
      </c>
      <c r="K327" s="55">
        <v>0.18</v>
      </c>
      <c r="L327" s="55">
        <v>0.26</v>
      </c>
      <c r="M327" s="55">
        <v>4.3</v>
      </c>
      <c r="N327" s="55">
        <v>2</v>
      </c>
      <c r="O327" s="55">
        <v>0</v>
      </c>
      <c r="P327" s="47" t="s">
        <v>51</v>
      </c>
    </row>
    <row r="328" spans="1:16" ht="18" customHeight="1">
      <c r="A328" s="47" t="s">
        <v>459</v>
      </c>
      <c r="B328" s="48" t="s">
        <v>472</v>
      </c>
      <c r="C328" s="54" t="s">
        <v>473</v>
      </c>
      <c r="D328" s="55">
        <v>145</v>
      </c>
      <c r="E328" s="55">
        <v>18</v>
      </c>
      <c r="F328" s="55">
        <v>1</v>
      </c>
      <c r="G328" s="55">
        <v>4.6500000000000004</v>
      </c>
      <c r="H328" s="55">
        <v>16</v>
      </c>
      <c r="I328" s="55">
        <v>0.5</v>
      </c>
      <c r="J328" s="55">
        <v>24</v>
      </c>
      <c r="K328" s="55">
        <v>0.11</v>
      </c>
      <c r="L328" s="55">
        <v>0.1</v>
      </c>
      <c r="M328" s="55">
        <v>3.1</v>
      </c>
      <c r="N328" s="55">
        <v>1</v>
      </c>
      <c r="O328" s="55">
        <v>38</v>
      </c>
      <c r="P328" s="47" t="s">
        <v>51</v>
      </c>
    </row>
    <row r="329" spans="1:16" ht="18" customHeight="1">
      <c r="A329" s="47" t="s">
        <v>459</v>
      </c>
      <c r="B329" s="48" t="s">
        <v>474</v>
      </c>
      <c r="C329" s="54" t="s">
        <v>473</v>
      </c>
      <c r="D329" s="55">
        <v>145</v>
      </c>
      <c r="E329" s="55">
        <v>18</v>
      </c>
      <c r="F329" s="55">
        <v>1</v>
      </c>
      <c r="G329" s="55">
        <v>0</v>
      </c>
      <c r="H329" s="55">
        <v>16</v>
      </c>
      <c r="I329" s="55">
        <v>0.5</v>
      </c>
      <c r="J329" s="55">
        <v>24</v>
      </c>
      <c r="K329" s="55">
        <v>0.11</v>
      </c>
      <c r="L329" s="55">
        <v>0.1</v>
      </c>
      <c r="M329" s="55">
        <v>3.1</v>
      </c>
      <c r="N329" s="55">
        <v>1</v>
      </c>
      <c r="O329" s="55">
        <v>38</v>
      </c>
      <c r="P329" s="47" t="s">
        <v>51</v>
      </c>
    </row>
    <row r="330" spans="1:16" ht="18" customHeight="1">
      <c r="A330" s="47" t="s">
        <v>459</v>
      </c>
      <c r="B330" s="48" t="s">
        <v>475</v>
      </c>
      <c r="C330" s="54" t="s">
        <v>476</v>
      </c>
      <c r="D330" s="55">
        <v>188</v>
      </c>
      <c r="E330" s="55">
        <v>26.3</v>
      </c>
      <c r="F330" s="55">
        <v>0</v>
      </c>
      <c r="G330" s="55">
        <v>4.5</v>
      </c>
      <c r="H330" s="55">
        <v>104</v>
      </c>
      <c r="I330" s="55">
        <v>1.8</v>
      </c>
      <c r="J330" s="55">
        <v>0</v>
      </c>
      <c r="K330" s="55">
        <v>0.15</v>
      </c>
      <c r="L330" s="55">
        <v>0.25</v>
      </c>
      <c r="M330" s="55">
        <v>2.1</v>
      </c>
      <c r="N330" s="55">
        <v>0</v>
      </c>
      <c r="O330" s="55">
        <v>0</v>
      </c>
      <c r="P330" s="47" t="s">
        <v>51</v>
      </c>
    </row>
    <row r="331" spans="1:16" ht="18" customHeight="1">
      <c r="A331" s="47" t="s">
        <v>459</v>
      </c>
      <c r="B331" s="48" t="s">
        <v>477</v>
      </c>
      <c r="C331" s="54" t="s">
        <v>478</v>
      </c>
      <c r="D331" s="55">
        <v>246</v>
      </c>
      <c r="E331" s="55">
        <v>19.2</v>
      </c>
      <c r="F331" s="55">
        <v>0.08</v>
      </c>
      <c r="G331" s="55">
        <v>14.3</v>
      </c>
      <c r="H331" s="55">
        <v>27</v>
      </c>
      <c r="I331" s="55">
        <v>1.2</v>
      </c>
      <c r="J331" s="55">
        <v>0</v>
      </c>
      <c r="K331" s="55">
        <v>0.1</v>
      </c>
      <c r="L331" s="55">
        <v>0.4</v>
      </c>
      <c r="M331" s="55">
        <v>7</v>
      </c>
      <c r="N331" s="55">
        <v>0</v>
      </c>
      <c r="O331" s="55">
        <v>21</v>
      </c>
      <c r="P331" s="47" t="s">
        <v>51</v>
      </c>
    </row>
    <row r="332" spans="1:16" ht="18" customHeight="1">
      <c r="A332" s="47" t="s">
        <v>459</v>
      </c>
      <c r="B332" s="48" t="s">
        <v>2090</v>
      </c>
      <c r="C332" s="54" t="s">
        <v>479</v>
      </c>
      <c r="D332" s="55">
        <v>271</v>
      </c>
      <c r="E332" s="55">
        <v>19.399999999999999</v>
      </c>
      <c r="F332" s="55">
        <v>0.13</v>
      </c>
      <c r="G332" s="55">
        <v>13.73</v>
      </c>
      <c r="H332" s="55">
        <v>24</v>
      </c>
      <c r="I332" s="55">
        <v>1.2</v>
      </c>
      <c r="J332" s="55">
        <v>40</v>
      </c>
      <c r="K332" s="55">
        <v>0.12</v>
      </c>
      <c r="L332" s="55">
        <v>0.48</v>
      </c>
      <c r="M332" s="55">
        <v>7.5</v>
      </c>
      <c r="N332" s="55">
        <v>1</v>
      </c>
      <c r="O332" s="55">
        <v>34</v>
      </c>
      <c r="P332" s="47" t="s">
        <v>51</v>
      </c>
    </row>
    <row r="333" spans="1:16" ht="18" customHeight="1">
      <c r="A333" s="47" t="s">
        <v>459</v>
      </c>
      <c r="B333" s="48" t="s">
        <v>480</v>
      </c>
      <c r="C333" s="54" t="s">
        <v>480</v>
      </c>
      <c r="D333" s="55">
        <v>160</v>
      </c>
      <c r="E333" s="55">
        <v>16.3</v>
      </c>
      <c r="F333" s="55">
        <v>0.2</v>
      </c>
      <c r="G333" s="55">
        <v>9.9</v>
      </c>
      <c r="H333" s="55">
        <v>167</v>
      </c>
      <c r="I333" s="55">
        <v>1.1000000000000001</v>
      </c>
      <c r="J333" s="55">
        <v>32</v>
      </c>
      <c r="K333" s="55">
        <v>0.08</v>
      </c>
      <c r="L333" s="55">
        <v>0.26</v>
      </c>
      <c r="M333" s="55">
        <v>6.4</v>
      </c>
      <c r="N333" s="55">
        <v>0</v>
      </c>
      <c r="O333" s="55">
        <v>0</v>
      </c>
      <c r="P333" s="47" t="s">
        <v>51</v>
      </c>
    </row>
    <row r="334" spans="1:16" ht="18" customHeight="1">
      <c r="A334" s="47" t="s">
        <v>459</v>
      </c>
      <c r="B334" s="48" t="s">
        <v>481</v>
      </c>
      <c r="C334" s="54" t="s">
        <v>482</v>
      </c>
      <c r="D334" s="55">
        <v>262</v>
      </c>
      <c r="E334" s="55">
        <v>20.2</v>
      </c>
      <c r="F334" s="55">
        <v>5.4</v>
      </c>
      <c r="G334" s="55">
        <v>10.36</v>
      </c>
      <c r="H334" s="55">
        <v>44</v>
      </c>
      <c r="I334" s="55">
        <v>1.5</v>
      </c>
      <c r="J334" s="55">
        <v>40</v>
      </c>
      <c r="K334" s="55">
        <v>0.03</v>
      </c>
      <c r="L334" s="55">
        <v>0.3</v>
      </c>
      <c r="M334" s="55">
        <v>7.1</v>
      </c>
      <c r="N334" s="55">
        <v>1</v>
      </c>
      <c r="O334" s="55">
        <v>34</v>
      </c>
      <c r="P334" s="47" t="s">
        <v>51</v>
      </c>
    </row>
    <row r="335" spans="1:16" ht="18" customHeight="1">
      <c r="A335" s="47" t="s">
        <v>459</v>
      </c>
      <c r="B335" s="48" t="s">
        <v>483</v>
      </c>
      <c r="C335" s="54" t="s">
        <v>484</v>
      </c>
      <c r="D335" s="55">
        <v>200</v>
      </c>
      <c r="E335" s="55">
        <v>13</v>
      </c>
      <c r="F335" s="55">
        <v>17.7</v>
      </c>
      <c r="G335" s="55">
        <v>18.8</v>
      </c>
      <c r="H335" s="55">
        <v>198</v>
      </c>
      <c r="I335" s="55">
        <v>1.5</v>
      </c>
      <c r="J335" s="55">
        <v>35</v>
      </c>
      <c r="K335" s="55">
        <v>0.08</v>
      </c>
      <c r="L335" s="55">
        <v>0.15</v>
      </c>
      <c r="M335" s="55">
        <v>5.8</v>
      </c>
      <c r="N335" s="55">
        <v>0</v>
      </c>
      <c r="O335" s="55">
        <v>0</v>
      </c>
      <c r="P335" s="47" t="s">
        <v>51</v>
      </c>
    </row>
    <row r="336" spans="1:16" ht="18" customHeight="1">
      <c r="A336" s="47" t="s">
        <v>459</v>
      </c>
      <c r="B336" s="48" t="s">
        <v>485</v>
      </c>
      <c r="C336" s="54" t="s">
        <v>486</v>
      </c>
      <c r="D336" s="55">
        <v>262</v>
      </c>
      <c r="E336" s="55">
        <v>20.2</v>
      </c>
      <c r="F336" s="55">
        <v>5.4</v>
      </c>
      <c r="G336" s="55">
        <v>12.8</v>
      </c>
      <c r="H336" s="55">
        <v>44</v>
      </c>
      <c r="I336" s="55">
        <v>1.5</v>
      </c>
      <c r="J336" s="55">
        <v>40</v>
      </c>
      <c r="K336" s="55">
        <v>0.03</v>
      </c>
      <c r="L336" s="55">
        <v>0.3</v>
      </c>
      <c r="M336" s="55">
        <v>7.1</v>
      </c>
      <c r="N336" s="55">
        <v>1</v>
      </c>
      <c r="O336" s="55">
        <v>34</v>
      </c>
      <c r="P336" s="47" t="s">
        <v>51</v>
      </c>
    </row>
    <row r="337" spans="1:16" ht="18" customHeight="1">
      <c r="A337" s="47" t="s">
        <v>459</v>
      </c>
      <c r="B337" s="48" t="s">
        <v>487</v>
      </c>
      <c r="C337" s="54" t="s">
        <v>488</v>
      </c>
      <c r="D337" s="55">
        <v>103</v>
      </c>
      <c r="E337" s="55">
        <v>20.399999999999999</v>
      </c>
      <c r="F337" s="55">
        <v>0.16</v>
      </c>
      <c r="G337" s="55">
        <v>0.9</v>
      </c>
      <c r="H337" s="55">
        <v>53</v>
      </c>
      <c r="I337" s="55">
        <v>1.6</v>
      </c>
      <c r="J337" s="55">
        <v>8</v>
      </c>
      <c r="K337" s="55">
        <v>0.1</v>
      </c>
      <c r="L337" s="55">
        <v>0.2</v>
      </c>
      <c r="M337" s="55">
        <v>6.5</v>
      </c>
      <c r="N337" s="55">
        <v>1</v>
      </c>
      <c r="O337" s="55">
        <v>47</v>
      </c>
      <c r="P337" s="47" t="s">
        <v>51</v>
      </c>
    </row>
    <row r="338" spans="1:16" ht="18" customHeight="1">
      <c r="A338" s="47" t="s">
        <v>459</v>
      </c>
      <c r="B338" s="48" t="s">
        <v>489</v>
      </c>
      <c r="C338" s="54" t="s">
        <v>489</v>
      </c>
      <c r="D338" s="55">
        <v>82</v>
      </c>
      <c r="E338" s="55">
        <v>18</v>
      </c>
      <c r="F338" s="55">
        <v>0.1</v>
      </c>
      <c r="G338" s="55">
        <v>0.5</v>
      </c>
      <c r="H338" s="55">
        <v>23</v>
      </c>
      <c r="I338" s="55">
        <v>0.2</v>
      </c>
      <c r="J338" s="55">
        <v>6</v>
      </c>
      <c r="K338" s="55">
        <v>0.06</v>
      </c>
      <c r="L338" s="55">
        <v>0.05</v>
      </c>
      <c r="M338" s="55">
        <v>1.5</v>
      </c>
      <c r="N338" s="55">
        <v>0</v>
      </c>
      <c r="O338" s="55">
        <v>0</v>
      </c>
      <c r="P338" s="47" t="s">
        <v>51</v>
      </c>
    </row>
    <row r="339" spans="1:16" ht="18" customHeight="1">
      <c r="A339" s="47" t="s">
        <v>459</v>
      </c>
      <c r="B339" s="48" t="s">
        <v>490</v>
      </c>
      <c r="C339" s="54" t="s">
        <v>489</v>
      </c>
      <c r="D339" s="55">
        <v>85</v>
      </c>
      <c r="E339" s="55">
        <v>15</v>
      </c>
      <c r="F339" s="55">
        <v>0</v>
      </c>
      <c r="G339" s="55">
        <v>1.5</v>
      </c>
      <c r="H339" s="55">
        <v>26</v>
      </c>
      <c r="I339" s="55">
        <v>7.3</v>
      </c>
      <c r="J339" s="55">
        <v>26</v>
      </c>
      <c r="K339" s="55">
        <v>0.22</v>
      </c>
      <c r="L339" s="55">
        <v>0.11</v>
      </c>
      <c r="M339" s="55">
        <v>1</v>
      </c>
      <c r="N339" s="55">
        <v>418</v>
      </c>
      <c r="O339" s="55">
        <v>0</v>
      </c>
      <c r="P339" s="47" t="s">
        <v>59</v>
      </c>
    </row>
    <row r="340" spans="1:16" ht="18" customHeight="1">
      <c r="A340" s="47" t="s">
        <v>459</v>
      </c>
      <c r="B340" s="48" t="s">
        <v>491</v>
      </c>
      <c r="C340" s="54" t="s">
        <v>492</v>
      </c>
      <c r="D340" s="55">
        <v>256</v>
      </c>
      <c r="E340" s="55">
        <v>56</v>
      </c>
      <c r="F340" s="55">
        <v>1.8</v>
      </c>
      <c r="G340" s="55">
        <v>1.9</v>
      </c>
      <c r="H340" s="55">
        <v>26</v>
      </c>
      <c r="I340" s="55">
        <v>2.6</v>
      </c>
      <c r="J340" s="55">
        <v>0</v>
      </c>
      <c r="K340" s="55">
        <v>0.1</v>
      </c>
      <c r="L340" s="55">
        <v>0.15</v>
      </c>
      <c r="M340" s="55">
        <v>11</v>
      </c>
      <c r="N340" s="55">
        <v>0</v>
      </c>
      <c r="O340" s="55">
        <v>5</v>
      </c>
      <c r="P340" s="47" t="s">
        <v>51</v>
      </c>
    </row>
    <row r="341" spans="1:16" ht="18" customHeight="1">
      <c r="A341" s="47" t="s">
        <v>459</v>
      </c>
      <c r="B341" s="48" t="s">
        <v>493</v>
      </c>
      <c r="C341" s="54" t="s">
        <v>494</v>
      </c>
      <c r="D341" s="55">
        <v>97</v>
      </c>
      <c r="E341" s="55">
        <v>12.6</v>
      </c>
      <c r="F341" s="55">
        <v>0.1</v>
      </c>
      <c r="G341" s="55">
        <v>0.55000000000000004</v>
      </c>
      <c r="H341" s="55">
        <v>134</v>
      </c>
      <c r="I341" s="55">
        <v>4</v>
      </c>
      <c r="J341" s="55">
        <v>15</v>
      </c>
      <c r="K341" s="55">
        <v>0.38</v>
      </c>
      <c r="L341" s="55">
        <v>0.1</v>
      </c>
      <c r="M341" s="55">
        <v>2.4</v>
      </c>
      <c r="N341" s="55">
        <v>0</v>
      </c>
      <c r="O341" s="55">
        <v>55</v>
      </c>
      <c r="P341" s="47" t="s">
        <v>51</v>
      </c>
    </row>
    <row r="342" spans="1:16" ht="18" customHeight="1">
      <c r="A342" s="47" t="s">
        <v>459</v>
      </c>
      <c r="B342" s="48" t="s">
        <v>495</v>
      </c>
      <c r="C342" s="54" t="s">
        <v>496</v>
      </c>
      <c r="D342" s="55">
        <v>76</v>
      </c>
      <c r="E342" s="55">
        <v>14.4</v>
      </c>
      <c r="F342" s="55">
        <v>0.6</v>
      </c>
      <c r="G342" s="55">
        <v>1.3</v>
      </c>
      <c r="H342" s="55">
        <v>28</v>
      </c>
      <c r="I342" s="55">
        <v>0.8</v>
      </c>
      <c r="J342" s="55">
        <v>9</v>
      </c>
      <c r="K342" s="55">
        <v>0.06</v>
      </c>
      <c r="L342" s="55">
        <v>0.05</v>
      </c>
      <c r="M342" s="55">
        <v>1.1000000000000001</v>
      </c>
      <c r="N342" s="55">
        <v>1</v>
      </c>
      <c r="O342" s="55">
        <v>0</v>
      </c>
      <c r="P342" s="47" t="s">
        <v>51</v>
      </c>
    </row>
    <row r="343" spans="1:16" ht="18" customHeight="1">
      <c r="A343" s="47" t="s">
        <v>459</v>
      </c>
      <c r="B343" s="48" t="s">
        <v>497</v>
      </c>
      <c r="C343" s="54" t="s">
        <v>497</v>
      </c>
      <c r="D343" s="55">
        <v>114</v>
      </c>
      <c r="E343" s="55">
        <v>22.4</v>
      </c>
      <c r="F343" s="55">
        <v>1.5</v>
      </c>
      <c r="G343" s="55">
        <v>1.4</v>
      </c>
      <c r="H343" s="55">
        <v>23</v>
      </c>
      <c r="I343" s="55">
        <v>1.4</v>
      </c>
      <c r="J343" s="55">
        <v>91</v>
      </c>
      <c r="K343" s="55">
        <v>0.83</v>
      </c>
      <c r="L343" s="55">
        <v>0.73</v>
      </c>
      <c r="M343" s="55">
        <v>0.9</v>
      </c>
      <c r="N343" s="55">
        <v>0</v>
      </c>
      <c r="O343" s="56">
        <v>0</v>
      </c>
      <c r="P343" s="47" t="s">
        <v>51</v>
      </c>
    </row>
    <row r="344" spans="1:16" ht="18" customHeight="1">
      <c r="A344" s="47" t="s">
        <v>459</v>
      </c>
      <c r="B344" s="48" t="s">
        <v>498</v>
      </c>
      <c r="C344" s="54" t="s">
        <v>498</v>
      </c>
      <c r="D344" s="55">
        <v>66</v>
      </c>
      <c r="E344" s="55">
        <v>14.7</v>
      </c>
      <c r="F344" s="55">
        <v>0</v>
      </c>
      <c r="G344" s="55">
        <v>0.4</v>
      </c>
      <c r="H344" s="55">
        <v>15</v>
      </c>
      <c r="I344" s="55">
        <v>4.9000000000000004</v>
      </c>
      <c r="J344" s="55">
        <v>90</v>
      </c>
      <c r="K344" s="55">
        <v>0.1</v>
      </c>
      <c r="L344" s="55">
        <v>0.25</v>
      </c>
      <c r="M344" s="55">
        <v>1.7</v>
      </c>
      <c r="N344" s="55">
        <v>0</v>
      </c>
      <c r="O344" s="55">
        <v>0</v>
      </c>
      <c r="P344" s="47" t="s">
        <v>51</v>
      </c>
    </row>
    <row r="345" spans="1:16" ht="18" customHeight="1">
      <c r="A345" s="47" t="s">
        <v>459</v>
      </c>
      <c r="B345" s="48" t="s">
        <v>499</v>
      </c>
      <c r="C345" s="54" t="s">
        <v>500</v>
      </c>
      <c r="D345" s="55">
        <v>65</v>
      </c>
      <c r="E345" s="55">
        <v>13.7</v>
      </c>
      <c r="F345" s="55">
        <v>0.15</v>
      </c>
      <c r="G345" s="55">
        <v>0.4</v>
      </c>
      <c r="H345" s="55">
        <v>5</v>
      </c>
      <c r="I345" s="55">
        <v>0.4</v>
      </c>
      <c r="J345" s="55">
        <v>11</v>
      </c>
      <c r="K345" s="55">
        <v>0.15</v>
      </c>
      <c r="L345" s="55">
        <v>0.28000000000000003</v>
      </c>
      <c r="M345" s="55">
        <v>1.6</v>
      </c>
      <c r="N345" s="55">
        <v>2</v>
      </c>
      <c r="O345" s="55">
        <v>50</v>
      </c>
      <c r="P345" s="47" t="s">
        <v>51</v>
      </c>
    </row>
    <row r="346" spans="1:16" ht="18" customHeight="1">
      <c r="A346" s="47" t="s">
        <v>459</v>
      </c>
      <c r="B346" s="48" t="s">
        <v>501</v>
      </c>
      <c r="C346" s="54" t="s">
        <v>501</v>
      </c>
      <c r="D346" s="55">
        <v>312</v>
      </c>
      <c r="E346" s="55">
        <v>65.400000000000006</v>
      </c>
      <c r="F346" s="55">
        <v>0.1</v>
      </c>
      <c r="G346" s="55">
        <v>3</v>
      </c>
      <c r="H346" s="55">
        <v>184</v>
      </c>
      <c r="I346" s="55">
        <v>2.6</v>
      </c>
      <c r="J346" s="55">
        <v>88</v>
      </c>
      <c r="K346" s="55">
        <v>0.26</v>
      </c>
      <c r="L346" s="55">
        <v>0.32</v>
      </c>
      <c r="M346" s="55">
        <v>7.4</v>
      </c>
      <c r="N346" s="55">
        <v>0</v>
      </c>
      <c r="O346" s="55">
        <v>0</v>
      </c>
      <c r="P346" s="47" t="s">
        <v>51</v>
      </c>
    </row>
    <row r="347" spans="1:16" ht="18" customHeight="1">
      <c r="A347" s="47" t="s">
        <v>459</v>
      </c>
      <c r="B347" s="48" t="s">
        <v>502</v>
      </c>
      <c r="C347" s="54" t="s">
        <v>502</v>
      </c>
      <c r="D347" s="55">
        <v>115</v>
      </c>
      <c r="E347" s="55">
        <v>20.9</v>
      </c>
      <c r="F347" s="55">
        <v>0.17</v>
      </c>
      <c r="G347" s="55">
        <v>1.1599999999999999</v>
      </c>
      <c r="H347" s="55">
        <v>18</v>
      </c>
      <c r="I347" s="55">
        <v>0.6</v>
      </c>
      <c r="J347" s="55">
        <v>7</v>
      </c>
      <c r="K347" s="55">
        <v>0.17</v>
      </c>
      <c r="L347" s="55">
        <v>0.12</v>
      </c>
      <c r="M347" s="55">
        <v>6.2</v>
      </c>
      <c r="N347" s="55">
        <v>1</v>
      </c>
      <c r="O347" s="55">
        <v>57</v>
      </c>
      <c r="P347" s="47" t="s">
        <v>51</v>
      </c>
    </row>
    <row r="348" spans="1:16" ht="18" customHeight="1">
      <c r="A348" s="47" t="s">
        <v>459</v>
      </c>
      <c r="B348" s="48" t="s">
        <v>503</v>
      </c>
      <c r="C348" s="54" t="s">
        <v>503</v>
      </c>
      <c r="D348" s="55">
        <v>113</v>
      </c>
      <c r="E348" s="55">
        <v>22.4</v>
      </c>
      <c r="F348" s="55">
        <v>23.79</v>
      </c>
      <c r="G348" s="55">
        <v>6.71</v>
      </c>
      <c r="H348" s="55">
        <v>24</v>
      </c>
      <c r="I348" s="55">
        <v>1.5</v>
      </c>
      <c r="J348" s="55">
        <v>71</v>
      </c>
      <c r="K348" s="55">
        <v>1</v>
      </c>
      <c r="L348" s="55">
        <v>0.54</v>
      </c>
      <c r="M348" s="55">
        <v>1.1000000000000001</v>
      </c>
      <c r="N348" s="55">
        <v>0</v>
      </c>
      <c r="O348" s="55">
        <v>0</v>
      </c>
      <c r="P348" s="47" t="s">
        <v>51</v>
      </c>
    </row>
    <row r="349" spans="1:16" ht="18" customHeight="1">
      <c r="A349" s="47" t="s">
        <v>459</v>
      </c>
      <c r="B349" s="48" t="s">
        <v>504</v>
      </c>
      <c r="C349" s="54" t="s">
        <v>504</v>
      </c>
      <c r="D349" s="55">
        <v>120</v>
      </c>
      <c r="E349" s="55">
        <v>20.5</v>
      </c>
      <c r="F349" s="55">
        <v>0.05</v>
      </c>
      <c r="G349" s="55">
        <v>5.3</v>
      </c>
      <c r="H349" s="55">
        <v>28</v>
      </c>
      <c r="I349" s="55">
        <v>1.2</v>
      </c>
      <c r="J349" s="55">
        <v>66</v>
      </c>
      <c r="K349" s="55">
        <v>0.48</v>
      </c>
      <c r="L349" s="55">
        <v>0.52</v>
      </c>
      <c r="M349" s="55">
        <v>8.9</v>
      </c>
      <c r="N349" s="55">
        <v>0</v>
      </c>
      <c r="O349" s="55">
        <v>0</v>
      </c>
      <c r="P349" s="47" t="s">
        <v>51</v>
      </c>
    </row>
    <row r="350" spans="1:16" ht="18" customHeight="1">
      <c r="A350" s="47" t="s">
        <v>459</v>
      </c>
      <c r="B350" s="48" t="s">
        <v>505</v>
      </c>
      <c r="C350" s="54" t="s">
        <v>506</v>
      </c>
      <c r="D350" s="55">
        <v>114</v>
      </c>
      <c r="E350" s="55">
        <v>17.7</v>
      </c>
      <c r="F350" s="55">
        <v>0.25</v>
      </c>
      <c r="G350" s="55">
        <v>4.0999999999999996</v>
      </c>
      <c r="H350" s="55">
        <v>509</v>
      </c>
      <c r="I350" s="55">
        <v>2.9</v>
      </c>
      <c r="J350" s="55">
        <v>38</v>
      </c>
      <c r="K350" s="55">
        <v>0.04</v>
      </c>
      <c r="L350" s="55">
        <v>0.26</v>
      </c>
      <c r="M350" s="55">
        <v>8.8000000000000007</v>
      </c>
      <c r="N350" s="55">
        <v>1</v>
      </c>
      <c r="O350" s="55">
        <v>0</v>
      </c>
      <c r="P350" s="47" t="s">
        <v>51</v>
      </c>
    </row>
    <row r="351" spans="1:16" ht="18" customHeight="1">
      <c r="A351" s="47" t="s">
        <v>459</v>
      </c>
      <c r="B351" s="48" t="s">
        <v>507</v>
      </c>
      <c r="C351" s="54" t="s">
        <v>508</v>
      </c>
      <c r="D351" s="55">
        <v>238</v>
      </c>
      <c r="E351" s="55">
        <v>15</v>
      </c>
      <c r="F351" s="55">
        <v>0.25</v>
      </c>
      <c r="G351" s="55">
        <v>5.3</v>
      </c>
      <c r="H351" s="55">
        <v>435</v>
      </c>
      <c r="I351" s="55">
        <v>4</v>
      </c>
      <c r="J351" s="55">
        <v>0</v>
      </c>
      <c r="K351" s="55">
        <v>0.14000000000000001</v>
      </c>
      <c r="L351" s="55">
        <v>0.12</v>
      </c>
      <c r="M351" s="55">
        <v>6.5</v>
      </c>
      <c r="N351" s="56">
        <v>0</v>
      </c>
      <c r="O351" s="55">
        <v>0</v>
      </c>
      <c r="P351" s="47" t="s">
        <v>51</v>
      </c>
    </row>
    <row r="352" spans="1:16" ht="18" customHeight="1">
      <c r="A352" s="47" t="s">
        <v>509</v>
      </c>
      <c r="B352" s="48" t="s">
        <v>510</v>
      </c>
      <c r="C352" s="54"/>
      <c r="D352" s="55">
        <v>238</v>
      </c>
      <c r="E352" s="55">
        <v>15</v>
      </c>
      <c r="F352" s="55">
        <v>0</v>
      </c>
      <c r="G352" s="55">
        <v>6.2</v>
      </c>
      <c r="H352" s="55">
        <v>435</v>
      </c>
      <c r="I352" s="55">
        <v>4</v>
      </c>
      <c r="J352" s="55">
        <v>0</v>
      </c>
      <c r="K352" s="55">
        <v>0.14000000000000001</v>
      </c>
      <c r="L352" s="55">
        <v>0.12</v>
      </c>
      <c r="M352" s="55">
        <v>6.5</v>
      </c>
      <c r="N352" s="56">
        <v>0</v>
      </c>
      <c r="O352" s="55">
        <v>0</v>
      </c>
      <c r="P352" s="47" t="s">
        <v>51</v>
      </c>
    </row>
    <row r="353" spans="1:16" ht="18" customHeight="1">
      <c r="A353" s="47" t="s">
        <v>459</v>
      </c>
      <c r="B353" s="48" t="s">
        <v>511</v>
      </c>
      <c r="C353" s="54" t="s">
        <v>512</v>
      </c>
      <c r="D353" s="55">
        <v>270</v>
      </c>
      <c r="E353" s="55">
        <v>52.7</v>
      </c>
      <c r="F353" s="55">
        <v>0.55000000000000004</v>
      </c>
      <c r="G353" s="55">
        <v>4.9000000000000004</v>
      </c>
      <c r="H353" s="55">
        <v>1825</v>
      </c>
      <c r="I353" s="55">
        <v>7.5</v>
      </c>
      <c r="J353" s="55">
        <v>0</v>
      </c>
      <c r="K353" s="55">
        <v>0.15</v>
      </c>
      <c r="L353" s="55">
        <v>0.18</v>
      </c>
      <c r="M353" s="55">
        <v>11.6</v>
      </c>
      <c r="N353" s="55">
        <v>0</v>
      </c>
      <c r="O353" s="55">
        <v>0</v>
      </c>
      <c r="P353" s="47" t="s">
        <v>51</v>
      </c>
    </row>
    <row r="354" spans="1:16" ht="18" customHeight="1">
      <c r="A354" s="47" t="s">
        <v>459</v>
      </c>
      <c r="B354" s="48" t="s">
        <v>513</v>
      </c>
      <c r="C354" s="54" t="s">
        <v>514</v>
      </c>
      <c r="D354" s="55">
        <v>303</v>
      </c>
      <c r="E354" s="55">
        <v>33</v>
      </c>
      <c r="F354" s="55">
        <v>0.3</v>
      </c>
      <c r="G354" s="55">
        <v>7.3</v>
      </c>
      <c r="H354" s="55">
        <v>1700</v>
      </c>
      <c r="I354" s="55">
        <v>4</v>
      </c>
      <c r="J354" s="55">
        <v>0</v>
      </c>
      <c r="K354" s="55">
        <v>0.14000000000000001</v>
      </c>
      <c r="L354" s="55">
        <v>0.12</v>
      </c>
      <c r="M354" s="55">
        <v>2</v>
      </c>
      <c r="N354" s="55">
        <v>0</v>
      </c>
      <c r="O354" s="55">
        <v>0</v>
      </c>
      <c r="P354" s="47" t="s">
        <v>59</v>
      </c>
    </row>
    <row r="355" spans="1:16" ht="18" customHeight="1">
      <c r="A355" s="47" t="s">
        <v>459</v>
      </c>
      <c r="B355" s="48" t="s">
        <v>515</v>
      </c>
      <c r="C355" s="54" t="s">
        <v>516</v>
      </c>
      <c r="D355" s="55">
        <v>29</v>
      </c>
      <c r="E355" s="55">
        <v>6.5</v>
      </c>
      <c r="F355" s="55">
        <v>0.1</v>
      </c>
      <c r="G355" s="55">
        <v>5</v>
      </c>
      <c r="H355" s="55">
        <v>540</v>
      </c>
      <c r="I355" s="55">
        <v>1.2</v>
      </c>
      <c r="J355" s="55">
        <v>0</v>
      </c>
      <c r="K355" s="55">
        <v>0.02</v>
      </c>
      <c r="L355" s="55">
        <v>0.03</v>
      </c>
      <c r="M355" s="55">
        <v>2.4</v>
      </c>
      <c r="N355" s="57">
        <v>0</v>
      </c>
      <c r="O355" s="55">
        <v>0</v>
      </c>
      <c r="P355" s="47" t="s">
        <v>51</v>
      </c>
    </row>
    <row r="356" spans="1:16" ht="18" customHeight="1">
      <c r="A356" s="47" t="s">
        <v>459</v>
      </c>
      <c r="B356" s="48" t="s">
        <v>517</v>
      </c>
      <c r="C356" s="54" t="s">
        <v>516</v>
      </c>
      <c r="D356" s="55">
        <v>29</v>
      </c>
      <c r="E356" s="55">
        <v>6.5</v>
      </c>
      <c r="F356" s="55">
        <v>0.3</v>
      </c>
      <c r="G356" s="55">
        <v>3</v>
      </c>
      <c r="H356" s="55">
        <v>29</v>
      </c>
      <c r="I356" s="55">
        <v>1.2</v>
      </c>
      <c r="J356" s="55">
        <v>0</v>
      </c>
      <c r="K356" s="55">
        <v>0.02</v>
      </c>
      <c r="L356" s="55">
        <v>0.03</v>
      </c>
      <c r="M356" s="55">
        <v>2.4</v>
      </c>
      <c r="N356" s="57">
        <v>0</v>
      </c>
      <c r="O356" s="55">
        <v>0</v>
      </c>
      <c r="P356" s="47" t="s">
        <v>51</v>
      </c>
    </row>
    <row r="357" spans="1:16" ht="18" customHeight="1">
      <c r="A357" s="47" t="s">
        <v>459</v>
      </c>
      <c r="B357" s="48" t="s">
        <v>518</v>
      </c>
      <c r="C357" s="54" t="s">
        <v>518</v>
      </c>
      <c r="D357" s="55">
        <v>108</v>
      </c>
      <c r="E357" s="55">
        <v>21.7</v>
      </c>
      <c r="F357" s="55">
        <v>1.1000000000000001</v>
      </c>
      <c r="G357" s="55">
        <v>1.5</v>
      </c>
      <c r="H357" s="55">
        <v>41</v>
      </c>
      <c r="I357" s="55">
        <v>0.4</v>
      </c>
      <c r="J357" s="55">
        <v>0</v>
      </c>
      <c r="K357" s="55">
        <v>0.16</v>
      </c>
      <c r="L357" s="55">
        <v>0.17</v>
      </c>
      <c r="M357" s="55">
        <v>1.6</v>
      </c>
      <c r="N357" s="55">
        <v>0</v>
      </c>
      <c r="O357" s="55">
        <v>37</v>
      </c>
      <c r="P357" s="47" t="s">
        <v>51</v>
      </c>
    </row>
    <row r="358" spans="1:16" ht="18" customHeight="1">
      <c r="A358" s="47" t="s">
        <v>459</v>
      </c>
      <c r="B358" s="48" t="s">
        <v>519</v>
      </c>
      <c r="C358" s="54" t="s">
        <v>520</v>
      </c>
      <c r="D358" s="55">
        <v>347</v>
      </c>
      <c r="E358" s="55">
        <v>74</v>
      </c>
      <c r="F358" s="55">
        <v>0</v>
      </c>
      <c r="G358" s="55">
        <v>2.2799999999999998</v>
      </c>
      <c r="H358" s="55">
        <v>378</v>
      </c>
      <c r="I358" s="55">
        <v>2.5</v>
      </c>
      <c r="J358" s="55">
        <v>0</v>
      </c>
      <c r="K358" s="55">
        <v>0.28999999999999998</v>
      </c>
      <c r="L358" s="55">
        <v>0.22</v>
      </c>
      <c r="M358" s="55">
        <v>5.9</v>
      </c>
      <c r="N358" s="55">
        <v>0</v>
      </c>
      <c r="O358" s="55">
        <v>33</v>
      </c>
      <c r="P358" s="47" t="s">
        <v>51</v>
      </c>
    </row>
    <row r="359" spans="1:16" ht="18" customHeight="1">
      <c r="A359" s="47" t="s">
        <v>459</v>
      </c>
      <c r="B359" s="48" t="s">
        <v>521</v>
      </c>
      <c r="C359" s="54" t="s">
        <v>522</v>
      </c>
      <c r="D359" s="55">
        <v>347</v>
      </c>
      <c r="E359" s="55">
        <v>30</v>
      </c>
      <c r="F359" s="55">
        <v>0</v>
      </c>
      <c r="G359" s="55">
        <v>3.4</v>
      </c>
      <c r="H359" s="55">
        <v>370</v>
      </c>
      <c r="I359" s="55">
        <v>2.5</v>
      </c>
      <c r="J359" s="55">
        <v>0</v>
      </c>
      <c r="K359" s="55">
        <v>0.28999999999999998</v>
      </c>
      <c r="L359" s="55">
        <v>0.22</v>
      </c>
      <c r="M359" s="55">
        <v>5.9</v>
      </c>
      <c r="N359" s="55">
        <v>0</v>
      </c>
      <c r="O359" s="55">
        <v>0</v>
      </c>
      <c r="P359" s="47" t="s">
        <v>51</v>
      </c>
    </row>
    <row r="360" spans="1:16" ht="18" customHeight="1">
      <c r="A360" s="47" t="s">
        <v>459</v>
      </c>
      <c r="B360" s="48" t="s">
        <v>523</v>
      </c>
      <c r="C360" s="54" t="s">
        <v>524</v>
      </c>
      <c r="D360" s="55">
        <v>377</v>
      </c>
      <c r="E360" s="55">
        <v>80.3</v>
      </c>
      <c r="F360" s="55">
        <v>0</v>
      </c>
      <c r="G360" s="55">
        <v>2.96</v>
      </c>
      <c r="H360" s="55">
        <v>415</v>
      </c>
      <c r="I360" s="55">
        <v>2.9</v>
      </c>
      <c r="J360" s="55">
        <v>0</v>
      </c>
      <c r="K360" s="55">
        <v>0.09</v>
      </c>
      <c r="L360" s="55">
        <v>0.28999999999999998</v>
      </c>
      <c r="M360" s="55">
        <v>3.9</v>
      </c>
      <c r="N360" s="55">
        <v>0</v>
      </c>
      <c r="O360" s="55">
        <v>22</v>
      </c>
      <c r="P360" s="47" t="s">
        <v>51</v>
      </c>
    </row>
    <row r="361" spans="1:16" ht="18" customHeight="1">
      <c r="A361" s="47" t="s">
        <v>459</v>
      </c>
      <c r="B361" s="48" t="s">
        <v>525</v>
      </c>
      <c r="C361" s="54" t="s">
        <v>526</v>
      </c>
      <c r="D361" s="55">
        <v>377</v>
      </c>
      <c r="E361" s="55">
        <v>80.3</v>
      </c>
      <c r="F361" s="55">
        <v>0</v>
      </c>
      <c r="G361" s="55">
        <v>3.8</v>
      </c>
      <c r="H361" s="55">
        <v>415</v>
      </c>
      <c r="I361" s="55">
        <v>2.9</v>
      </c>
      <c r="J361" s="55">
        <v>0</v>
      </c>
      <c r="K361" s="55">
        <v>0.09</v>
      </c>
      <c r="L361" s="55">
        <v>0.28999999999999998</v>
      </c>
      <c r="M361" s="55">
        <v>3.9</v>
      </c>
      <c r="N361" s="55">
        <v>0</v>
      </c>
      <c r="O361" s="55">
        <v>0</v>
      </c>
      <c r="P361" s="47" t="s">
        <v>51</v>
      </c>
    </row>
    <row r="362" spans="1:16" ht="18" customHeight="1">
      <c r="A362" s="47" t="s">
        <v>459</v>
      </c>
      <c r="B362" s="48" t="s">
        <v>527</v>
      </c>
      <c r="C362" s="54" t="s">
        <v>528</v>
      </c>
      <c r="D362" s="55">
        <v>98</v>
      </c>
      <c r="E362" s="55">
        <v>19.7</v>
      </c>
      <c r="F362" s="55">
        <v>0</v>
      </c>
      <c r="G362" s="55">
        <v>0.75</v>
      </c>
      <c r="H362" s="55">
        <v>38</v>
      </c>
      <c r="I362" s="55">
        <v>0.5</v>
      </c>
      <c r="J362" s="55">
        <v>30</v>
      </c>
      <c r="K362" s="55">
        <v>0.13</v>
      </c>
      <c r="L362" s="55">
        <v>0.14000000000000001</v>
      </c>
      <c r="M362" s="55">
        <v>1.6</v>
      </c>
      <c r="N362" s="55">
        <v>1</v>
      </c>
      <c r="O362" s="55">
        <v>50</v>
      </c>
      <c r="P362" s="47" t="s">
        <v>51</v>
      </c>
    </row>
    <row r="363" spans="1:16" ht="18" customHeight="1">
      <c r="A363" s="47" t="s">
        <v>459</v>
      </c>
      <c r="B363" s="48" t="s">
        <v>529</v>
      </c>
      <c r="C363" s="54" t="s">
        <v>529</v>
      </c>
      <c r="D363" s="55">
        <v>312</v>
      </c>
      <c r="E363" s="55">
        <v>43.9</v>
      </c>
      <c r="F363" s="55">
        <v>29.2</v>
      </c>
      <c r="G363" s="55">
        <v>1.5</v>
      </c>
      <c r="H363" s="55">
        <v>392</v>
      </c>
      <c r="I363" s="55">
        <v>5.9</v>
      </c>
      <c r="J363" s="55">
        <v>0</v>
      </c>
      <c r="K363" s="55">
        <v>0.03</v>
      </c>
      <c r="L363" s="55">
        <v>0.08</v>
      </c>
      <c r="M363" s="55">
        <v>4.2</v>
      </c>
      <c r="N363" s="55">
        <v>0</v>
      </c>
      <c r="O363" s="55">
        <v>0</v>
      </c>
      <c r="P363" s="47" t="s">
        <v>51</v>
      </c>
    </row>
    <row r="364" spans="1:16" ht="18" customHeight="1">
      <c r="A364" s="47" t="s">
        <v>459</v>
      </c>
      <c r="B364" s="48" t="s">
        <v>530</v>
      </c>
      <c r="C364" s="54" t="s">
        <v>530</v>
      </c>
      <c r="D364" s="55">
        <v>108</v>
      </c>
      <c r="E364" s="55">
        <v>21.7</v>
      </c>
      <c r="F364" s="55">
        <v>0.06</v>
      </c>
      <c r="G364" s="55">
        <v>1.07</v>
      </c>
      <c r="H364" s="55">
        <v>41</v>
      </c>
      <c r="I364" s="55">
        <v>0.4</v>
      </c>
      <c r="J364" s="55">
        <v>0</v>
      </c>
      <c r="K364" s="55">
        <v>0.16</v>
      </c>
      <c r="L364" s="55">
        <v>0.17</v>
      </c>
      <c r="M364" s="55">
        <v>1.6</v>
      </c>
      <c r="N364" s="55">
        <v>0</v>
      </c>
      <c r="O364" s="55">
        <v>0</v>
      </c>
      <c r="P364" s="47" t="s">
        <v>51</v>
      </c>
    </row>
    <row r="365" spans="1:16" ht="18" customHeight="1">
      <c r="A365" s="47" t="s">
        <v>459</v>
      </c>
      <c r="B365" s="48" t="s">
        <v>531</v>
      </c>
      <c r="C365" s="54" t="s">
        <v>531</v>
      </c>
      <c r="D365" s="55">
        <v>372</v>
      </c>
      <c r="E365" s="55">
        <v>82.7</v>
      </c>
      <c r="F365" s="55">
        <v>0</v>
      </c>
      <c r="G365" s="55">
        <v>2.4</v>
      </c>
      <c r="H365" s="55">
        <v>300</v>
      </c>
      <c r="I365" s="55">
        <v>4.9000000000000004</v>
      </c>
      <c r="J365" s="55">
        <v>0</v>
      </c>
      <c r="K365" s="55">
        <v>0.12</v>
      </c>
      <c r="L365" s="55">
        <v>1.25</v>
      </c>
      <c r="M365" s="55">
        <v>5.4</v>
      </c>
      <c r="N365" s="55">
        <v>0</v>
      </c>
      <c r="O365" s="55">
        <v>0</v>
      </c>
      <c r="P365" s="47" t="s">
        <v>51</v>
      </c>
    </row>
    <row r="366" spans="1:16" ht="18" customHeight="1">
      <c r="A366" s="47" t="s">
        <v>459</v>
      </c>
      <c r="B366" s="48" t="s">
        <v>532</v>
      </c>
      <c r="C366" s="54" t="s">
        <v>532</v>
      </c>
      <c r="D366" s="55">
        <v>107</v>
      </c>
      <c r="E366" s="55">
        <v>15.6</v>
      </c>
      <c r="F366" s="55">
        <v>0.6</v>
      </c>
      <c r="G366" s="55">
        <v>4.2</v>
      </c>
      <c r="H366" s="55">
        <v>780</v>
      </c>
      <c r="I366" s="55">
        <v>2.9</v>
      </c>
      <c r="J366" s="55">
        <v>190</v>
      </c>
      <c r="K366" s="55">
        <v>0.1</v>
      </c>
      <c r="L366" s="55">
        <v>0.63</v>
      </c>
      <c r="M366" s="55">
        <v>2.4</v>
      </c>
      <c r="N366" s="55">
        <v>2</v>
      </c>
      <c r="O366" s="55">
        <v>0</v>
      </c>
      <c r="P366" s="47" t="s">
        <v>51</v>
      </c>
    </row>
    <row r="367" spans="1:16" ht="18" customHeight="1">
      <c r="A367" s="47" t="s">
        <v>459</v>
      </c>
      <c r="B367" s="48" t="s">
        <v>533</v>
      </c>
      <c r="C367" s="54" t="s">
        <v>533</v>
      </c>
      <c r="D367" s="55">
        <v>122</v>
      </c>
      <c r="E367" s="55">
        <v>16.5</v>
      </c>
      <c r="F367" s="55">
        <v>0</v>
      </c>
      <c r="G367" s="55">
        <v>5.7</v>
      </c>
      <c r="H367" s="55">
        <v>720</v>
      </c>
      <c r="I367" s="55">
        <v>1</v>
      </c>
      <c r="J367" s="55">
        <v>25</v>
      </c>
      <c r="K367" s="55">
        <v>1</v>
      </c>
      <c r="L367" s="55">
        <v>0.32</v>
      </c>
      <c r="M367" s="55">
        <v>7.4</v>
      </c>
      <c r="N367" s="55">
        <v>5.3</v>
      </c>
      <c r="O367" s="55">
        <v>0</v>
      </c>
      <c r="P367" s="47" t="s">
        <v>51</v>
      </c>
    </row>
    <row r="368" spans="1:16" ht="18" customHeight="1">
      <c r="A368" s="47" t="s">
        <v>459</v>
      </c>
      <c r="B368" s="48" t="s">
        <v>534</v>
      </c>
      <c r="C368" s="54" t="s">
        <v>535</v>
      </c>
      <c r="D368" s="55">
        <v>104</v>
      </c>
      <c r="E368" s="55">
        <v>18</v>
      </c>
      <c r="F368" s="55">
        <v>0</v>
      </c>
      <c r="G368" s="55">
        <v>1.92</v>
      </c>
      <c r="H368" s="55">
        <v>62</v>
      </c>
      <c r="I368" s="55">
        <v>1.1000000000000001</v>
      </c>
      <c r="J368" s="55">
        <v>26</v>
      </c>
      <c r="K368" s="55">
        <v>0.1</v>
      </c>
      <c r="L368" s="55">
        <v>0.06</v>
      </c>
      <c r="M368" s="55">
        <v>2.6</v>
      </c>
      <c r="N368" s="55">
        <v>1</v>
      </c>
      <c r="O368" s="55">
        <v>36</v>
      </c>
      <c r="P368" s="47" t="s">
        <v>51</v>
      </c>
    </row>
    <row r="369" spans="1:16" ht="18" customHeight="1">
      <c r="A369" s="47" t="s">
        <v>459</v>
      </c>
      <c r="B369" s="48" t="s">
        <v>536</v>
      </c>
      <c r="C369" s="54" t="s">
        <v>537</v>
      </c>
      <c r="D369" s="55">
        <v>225</v>
      </c>
      <c r="E369" s="55">
        <v>16.3</v>
      </c>
      <c r="F369" s="55">
        <v>0.11</v>
      </c>
      <c r="G369" s="55">
        <v>8.91</v>
      </c>
      <c r="H369" s="55">
        <v>175</v>
      </c>
      <c r="I369" s="55">
        <v>1.9</v>
      </c>
      <c r="J369" s="55">
        <v>36</v>
      </c>
      <c r="K369" s="55">
        <v>7.0000000000000007E-2</v>
      </c>
      <c r="L369" s="55">
        <v>0.24</v>
      </c>
      <c r="M369" s="55">
        <v>1.9</v>
      </c>
      <c r="N369" s="55">
        <v>1</v>
      </c>
      <c r="O369" s="55">
        <v>46</v>
      </c>
      <c r="P369" s="47" t="s">
        <v>51</v>
      </c>
    </row>
    <row r="370" spans="1:16" ht="18" customHeight="1">
      <c r="A370" s="47" t="s">
        <v>459</v>
      </c>
      <c r="B370" s="48" t="s">
        <v>538</v>
      </c>
      <c r="C370" s="54" t="s">
        <v>538</v>
      </c>
      <c r="D370" s="55">
        <v>302</v>
      </c>
      <c r="E370" s="55">
        <v>48.2</v>
      </c>
      <c r="F370" s="55">
        <v>0.5</v>
      </c>
      <c r="G370" s="55">
        <v>10.3</v>
      </c>
      <c r="H370" s="55">
        <v>1578</v>
      </c>
      <c r="I370" s="55">
        <v>12.5</v>
      </c>
      <c r="J370" s="55">
        <v>116.5</v>
      </c>
      <c r="K370" s="55">
        <v>0.151</v>
      </c>
      <c r="L370" s="55">
        <v>0.151</v>
      </c>
      <c r="M370" s="55">
        <v>4.0999999999999996</v>
      </c>
      <c r="N370" s="55">
        <v>12.7</v>
      </c>
      <c r="O370" s="55">
        <v>0</v>
      </c>
      <c r="P370" s="47" t="s">
        <v>51</v>
      </c>
    </row>
    <row r="371" spans="1:16" ht="18" customHeight="1">
      <c r="A371" s="47" t="s">
        <v>459</v>
      </c>
      <c r="B371" s="48" t="s">
        <v>539</v>
      </c>
      <c r="C371" s="54" t="s">
        <v>540</v>
      </c>
      <c r="D371" s="55">
        <v>62</v>
      </c>
      <c r="E371" s="55">
        <v>12.2</v>
      </c>
      <c r="F371" s="55">
        <v>0.2</v>
      </c>
      <c r="G371" s="55">
        <v>1</v>
      </c>
      <c r="H371" s="55">
        <v>125</v>
      </c>
      <c r="I371" s="55">
        <v>0.1</v>
      </c>
      <c r="J371" s="55">
        <v>23</v>
      </c>
      <c r="K371" s="55">
        <v>0.03</v>
      </c>
      <c r="L371" s="55">
        <v>0.03</v>
      </c>
      <c r="M371" s="55">
        <v>0.8</v>
      </c>
      <c r="N371" s="55">
        <v>2.5</v>
      </c>
      <c r="O371" s="55">
        <v>0</v>
      </c>
      <c r="P371" s="47" t="s">
        <v>51</v>
      </c>
    </row>
    <row r="372" spans="1:16" ht="18" customHeight="1">
      <c r="A372" s="47" t="s">
        <v>459</v>
      </c>
      <c r="B372" s="48" t="s">
        <v>541</v>
      </c>
      <c r="C372" s="54" t="s">
        <v>541</v>
      </c>
      <c r="D372" s="55">
        <v>362</v>
      </c>
      <c r="E372" s="55">
        <v>60.4</v>
      </c>
      <c r="F372" s="55">
        <v>1.2</v>
      </c>
      <c r="G372" s="55">
        <v>11</v>
      </c>
      <c r="H372" s="55">
        <v>982</v>
      </c>
      <c r="I372" s="55">
        <v>3</v>
      </c>
      <c r="J372" s="55">
        <v>0</v>
      </c>
      <c r="K372" s="55">
        <v>0.18</v>
      </c>
      <c r="L372" s="55">
        <v>0.1</v>
      </c>
      <c r="M372" s="55">
        <v>4</v>
      </c>
      <c r="N372" s="55">
        <v>0</v>
      </c>
      <c r="O372" s="55">
        <v>0</v>
      </c>
      <c r="P372" s="47" t="s">
        <v>51</v>
      </c>
    </row>
    <row r="373" spans="1:16" ht="18" customHeight="1">
      <c r="A373" s="47" t="s">
        <v>459</v>
      </c>
      <c r="B373" s="48" t="s">
        <v>542</v>
      </c>
      <c r="C373" s="54" t="s">
        <v>542</v>
      </c>
      <c r="D373" s="55">
        <v>164</v>
      </c>
      <c r="E373" s="55">
        <v>14.8</v>
      </c>
      <c r="F373" s="55">
        <v>0.06</v>
      </c>
      <c r="G373" s="55">
        <v>6.77</v>
      </c>
      <c r="H373" s="55">
        <v>17</v>
      </c>
      <c r="I373" s="55">
        <v>0.2</v>
      </c>
      <c r="J373" s="55">
        <v>79</v>
      </c>
      <c r="K373" s="55">
        <v>0.17</v>
      </c>
      <c r="L373" s="55">
        <v>0.1</v>
      </c>
      <c r="M373" s="55">
        <v>1.7</v>
      </c>
      <c r="N373" s="55">
        <v>0</v>
      </c>
      <c r="O373" s="55">
        <v>39</v>
      </c>
      <c r="P373" s="47" t="s">
        <v>51</v>
      </c>
    </row>
    <row r="374" spans="1:16" ht="18" customHeight="1">
      <c r="A374" s="47" t="s">
        <v>459</v>
      </c>
      <c r="B374" s="48" t="s">
        <v>543</v>
      </c>
      <c r="C374" s="54" t="s">
        <v>544</v>
      </c>
      <c r="D374" s="55">
        <v>126</v>
      </c>
      <c r="E374" s="55">
        <v>13.3</v>
      </c>
      <c r="F374" s="55">
        <v>0.51</v>
      </c>
      <c r="G374" s="55">
        <v>3.74</v>
      </c>
      <c r="H374" s="55">
        <v>127</v>
      </c>
      <c r="I374" s="55">
        <v>1.8</v>
      </c>
      <c r="J374" s="55">
        <v>20</v>
      </c>
      <c r="K374" s="55">
        <v>0.09</v>
      </c>
      <c r="L374" s="55">
        <v>0.15</v>
      </c>
      <c r="M374" s="55">
        <v>0.97</v>
      </c>
      <c r="N374" s="55">
        <v>2</v>
      </c>
      <c r="O374" s="55">
        <v>15</v>
      </c>
      <c r="P374" s="47" t="s">
        <v>51</v>
      </c>
    </row>
    <row r="375" spans="1:16" ht="18" customHeight="1">
      <c r="A375" s="47" t="s">
        <v>459</v>
      </c>
      <c r="B375" s="48" t="s">
        <v>545</v>
      </c>
      <c r="C375" s="54" t="s">
        <v>546</v>
      </c>
      <c r="D375" s="55">
        <v>158</v>
      </c>
      <c r="E375" s="55">
        <v>17.3</v>
      </c>
      <c r="F375" s="55">
        <v>7.0000000000000007E-2</v>
      </c>
      <c r="G375" s="55">
        <v>7.63</v>
      </c>
      <c r="H375" s="55">
        <v>15</v>
      </c>
      <c r="I375" s="55">
        <v>0.3</v>
      </c>
      <c r="J375" s="55">
        <v>49</v>
      </c>
      <c r="K375" s="55">
        <v>0.06</v>
      </c>
      <c r="L375" s="55">
        <v>0.25</v>
      </c>
      <c r="M375" s="55">
        <v>4.5999999999999996</v>
      </c>
      <c r="N375" s="55">
        <v>0</v>
      </c>
      <c r="O375" s="55">
        <v>28</v>
      </c>
      <c r="P375" s="47" t="s">
        <v>51</v>
      </c>
    </row>
    <row r="376" spans="1:16" ht="18" customHeight="1">
      <c r="A376" s="47" t="s">
        <v>459</v>
      </c>
      <c r="B376" s="48" t="s">
        <v>547</v>
      </c>
      <c r="C376" s="54" t="s">
        <v>548</v>
      </c>
      <c r="D376" s="55">
        <v>166</v>
      </c>
      <c r="E376" s="55">
        <v>19.7</v>
      </c>
      <c r="F376" s="55">
        <v>0.09</v>
      </c>
      <c r="G376" s="55">
        <v>0.77</v>
      </c>
      <c r="H376" s="55">
        <v>35</v>
      </c>
      <c r="I376" s="55">
        <v>0.9</v>
      </c>
      <c r="J376" s="55">
        <v>23</v>
      </c>
      <c r="K376" s="55">
        <v>0.12</v>
      </c>
      <c r="L376" s="55">
        <v>0.1</v>
      </c>
      <c r="M376" s="55">
        <v>3.7</v>
      </c>
      <c r="N376" s="55">
        <v>0</v>
      </c>
      <c r="O376" s="55">
        <v>35</v>
      </c>
      <c r="P376" s="47" t="s">
        <v>51</v>
      </c>
    </row>
    <row r="377" spans="1:16" ht="18" customHeight="1">
      <c r="A377" s="47" t="s">
        <v>459</v>
      </c>
      <c r="B377" s="48" t="s">
        <v>549</v>
      </c>
      <c r="C377" s="54" t="s">
        <v>550</v>
      </c>
      <c r="D377" s="55">
        <v>121</v>
      </c>
      <c r="E377" s="55">
        <v>21</v>
      </c>
      <c r="F377" s="55">
        <v>0.06</v>
      </c>
      <c r="G377" s="55">
        <v>2.11</v>
      </c>
      <c r="H377" s="55">
        <v>35</v>
      </c>
      <c r="I377" s="55">
        <v>1.3</v>
      </c>
      <c r="J377" s="55">
        <v>26</v>
      </c>
      <c r="K377" s="55">
        <v>0.46</v>
      </c>
      <c r="L377" s="55">
        <v>0.12</v>
      </c>
      <c r="M377" s="55">
        <v>9.8000000000000007</v>
      </c>
      <c r="N377" s="55">
        <v>1</v>
      </c>
      <c r="O377" s="55">
        <v>38</v>
      </c>
      <c r="P377" s="47" t="s">
        <v>51</v>
      </c>
    </row>
    <row r="378" spans="1:16" ht="18" customHeight="1">
      <c r="A378" s="47" t="s">
        <v>459</v>
      </c>
      <c r="B378" s="48" t="s">
        <v>551</v>
      </c>
      <c r="C378" s="54" t="s">
        <v>551</v>
      </c>
      <c r="D378" s="55">
        <v>60</v>
      </c>
      <c r="E378" s="55">
        <v>12.9</v>
      </c>
      <c r="F378" s="55">
        <v>0.09</v>
      </c>
      <c r="G378" s="55">
        <v>0.22</v>
      </c>
      <c r="H378" s="55">
        <v>19</v>
      </c>
      <c r="I378" s="55">
        <v>0.9</v>
      </c>
      <c r="J378" s="55">
        <v>49</v>
      </c>
      <c r="K378" s="55">
        <v>0.05</v>
      </c>
      <c r="L378" s="55">
        <v>7.0000000000000007E-2</v>
      </c>
      <c r="M378" s="55">
        <v>1.3</v>
      </c>
      <c r="N378" s="55">
        <v>0</v>
      </c>
      <c r="O378" s="55">
        <v>0</v>
      </c>
      <c r="P378" s="47" t="s">
        <v>51</v>
      </c>
    </row>
    <row r="379" spans="1:16" ht="18" customHeight="1">
      <c r="A379" s="47" t="s">
        <v>459</v>
      </c>
      <c r="B379" s="48" t="s">
        <v>552</v>
      </c>
      <c r="C379" s="54" t="s">
        <v>553</v>
      </c>
      <c r="D379" s="55">
        <v>209</v>
      </c>
      <c r="E379" s="55">
        <v>29.9</v>
      </c>
      <c r="F379" s="55">
        <v>0.8</v>
      </c>
      <c r="G379" s="55">
        <v>5.7</v>
      </c>
      <c r="H379" s="55">
        <v>115</v>
      </c>
      <c r="I379" s="55">
        <v>1.5</v>
      </c>
      <c r="J379" s="55">
        <v>103</v>
      </c>
      <c r="K379" s="55">
        <v>0.24</v>
      </c>
      <c r="L379" s="55">
        <v>0.43</v>
      </c>
      <c r="M379" s="55">
        <v>5.9</v>
      </c>
      <c r="N379" s="55">
        <v>1</v>
      </c>
      <c r="O379" s="55">
        <v>48</v>
      </c>
      <c r="P379" s="47" t="s">
        <v>51</v>
      </c>
    </row>
    <row r="380" spans="1:16" ht="18" customHeight="1">
      <c r="A380" s="47" t="s">
        <v>459</v>
      </c>
      <c r="B380" s="48" t="s">
        <v>554</v>
      </c>
      <c r="C380" s="54" t="s">
        <v>555</v>
      </c>
      <c r="D380" s="55">
        <v>209</v>
      </c>
      <c r="E380" s="55">
        <v>29.9</v>
      </c>
      <c r="F380" s="55">
        <v>0.8</v>
      </c>
      <c r="G380" s="55">
        <v>5.7</v>
      </c>
      <c r="H380" s="55">
        <v>115</v>
      </c>
      <c r="I380" s="55">
        <v>1.5</v>
      </c>
      <c r="J380" s="55">
        <v>103</v>
      </c>
      <c r="K380" s="55">
        <v>0.24</v>
      </c>
      <c r="L380" s="55">
        <v>0.43</v>
      </c>
      <c r="M380" s="55">
        <v>5.9</v>
      </c>
      <c r="N380" s="55">
        <v>1</v>
      </c>
      <c r="O380" s="55">
        <v>33</v>
      </c>
      <c r="P380" s="47" t="s">
        <v>51</v>
      </c>
    </row>
    <row r="381" spans="1:16" ht="18" customHeight="1">
      <c r="A381" s="47" t="s">
        <v>459</v>
      </c>
      <c r="B381" s="48" t="s">
        <v>556</v>
      </c>
      <c r="C381" s="54" t="s">
        <v>557</v>
      </c>
      <c r="D381" s="55">
        <v>242</v>
      </c>
      <c r="E381" s="55">
        <v>21.2</v>
      </c>
      <c r="F381" s="55">
        <v>1.06</v>
      </c>
      <c r="G381" s="55">
        <v>8.86</v>
      </c>
      <c r="H381" s="55">
        <v>7</v>
      </c>
      <c r="I381" s="55">
        <v>1.3</v>
      </c>
      <c r="J381" s="55">
        <v>12</v>
      </c>
      <c r="K381" s="55">
        <v>0.06</v>
      </c>
      <c r="L381" s="55">
        <v>0.21</v>
      </c>
      <c r="M381" s="55">
        <v>8.8000000000000007</v>
      </c>
      <c r="N381" s="55">
        <v>1</v>
      </c>
      <c r="O381" s="55">
        <v>45</v>
      </c>
      <c r="P381" s="47" t="s">
        <v>51</v>
      </c>
    </row>
    <row r="382" spans="1:16" ht="18" customHeight="1">
      <c r="A382" s="47" t="s">
        <v>459</v>
      </c>
      <c r="B382" s="48" t="s">
        <v>558</v>
      </c>
      <c r="C382" s="54" t="s">
        <v>559</v>
      </c>
      <c r="D382" s="55">
        <v>161</v>
      </c>
      <c r="E382" s="55">
        <v>20.6</v>
      </c>
      <c r="F382" s="55">
        <v>1.1100000000000001</v>
      </c>
      <c r="G382" s="55">
        <v>4.78</v>
      </c>
      <c r="H382" s="55">
        <v>19</v>
      </c>
      <c r="I382" s="55">
        <v>1.1000000000000001</v>
      </c>
      <c r="J382" s="55">
        <v>56</v>
      </c>
      <c r="K382" s="55">
        <v>0.28000000000000003</v>
      </c>
      <c r="L382" s="55">
        <v>0.1</v>
      </c>
      <c r="M382" s="55">
        <v>7.8</v>
      </c>
      <c r="N382" s="55">
        <v>1</v>
      </c>
      <c r="O382" s="55">
        <v>41</v>
      </c>
      <c r="P382" s="47" t="s">
        <v>51</v>
      </c>
    </row>
    <row r="383" spans="1:16" ht="18" customHeight="1">
      <c r="A383" s="47" t="s">
        <v>459</v>
      </c>
      <c r="B383" s="48" t="s">
        <v>560</v>
      </c>
      <c r="C383" s="54" t="s">
        <v>560</v>
      </c>
      <c r="D383" s="55">
        <v>93</v>
      </c>
      <c r="E383" s="55">
        <v>17.899999999999999</v>
      </c>
      <c r="F383" s="55">
        <v>1.23</v>
      </c>
      <c r="G383" s="55">
        <v>1.01</v>
      </c>
      <c r="H383" s="55">
        <v>65</v>
      </c>
      <c r="I383" s="55">
        <v>0.7</v>
      </c>
      <c r="J383" s="55">
        <v>7</v>
      </c>
      <c r="K383" s="55">
        <v>0.03</v>
      </c>
      <c r="L383" s="55">
        <v>0.09</v>
      </c>
      <c r="M383" s="55">
        <v>4.5</v>
      </c>
      <c r="N383" s="55">
        <v>0</v>
      </c>
      <c r="O383" s="55">
        <v>44</v>
      </c>
      <c r="P383" s="47" t="s">
        <v>51</v>
      </c>
    </row>
    <row r="384" spans="1:16" ht="18" customHeight="1">
      <c r="A384" s="47" t="s">
        <v>459</v>
      </c>
      <c r="B384" s="48" t="s">
        <v>485</v>
      </c>
      <c r="C384" s="54" t="s">
        <v>561</v>
      </c>
      <c r="D384" s="55">
        <v>178</v>
      </c>
      <c r="E384" s="55">
        <v>20.100000000000001</v>
      </c>
      <c r="F384" s="55">
        <v>0.16</v>
      </c>
      <c r="G384" s="55">
        <v>7.84</v>
      </c>
      <c r="H384" s="55">
        <v>26</v>
      </c>
      <c r="I384" s="55">
        <v>8</v>
      </c>
      <c r="J384" s="55">
        <v>0</v>
      </c>
      <c r="K384" s="55">
        <v>0.04</v>
      </c>
      <c r="L384" s="55">
        <v>0.11</v>
      </c>
      <c r="M384" s="55">
        <v>7</v>
      </c>
      <c r="N384" s="55">
        <v>0</v>
      </c>
      <c r="O384" s="55">
        <v>20</v>
      </c>
      <c r="P384" s="47" t="s">
        <v>51</v>
      </c>
    </row>
    <row r="385" spans="1:23" ht="18" customHeight="1">
      <c r="A385" s="47" t="s">
        <v>459</v>
      </c>
      <c r="B385" s="48" t="s">
        <v>562</v>
      </c>
      <c r="C385" s="54" t="s">
        <v>562</v>
      </c>
      <c r="D385" s="55">
        <v>105</v>
      </c>
      <c r="E385" s="55">
        <v>16.3</v>
      </c>
      <c r="F385" s="55">
        <v>1.1299999999999999</v>
      </c>
      <c r="G385" s="55">
        <v>1.95</v>
      </c>
      <c r="H385" s="55">
        <v>93</v>
      </c>
      <c r="I385" s="55">
        <v>0.4</v>
      </c>
      <c r="J385" s="55">
        <v>5</v>
      </c>
      <c r="K385" s="55">
        <v>0.03</v>
      </c>
      <c r="L385" s="55">
        <v>0.02</v>
      </c>
      <c r="M385" s="55">
        <v>1.3</v>
      </c>
      <c r="N385" s="55">
        <v>1</v>
      </c>
      <c r="O385" s="55">
        <v>37</v>
      </c>
      <c r="P385" s="47" t="s">
        <v>51</v>
      </c>
      <c r="W385" s="52" t="s">
        <v>563</v>
      </c>
    </row>
    <row r="386" spans="1:23" ht="18" customHeight="1">
      <c r="A386" s="47" t="s">
        <v>459</v>
      </c>
      <c r="B386" s="48" t="s">
        <v>564</v>
      </c>
      <c r="C386" s="54" t="s">
        <v>565</v>
      </c>
      <c r="D386" s="55">
        <v>166</v>
      </c>
      <c r="E386" s="55">
        <v>19.7</v>
      </c>
      <c r="F386" s="55">
        <v>0</v>
      </c>
      <c r="G386" s="55">
        <v>5.72</v>
      </c>
      <c r="H386" s="55">
        <v>35</v>
      </c>
      <c r="I386" s="55">
        <v>0.9</v>
      </c>
      <c r="J386" s="55">
        <v>23</v>
      </c>
      <c r="K386" s="55">
        <v>0.12</v>
      </c>
      <c r="L386" s="55">
        <v>0.1</v>
      </c>
      <c r="M386" s="55">
        <v>3.7</v>
      </c>
      <c r="N386" s="57">
        <v>0</v>
      </c>
      <c r="O386" s="55">
        <v>35</v>
      </c>
      <c r="P386" s="47" t="s">
        <v>51</v>
      </c>
      <c r="W386" s="52" t="s">
        <v>566</v>
      </c>
    </row>
    <row r="387" spans="1:23" ht="18" customHeight="1">
      <c r="A387" s="47" t="s">
        <v>459</v>
      </c>
      <c r="B387" s="48" t="s">
        <v>567</v>
      </c>
      <c r="C387" s="54" t="s">
        <v>568</v>
      </c>
      <c r="D387" s="55">
        <v>204</v>
      </c>
      <c r="E387" s="55">
        <v>17.100000000000001</v>
      </c>
      <c r="F387" s="55">
        <v>0.1</v>
      </c>
      <c r="G387" s="55">
        <v>7.49</v>
      </c>
      <c r="H387" s="55">
        <v>110</v>
      </c>
      <c r="I387" s="55">
        <v>1.5</v>
      </c>
      <c r="J387" s="55">
        <v>6</v>
      </c>
      <c r="K387" s="55">
        <v>0.02</v>
      </c>
      <c r="L387" s="55">
        <v>0.27</v>
      </c>
      <c r="M387" s="55">
        <v>3.4</v>
      </c>
      <c r="N387" s="55">
        <v>0</v>
      </c>
      <c r="O387" s="55">
        <v>48</v>
      </c>
      <c r="P387" s="47" t="s">
        <v>51</v>
      </c>
    </row>
    <row r="388" spans="1:23" ht="18" customHeight="1">
      <c r="A388" s="47" t="s">
        <v>459</v>
      </c>
      <c r="B388" s="48" t="s">
        <v>569</v>
      </c>
      <c r="C388" s="54" t="s">
        <v>570</v>
      </c>
      <c r="D388" s="55">
        <v>184</v>
      </c>
      <c r="E388" s="55">
        <v>10.4</v>
      </c>
      <c r="F388" s="55">
        <v>0</v>
      </c>
      <c r="G388" s="55">
        <v>14.9</v>
      </c>
      <c r="H388" s="55">
        <v>12.6</v>
      </c>
      <c r="I388" s="55">
        <v>90</v>
      </c>
      <c r="J388" s="55">
        <v>0.1</v>
      </c>
      <c r="K388" s="55">
        <v>0.25</v>
      </c>
      <c r="L388" s="55">
        <v>1.7</v>
      </c>
      <c r="M388" s="55">
        <v>0</v>
      </c>
      <c r="N388" s="55">
        <v>0</v>
      </c>
      <c r="O388" s="55">
        <v>0</v>
      </c>
      <c r="P388" s="47" t="s">
        <v>51</v>
      </c>
      <c r="W388" s="52" t="s">
        <v>571</v>
      </c>
    </row>
    <row r="389" spans="1:23" ht="18" customHeight="1">
      <c r="A389" s="47" t="s">
        <v>459</v>
      </c>
      <c r="B389" s="48" t="s">
        <v>572</v>
      </c>
      <c r="C389" s="54" t="s">
        <v>570</v>
      </c>
      <c r="D389" s="55">
        <v>113</v>
      </c>
      <c r="E389" s="55">
        <v>13.5</v>
      </c>
      <c r="F389" s="55">
        <v>0.5</v>
      </c>
      <c r="G389" s="55">
        <v>5.9</v>
      </c>
      <c r="H389" s="55">
        <v>432</v>
      </c>
      <c r="I389" s="55">
        <v>2.2999999999999998</v>
      </c>
      <c r="J389" s="55">
        <v>55</v>
      </c>
      <c r="K389" s="55">
        <v>0.03</v>
      </c>
      <c r="L389" s="55">
        <v>0.2</v>
      </c>
      <c r="M389" s="55">
        <v>3.1</v>
      </c>
      <c r="N389" s="55">
        <v>0</v>
      </c>
      <c r="O389" s="55">
        <v>0</v>
      </c>
      <c r="P389" s="47" t="s">
        <v>51</v>
      </c>
    </row>
    <row r="390" spans="1:23" ht="18" customHeight="1">
      <c r="A390" s="47" t="s">
        <v>459</v>
      </c>
      <c r="B390" s="48" t="s">
        <v>573</v>
      </c>
      <c r="C390" s="54" t="s">
        <v>570</v>
      </c>
      <c r="D390" s="55">
        <v>372</v>
      </c>
      <c r="E390" s="55">
        <v>82.7</v>
      </c>
      <c r="F390" s="55">
        <v>2.7</v>
      </c>
      <c r="G390" s="55">
        <v>3</v>
      </c>
      <c r="H390" s="55">
        <v>300</v>
      </c>
      <c r="I390" s="55">
        <v>4.9000000000000004</v>
      </c>
      <c r="J390" s="55">
        <v>0</v>
      </c>
      <c r="K390" s="55">
        <v>0.12</v>
      </c>
      <c r="L390" s="55">
        <v>0.125</v>
      </c>
      <c r="M390" s="55">
        <v>5.4</v>
      </c>
      <c r="N390" s="55">
        <v>0</v>
      </c>
      <c r="O390" s="55">
        <v>0</v>
      </c>
      <c r="P390" s="47" t="s">
        <v>51</v>
      </c>
    </row>
    <row r="391" spans="1:23" ht="18" customHeight="1">
      <c r="A391" s="47" t="s">
        <v>459</v>
      </c>
      <c r="B391" s="48" t="s">
        <v>574</v>
      </c>
      <c r="C391" s="54" t="s">
        <v>570</v>
      </c>
      <c r="D391" s="55">
        <v>182</v>
      </c>
      <c r="E391" s="55">
        <v>17.8</v>
      </c>
      <c r="F391" s="55">
        <v>0.2</v>
      </c>
      <c r="G391" s="55">
        <v>11.7</v>
      </c>
      <c r="H391" s="55">
        <v>869</v>
      </c>
      <c r="I391" s="55">
        <v>1.8</v>
      </c>
      <c r="J391" s="55">
        <v>181</v>
      </c>
      <c r="K391" s="55">
        <v>0.1</v>
      </c>
      <c r="L391" s="55">
        <v>0.12</v>
      </c>
      <c r="M391" s="55">
        <v>1.5</v>
      </c>
      <c r="N391" s="55">
        <v>0</v>
      </c>
      <c r="O391" s="55">
        <v>0</v>
      </c>
      <c r="P391" s="47" t="s">
        <v>51</v>
      </c>
    </row>
    <row r="392" spans="1:23" ht="18" customHeight="1">
      <c r="A392" s="47" t="s">
        <v>459</v>
      </c>
      <c r="B392" s="48" t="s">
        <v>575</v>
      </c>
      <c r="C392" s="54" t="s">
        <v>570</v>
      </c>
      <c r="D392" s="55">
        <v>81</v>
      </c>
      <c r="E392" s="55">
        <v>15.9</v>
      </c>
      <c r="F392" s="55">
        <v>2</v>
      </c>
      <c r="G392" s="55">
        <v>0.6</v>
      </c>
      <c r="H392" s="55">
        <v>71</v>
      </c>
      <c r="I392" s="55">
        <v>8.4</v>
      </c>
      <c r="J392" s="55">
        <v>30</v>
      </c>
      <c r="K392" s="55">
        <v>0.12</v>
      </c>
      <c r="L392" s="55">
        <v>0.44</v>
      </c>
      <c r="M392" s="55">
        <v>6.7</v>
      </c>
      <c r="N392" s="55">
        <v>0</v>
      </c>
      <c r="O392" s="55">
        <v>0</v>
      </c>
      <c r="P392" s="47" t="s">
        <v>51</v>
      </c>
    </row>
    <row r="393" spans="1:23" ht="18" customHeight="1">
      <c r="A393" s="47" t="s">
        <v>459</v>
      </c>
      <c r="B393" s="48" t="s">
        <v>576</v>
      </c>
      <c r="C393" s="54" t="s">
        <v>570</v>
      </c>
      <c r="D393" s="55">
        <v>116</v>
      </c>
      <c r="E393" s="55">
        <v>12.9</v>
      </c>
      <c r="F393" s="55">
        <v>8.1999999999999993</v>
      </c>
      <c r="G393" s="55">
        <v>3.2</v>
      </c>
      <c r="H393" s="55">
        <v>99</v>
      </c>
      <c r="I393" s="55">
        <v>1.4</v>
      </c>
      <c r="J393" s="55">
        <v>6</v>
      </c>
      <c r="K393" s="55">
        <v>0.13</v>
      </c>
      <c r="L393" s="55">
        <v>0.2</v>
      </c>
      <c r="M393" s="55">
        <v>3.3</v>
      </c>
      <c r="N393" s="55">
        <v>0</v>
      </c>
      <c r="O393" s="55">
        <v>0</v>
      </c>
      <c r="P393" s="47" t="s">
        <v>51</v>
      </c>
    </row>
    <row r="394" spans="1:23" ht="18" customHeight="1">
      <c r="A394" s="47" t="s">
        <v>459</v>
      </c>
      <c r="B394" s="48" t="s">
        <v>577</v>
      </c>
      <c r="C394" s="54" t="s">
        <v>578</v>
      </c>
      <c r="D394" s="55">
        <v>171</v>
      </c>
      <c r="E394" s="55">
        <v>20</v>
      </c>
      <c r="F394" s="55">
        <v>0.11</v>
      </c>
      <c r="G394" s="55">
        <v>5.0999999999999996</v>
      </c>
      <c r="H394" s="55">
        <v>94</v>
      </c>
      <c r="I394" s="55">
        <v>1.9</v>
      </c>
      <c r="J394" s="55">
        <v>21</v>
      </c>
      <c r="K394" s="55">
        <v>0.03</v>
      </c>
      <c r="L394" s="55">
        <v>0.35</v>
      </c>
      <c r="M394" s="55">
        <v>8.1</v>
      </c>
      <c r="N394" s="55">
        <v>1</v>
      </c>
      <c r="O394" s="55">
        <v>45</v>
      </c>
      <c r="P394" s="47" t="s">
        <v>51</v>
      </c>
    </row>
    <row r="395" spans="1:23" ht="18" customHeight="1">
      <c r="A395" s="47" t="s">
        <v>459</v>
      </c>
      <c r="B395" s="48" t="s">
        <v>579</v>
      </c>
      <c r="C395" s="54" t="s">
        <v>579</v>
      </c>
      <c r="D395" s="55">
        <v>128</v>
      </c>
      <c r="E395" s="55">
        <v>19.3</v>
      </c>
      <c r="F395" s="55">
        <v>0.3</v>
      </c>
      <c r="G395" s="55">
        <v>4.8</v>
      </c>
      <c r="H395" s="55">
        <v>241</v>
      </c>
      <c r="I395" s="55">
        <v>8</v>
      </c>
      <c r="J395" s="55">
        <v>0</v>
      </c>
      <c r="K395" s="55">
        <v>0.04</v>
      </c>
      <c r="L395" s="55">
        <v>0.13</v>
      </c>
      <c r="M395" s="55">
        <v>9</v>
      </c>
      <c r="N395" s="55">
        <v>0</v>
      </c>
      <c r="O395" s="55">
        <v>0</v>
      </c>
      <c r="P395" s="47" t="s">
        <v>51</v>
      </c>
    </row>
    <row r="396" spans="1:23" ht="18" customHeight="1">
      <c r="A396" s="47" t="s">
        <v>459</v>
      </c>
      <c r="B396" s="48" t="s">
        <v>580</v>
      </c>
      <c r="C396" s="54" t="s">
        <v>581</v>
      </c>
      <c r="D396" s="55">
        <v>138</v>
      </c>
      <c r="E396" s="55">
        <v>19.2</v>
      </c>
      <c r="F396" s="55">
        <v>0.06</v>
      </c>
      <c r="G396" s="55">
        <v>3.72</v>
      </c>
      <c r="H396" s="55">
        <v>77</v>
      </c>
      <c r="I396" s="55">
        <v>0.9</v>
      </c>
      <c r="J396" s="55">
        <v>15</v>
      </c>
      <c r="K396" s="55">
        <v>0.06</v>
      </c>
      <c r="L396" s="55">
        <v>0.23</v>
      </c>
      <c r="M396" s="55">
        <v>1</v>
      </c>
      <c r="N396" s="55">
        <v>1</v>
      </c>
      <c r="O396" s="55">
        <v>40</v>
      </c>
      <c r="P396" s="47" t="s">
        <v>51</v>
      </c>
    </row>
    <row r="397" spans="1:23" ht="18" customHeight="1">
      <c r="A397" s="47" t="s">
        <v>459</v>
      </c>
      <c r="B397" s="48" t="s">
        <v>582</v>
      </c>
      <c r="C397" s="54" t="s">
        <v>583</v>
      </c>
      <c r="D397" s="55">
        <v>178</v>
      </c>
      <c r="E397" s="55">
        <v>18.600000000000001</v>
      </c>
      <c r="F397" s="55">
        <v>0.06</v>
      </c>
      <c r="G397" s="55">
        <v>6.43</v>
      </c>
      <c r="H397" s="55">
        <v>72</v>
      </c>
      <c r="I397" s="55">
        <v>0.9</v>
      </c>
      <c r="J397" s="55">
        <v>50</v>
      </c>
      <c r="K397" s="55">
        <v>0.05</v>
      </c>
      <c r="L397" s="55">
        <v>0.18</v>
      </c>
      <c r="M397" s="55">
        <v>1.1000000000000001</v>
      </c>
      <c r="N397" s="55">
        <v>1</v>
      </c>
      <c r="O397" s="55">
        <v>41</v>
      </c>
      <c r="P397" s="47" t="s">
        <v>51</v>
      </c>
    </row>
    <row r="398" spans="1:23" ht="18" customHeight="1">
      <c r="A398" s="47" t="s">
        <v>459</v>
      </c>
      <c r="B398" s="48" t="s">
        <v>584</v>
      </c>
      <c r="C398" s="54" t="s">
        <v>585</v>
      </c>
      <c r="D398" s="55">
        <v>250</v>
      </c>
      <c r="E398" s="55">
        <v>10</v>
      </c>
      <c r="F398" s="55">
        <v>34.299999999999997</v>
      </c>
      <c r="G398" s="55">
        <v>2.2999999999999998</v>
      </c>
      <c r="H398" s="55">
        <v>202</v>
      </c>
      <c r="I398" s="55">
        <v>2</v>
      </c>
      <c r="J398" s="55">
        <v>0</v>
      </c>
      <c r="K398" s="55">
        <v>0.19</v>
      </c>
      <c r="L398" s="55">
        <v>0.32</v>
      </c>
      <c r="M398" s="55">
        <v>1</v>
      </c>
      <c r="N398" s="55">
        <v>0</v>
      </c>
      <c r="O398" s="55">
        <v>0</v>
      </c>
      <c r="P398" s="47" t="s">
        <v>51</v>
      </c>
    </row>
    <row r="399" spans="1:23" ht="18" customHeight="1">
      <c r="A399" s="47" t="s">
        <v>509</v>
      </c>
      <c r="B399" s="48" t="s">
        <v>586</v>
      </c>
      <c r="C399" s="54" t="s">
        <v>587</v>
      </c>
      <c r="D399" s="55">
        <v>250</v>
      </c>
      <c r="E399" s="55">
        <v>10</v>
      </c>
      <c r="F399" s="55">
        <v>34.299999999999997</v>
      </c>
      <c r="G399" s="55">
        <v>2.2999999999999998</v>
      </c>
      <c r="H399" s="55">
        <v>202</v>
      </c>
      <c r="I399" s="55">
        <v>2</v>
      </c>
      <c r="J399" s="55">
        <v>0</v>
      </c>
      <c r="K399" s="55">
        <v>0.19</v>
      </c>
      <c r="L399" s="55">
        <v>0.32</v>
      </c>
      <c r="M399" s="55">
        <v>1</v>
      </c>
      <c r="N399" s="55">
        <v>0</v>
      </c>
      <c r="O399" s="55">
        <v>0</v>
      </c>
      <c r="P399" s="47" t="s">
        <v>104</v>
      </c>
    </row>
    <row r="400" spans="1:23" ht="18" customHeight="1">
      <c r="A400" s="47" t="s">
        <v>509</v>
      </c>
      <c r="B400" s="48" t="s">
        <v>588</v>
      </c>
      <c r="C400" s="54"/>
      <c r="D400" s="55">
        <v>250</v>
      </c>
      <c r="E400" s="55">
        <v>10</v>
      </c>
      <c r="F400" s="55">
        <v>34.299999999999997</v>
      </c>
      <c r="G400" s="55">
        <v>2.5</v>
      </c>
      <c r="H400" s="55">
        <v>202</v>
      </c>
      <c r="I400" s="55">
        <v>2</v>
      </c>
      <c r="J400" s="55">
        <v>0</v>
      </c>
      <c r="K400" s="55">
        <v>0.19</v>
      </c>
      <c r="L400" s="55">
        <v>0.32</v>
      </c>
      <c r="M400" s="55">
        <v>1</v>
      </c>
      <c r="N400" s="55">
        <v>0</v>
      </c>
      <c r="O400" s="55">
        <v>0</v>
      </c>
      <c r="P400" s="47" t="s">
        <v>104</v>
      </c>
    </row>
    <row r="401" spans="1:16" ht="18" customHeight="1">
      <c r="A401" s="47"/>
      <c r="B401" s="48" t="s">
        <v>589</v>
      </c>
      <c r="C401" s="54"/>
      <c r="D401" s="55">
        <v>200</v>
      </c>
      <c r="E401" s="55">
        <v>5</v>
      </c>
      <c r="F401" s="55">
        <v>34.299999999999997</v>
      </c>
      <c r="G401" s="55">
        <v>2.2999999999999998</v>
      </c>
      <c r="H401" s="55">
        <v>101</v>
      </c>
      <c r="I401" s="55">
        <v>1</v>
      </c>
      <c r="J401" s="55">
        <v>0</v>
      </c>
      <c r="K401" s="55">
        <v>0.8</v>
      </c>
      <c r="L401" s="55">
        <v>0.18</v>
      </c>
      <c r="M401" s="55">
        <v>1</v>
      </c>
      <c r="N401" s="55">
        <v>0</v>
      </c>
      <c r="O401" s="55">
        <v>0</v>
      </c>
    </row>
    <row r="402" spans="1:16" ht="18" customHeight="1">
      <c r="A402" s="47"/>
      <c r="B402" s="48" t="s">
        <v>1956</v>
      </c>
      <c r="C402" s="54"/>
      <c r="D402" s="55">
        <v>110</v>
      </c>
      <c r="E402" s="55">
        <v>4</v>
      </c>
      <c r="F402" s="55">
        <v>24</v>
      </c>
      <c r="G402" s="55">
        <v>0</v>
      </c>
      <c r="H402" s="55">
        <v>0</v>
      </c>
      <c r="I402" s="55">
        <v>0</v>
      </c>
      <c r="J402" s="55">
        <v>0</v>
      </c>
      <c r="K402" s="55">
        <v>0</v>
      </c>
      <c r="L402" s="55">
        <v>0</v>
      </c>
      <c r="M402" s="55">
        <v>0</v>
      </c>
      <c r="N402" s="55">
        <v>0</v>
      </c>
      <c r="O402" s="55">
        <v>0</v>
      </c>
    </row>
    <row r="403" spans="1:16" ht="18" customHeight="1">
      <c r="A403" s="47"/>
      <c r="B403" s="48" t="s">
        <v>590</v>
      </c>
      <c r="C403" s="54"/>
      <c r="D403" s="55">
        <v>200</v>
      </c>
      <c r="E403" s="55">
        <v>5</v>
      </c>
      <c r="F403" s="55">
        <v>34.299999999999997</v>
      </c>
      <c r="G403" s="55">
        <v>2.2999999999999998</v>
      </c>
      <c r="H403" s="55">
        <v>101</v>
      </c>
      <c r="I403" s="55">
        <v>1</v>
      </c>
      <c r="J403" s="55">
        <v>0</v>
      </c>
      <c r="K403" s="55">
        <v>0.8</v>
      </c>
      <c r="L403" s="55">
        <v>0.18</v>
      </c>
      <c r="M403" s="55">
        <v>1</v>
      </c>
      <c r="N403" s="55">
        <v>0</v>
      </c>
      <c r="O403" s="55">
        <v>0</v>
      </c>
    </row>
    <row r="404" spans="1:16" ht="18" customHeight="1">
      <c r="A404" s="47" t="s">
        <v>459</v>
      </c>
      <c r="B404" s="48" t="s">
        <v>591</v>
      </c>
      <c r="C404" s="54" t="s">
        <v>591</v>
      </c>
      <c r="D404" s="55">
        <v>332</v>
      </c>
      <c r="E404" s="55">
        <v>41.8</v>
      </c>
      <c r="F404" s="55">
        <v>34.299999999999997</v>
      </c>
      <c r="G404" s="55">
        <v>2.2999999999999998</v>
      </c>
      <c r="H404" s="55">
        <v>126</v>
      </c>
      <c r="I404" s="55">
        <v>4.7</v>
      </c>
      <c r="J404" s="55">
        <v>0</v>
      </c>
      <c r="K404" s="55">
        <v>0.06</v>
      </c>
      <c r="L404" s="55">
        <v>0.05</v>
      </c>
      <c r="M404" s="55">
        <v>2.2999999999999998</v>
      </c>
      <c r="N404" s="55">
        <v>0</v>
      </c>
      <c r="O404" s="55">
        <v>0</v>
      </c>
      <c r="P404" s="47" t="s">
        <v>51</v>
      </c>
    </row>
    <row r="405" spans="1:16" ht="18" customHeight="1">
      <c r="A405" s="47" t="s">
        <v>459</v>
      </c>
      <c r="B405" s="48" t="s">
        <v>592</v>
      </c>
      <c r="C405" s="54" t="s">
        <v>593</v>
      </c>
      <c r="D405" s="55">
        <v>132</v>
      </c>
      <c r="E405" s="55">
        <v>69.5</v>
      </c>
      <c r="F405" s="55">
        <v>7.0000000000000007E-2</v>
      </c>
      <c r="G405" s="55">
        <v>1.28</v>
      </c>
      <c r="H405" s="55">
        <v>11.1</v>
      </c>
      <c r="I405" s="55">
        <v>2.2999999999999998</v>
      </c>
      <c r="J405" s="55">
        <v>8</v>
      </c>
      <c r="K405" s="55">
        <v>0.13</v>
      </c>
      <c r="L405" s="55">
        <v>0.1</v>
      </c>
      <c r="M405" s="55">
        <v>11.2</v>
      </c>
      <c r="N405" s="55">
        <v>2</v>
      </c>
      <c r="O405" s="55">
        <v>29</v>
      </c>
      <c r="P405" s="47" t="s">
        <v>51</v>
      </c>
    </row>
    <row r="406" spans="1:16" ht="18" customHeight="1">
      <c r="A406" s="47" t="s">
        <v>459</v>
      </c>
      <c r="B406" s="48" t="s">
        <v>594</v>
      </c>
      <c r="C406" s="54" t="s">
        <v>595</v>
      </c>
      <c r="D406" s="55">
        <v>113</v>
      </c>
      <c r="E406" s="55">
        <v>74.400000000000006</v>
      </c>
      <c r="F406" s="55">
        <v>0.17</v>
      </c>
      <c r="G406" s="55">
        <v>1.05</v>
      </c>
      <c r="H406" s="55">
        <v>11</v>
      </c>
      <c r="I406" s="55">
        <v>8</v>
      </c>
      <c r="J406" s="55">
        <v>12</v>
      </c>
      <c r="K406" s="55">
        <v>0.1</v>
      </c>
      <c r="L406" s="55">
        <v>0.06</v>
      </c>
      <c r="M406" s="55">
        <v>10</v>
      </c>
      <c r="N406" s="55">
        <v>0</v>
      </c>
      <c r="O406" s="55">
        <v>45</v>
      </c>
      <c r="P406" s="47" t="s">
        <v>51</v>
      </c>
    </row>
    <row r="407" spans="1:16" ht="18" customHeight="1">
      <c r="A407" s="47" t="s">
        <v>459</v>
      </c>
      <c r="B407" s="48" t="s">
        <v>596</v>
      </c>
      <c r="C407" s="54" t="s">
        <v>596</v>
      </c>
      <c r="D407" s="55">
        <v>233</v>
      </c>
      <c r="E407" s="55">
        <v>19.5</v>
      </c>
      <c r="F407" s="55">
        <v>0.1</v>
      </c>
      <c r="G407" s="55">
        <v>16.5</v>
      </c>
      <c r="H407" s="55">
        <v>6</v>
      </c>
      <c r="I407" s="55">
        <v>1.1000000000000001</v>
      </c>
      <c r="J407" s="55">
        <v>0</v>
      </c>
      <c r="K407" s="55">
        <v>0.06</v>
      </c>
      <c r="L407" s="55">
        <v>0.09</v>
      </c>
      <c r="M407" s="55">
        <v>10.1</v>
      </c>
      <c r="N407" s="55">
        <v>2</v>
      </c>
      <c r="O407" s="55">
        <v>0</v>
      </c>
      <c r="P407" s="47" t="s">
        <v>51</v>
      </c>
    </row>
    <row r="408" spans="1:16" ht="18" customHeight="1">
      <c r="A408" s="47" t="s">
        <v>459</v>
      </c>
      <c r="B408" s="48" t="s">
        <v>597</v>
      </c>
      <c r="C408" s="54" t="s">
        <v>598</v>
      </c>
      <c r="D408" s="55">
        <v>242</v>
      </c>
      <c r="E408" s="55">
        <v>16.5</v>
      </c>
      <c r="F408" s="55">
        <v>0.17</v>
      </c>
      <c r="G408" s="55">
        <v>12.35</v>
      </c>
      <c r="H408" s="55">
        <v>92</v>
      </c>
      <c r="I408" s="55">
        <v>1.3</v>
      </c>
      <c r="J408" s="55">
        <v>115</v>
      </c>
      <c r="K408" s="55">
        <v>0.03</v>
      </c>
      <c r="L408" s="55">
        <v>0.25</v>
      </c>
      <c r="M408" s="55">
        <v>3.3</v>
      </c>
      <c r="N408" s="55">
        <v>0</v>
      </c>
      <c r="O408" s="55">
        <v>35</v>
      </c>
      <c r="P408" s="47" t="s">
        <v>51</v>
      </c>
    </row>
    <row r="409" spans="1:16" ht="18" customHeight="1">
      <c r="A409" s="47" t="s">
        <v>459</v>
      </c>
      <c r="B409" s="48" t="s">
        <v>523</v>
      </c>
      <c r="C409" s="54" t="s">
        <v>523</v>
      </c>
      <c r="D409" s="55">
        <v>377</v>
      </c>
      <c r="E409" s="55">
        <v>80.3</v>
      </c>
      <c r="F409" s="55">
        <v>0.17</v>
      </c>
      <c r="G409" s="55">
        <v>2.96</v>
      </c>
      <c r="H409" s="55">
        <v>415</v>
      </c>
      <c r="I409" s="55">
        <v>2.9</v>
      </c>
      <c r="J409" s="55">
        <v>0</v>
      </c>
      <c r="K409" s="55">
        <v>0.09</v>
      </c>
      <c r="L409" s="55">
        <v>0.28999999999999998</v>
      </c>
      <c r="M409" s="55">
        <v>3.9</v>
      </c>
      <c r="N409" s="55">
        <v>0</v>
      </c>
      <c r="O409" s="55">
        <v>22</v>
      </c>
      <c r="P409" s="47" t="s">
        <v>51</v>
      </c>
    </row>
    <row r="410" spans="1:16" ht="18" customHeight="1">
      <c r="A410" s="47" t="s">
        <v>459</v>
      </c>
      <c r="B410" s="48" t="s">
        <v>599</v>
      </c>
      <c r="C410" s="54"/>
      <c r="D410" s="55">
        <v>80</v>
      </c>
      <c r="E410" s="55">
        <v>14.2</v>
      </c>
      <c r="F410" s="55">
        <v>0.27</v>
      </c>
      <c r="G410" s="55">
        <v>0.5</v>
      </c>
      <c r="H410" s="55">
        <v>64</v>
      </c>
      <c r="I410" s="55">
        <v>0.6</v>
      </c>
      <c r="J410" s="55">
        <v>22</v>
      </c>
      <c r="K410" s="55">
        <v>0.08</v>
      </c>
      <c r="L410" s="55">
        <v>0.1</v>
      </c>
      <c r="M410" s="55">
        <v>0.6</v>
      </c>
      <c r="N410" s="55">
        <v>0</v>
      </c>
      <c r="O410" s="55">
        <v>0</v>
      </c>
    </row>
    <row r="411" spans="1:16" ht="18" customHeight="1">
      <c r="A411" s="47" t="s">
        <v>600</v>
      </c>
      <c r="B411" s="48" t="s">
        <v>19</v>
      </c>
      <c r="C411" s="54" t="s">
        <v>601</v>
      </c>
      <c r="D411" s="55">
        <v>89</v>
      </c>
      <c r="E411" s="55">
        <v>11.4</v>
      </c>
      <c r="F411" s="55">
        <v>7.0000000000000007E-2</v>
      </c>
      <c r="G411" s="55">
        <v>0.76</v>
      </c>
      <c r="H411" s="55">
        <v>22</v>
      </c>
      <c r="I411" s="55">
        <v>0.2</v>
      </c>
      <c r="J411" s="55">
        <v>0</v>
      </c>
      <c r="K411" s="55">
        <v>0.02</v>
      </c>
      <c r="L411" s="55">
        <v>0.05</v>
      </c>
      <c r="M411" s="55">
        <v>2.2000000000000002</v>
      </c>
      <c r="N411" s="55">
        <v>1</v>
      </c>
      <c r="O411" s="55">
        <v>0</v>
      </c>
      <c r="P411" s="47" t="s">
        <v>51</v>
      </c>
    </row>
    <row r="412" spans="1:16" ht="18" customHeight="1">
      <c r="A412" s="47" t="s">
        <v>600</v>
      </c>
      <c r="B412" s="48" t="s">
        <v>602</v>
      </c>
      <c r="C412" s="54" t="s">
        <v>603</v>
      </c>
      <c r="D412" s="55">
        <v>69</v>
      </c>
      <c r="E412" s="55">
        <v>15.2</v>
      </c>
      <c r="F412" s="55">
        <v>0.03</v>
      </c>
      <c r="G412" s="55">
        <v>0.17</v>
      </c>
      <c r="H412" s="55">
        <v>95</v>
      </c>
      <c r="I412" s="55">
        <v>0.8</v>
      </c>
      <c r="J412" s="55">
        <v>2</v>
      </c>
      <c r="K412" s="55">
        <v>0.2</v>
      </c>
      <c r="L412" s="55">
        <v>0.37</v>
      </c>
      <c r="M412" s="55">
        <v>6.6</v>
      </c>
      <c r="N412" s="55">
        <v>0</v>
      </c>
      <c r="O412" s="55">
        <v>67</v>
      </c>
      <c r="P412" s="47" t="s">
        <v>51</v>
      </c>
    </row>
    <row r="413" spans="1:16" ht="18" customHeight="1">
      <c r="A413" s="47" t="s">
        <v>600</v>
      </c>
      <c r="B413" s="48" t="s">
        <v>604</v>
      </c>
      <c r="C413" s="54" t="s">
        <v>605</v>
      </c>
      <c r="D413" s="55">
        <v>60</v>
      </c>
      <c r="E413" s="55">
        <v>12.2</v>
      </c>
      <c r="F413" s="55">
        <v>0.8</v>
      </c>
      <c r="G413" s="55">
        <v>0.6</v>
      </c>
      <c r="H413" s="55">
        <v>3750</v>
      </c>
      <c r="I413" s="55">
        <v>3.4</v>
      </c>
      <c r="J413" s="55">
        <v>6</v>
      </c>
      <c r="K413" s="55">
        <v>0.1</v>
      </c>
      <c r="L413" s="55">
        <v>0.5</v>
      </c>
      <c r="M413" s="55">
        <v>2</v>
      </c>
      <c r="N413" s="55">
        <v>0</v>
      </c>
      <c r="O413" s="55">
        <v>0</v>
      </c>
      <c r="P413" s="47" t="s">
        <v>51</v>
      </c>
    </row>
    <row r="414" spans="1:16" ht="18" customHeight="1">
      <c r="A414" s="47" t="s">
        <v>600</v>
      </c>
      <c r="B414" s="48" t="s">
        <v>606</v>
      </c>
      <c r="C414" s="54" t="s">
        <v>607</v>
      </c>
      <c r="D414" s="55">
        <v>302</v>
      </c>
      <c r="E414" s="55">
        <v>66.7</v>
      </c>
      <c r="F414" s="55">
        <v>0</v>
      </c>
      <c r="G414" s="55">
        <v>0.6</v>
      </c>
      <c r="H414" s="55">
        <v>820</v>
      </c>
      <c r="I414" s="55">
        <v>2.7</v>
      </c>
      <c r="J414" s="55">
        <v>11.9</v>
      </c>
      <c r="K414" s="55">
        <v>0.08</v>
      </c>
      <c r="L414" s="55">
        <v>0.08</v>
      </c>
      <c r="M414" s="55">
        <v>1.4</v>
      </c>
      <c r="N414" s="55">
        <v>0</v>
      </c>
      <c r="O414" s="55">
        <v>0</v>
      </c>
      <c r="P414" s="47" t="s">
        <v>51</v>
      </c>
    </row>
    <row r="415" spans="1:16" ht="18" customHeight="1">
      <c r="A415" s="47" t="s">
        <v>600</v>
      </c>
      <c r="B415" s="48" t="s">
        <v>608</v>
      </c>
      <c r="C415" s="54" t="s">
        <v>609</v>
      </c>
      <c r="D415" s="55">
        <v>241</v>
      </c>
      <c r="E415" s="55">
        <v>31.4</v>
      </c>
      <c r="F415" s="55">
        <v>14.5</v>
      </c>
      <c r="G415" s="55">
        <v>6.4</v>
      </c>
      <c r="H415" s="55">
        <v>44</v>
      </c>
      <c r="I415" s="55">
        <v>8</v>
      </c>
      <c r="J415" s="55">
        <v>15</v>
      </c>
      <c r="K415" s="55">
        <v>0.2</v>
      </c>
      <c r="L415" s="55">
        <v>0.5</v>
      </c>
      <c r="M415" s="55">
        <v>0.5</v>
      </c>
      <c r="N415" s="55">
        <v>0</v>
      </c>
      <c r="O415" s="55">
        <v>0</v>
      </c>
      <c r="P415" s="47" t="s">
        <v>51</v>
      </c>
    </row>
    <row r="416" spans="1:16" ht="18" customHeight="1">
      <c r="A416" s="47" t="s">
        <v>600</v>
      </c>
      <c r="B416" s="48" t="s">
        <v>610</v>
      </c>
      <c r="C416" s="54" t="s">
        <v>611</v>
      </c>
      <c r="D416" s="55">
        <v>52</v>
      </c>
      <c r="E416" s="55">
        <v>8.6999999999999993</v>
      </c>
      <c r="F416" s="55">
        <v>0.08</v>
      </c>
      <c r="G416" s="55">
        <v>1.25</v>
      </c>
      <c r="H416" s="55">
        <v>26</v>
      </c>
      <c r="I416" s="55">
        <v>0.9</v>
      </c>
      <c r="J416" s="55">
        <v>0</v>
      </c>
      <c r="K416" s="55">
        <v>0.02</v>
      </c>
      <c r="L416" s="55">
        <v>0.09</v>
      </c>
      <c r="M416" s="55">
        <v>2</v>
      </c>
      <c r="N416" s="55">
        <v>2</v>
      </c>
      <c r="O416" s="55">
        <v>22</v>
      </c>
      <c r="P416" s="47" t="s">
        <v>51</v>
      </c>
    </row>
    <row r="417" spans="1:16" ht="18" customHeight="1">
      <c r="A417" s="47" t="s">
        <v>600</v>
      </c>
      <c r="B417" s="48" t="s">
        <v>612</v>
      </c>
      <c r="C417" s="54" t="s">
        <v>612</v>
      </c>
      <c r="D417" s="55">
        <v>88</v>
      </c>
      <c r="E417" s="55">
        <v>16</v>
      </c>
      <c r="F417" s="55">
        <v>0.3</v>
      </c>
      <c r="G417" s="55">
        <v>2</v>
      </c>
      <c r="H417" s="55">
        <v>110</v>
      </c>
      <c r="I417" s="55">
        <v>5.6</v>
      </c>
      <c r="J417" s="55">
        <v>0</v>
      </c>
      <c r="K417" s="55">
        <v>0.09</v>
      </c>
      <c r="L417" s="55">
        <v>0.12</v>
      </c>
      <c r="M417" s="55">
        <v>3.4</v>
      </c>
      <c r="N417" s="55">
        <v>0</v>
      </c>
      <c r="O417" s="55">
        <v>0</v>
      </c>
      <c r="P417" s="47" t="s">
        <v>51</v>
      </c>
    </row>
    <row r="418" spans="1:16" ht="18" customHeight="1">
      <c r="A418" s="47" t="s">
        <v>600</v>
      </c>
      <c r="B418" s="48" t="s">
        <v>613</v>
      </c>
      <c r="C418" s="54" t="s">
        <v>614</v>
      </c>
      <c r="D418" s="55">
        <v>102</v>
      </c>
      <c r="E418" s="55">
        <v>20.2</v>
      </c>
      <c r="F418" s="55">
        <v>0</v>
      </c>
      <c r="G418" s="55">
        <v>1.8</v>
      </c>
      <c r="H418" s="55">
        <v>104</v>
      </c>
      <c r="I418" s="55">
        <v>0.9</v>
      </c>
      <c r="J418" s="55">
        <v>4</v>
      </c>
      <c r="K418" s="55">
        <v>0.05</v>
      </c>
      <c r="L418" s="55">
        <v>0.24</v>
      </c>
      <c r="M418" s="55">
        <v>3.8</v>
      </c>
      <c r="N418" s="55">
        <v>0</v>
      </c>
      <c r="O418" s="55">
        <v>0</v>
      </c>
      <c r="P418" s="47" t="s">
        <v>51</v>
      </c>
    </row>
    <row r="419" spans="1:16" ht="18" customHeight="1">
      <c r="A419" s="47" t="s">
        <v>600</v>
      </c>
      <c r="B419" s="48" t="s">
        <v>615</v>
      </c>
      <c r="C419" s="54" t="s">
        <v>616</v>
      </c>
      <c r="D419" s="55">
        <v>122</v>
      </c>
      <c r="E419" s="55">
        <v>17.899999999999999</v>
      </c>
      <c r="F419" s="55">
        <v>0.03</v>
      </c>
      <c r="G419" s="55">
        <v>1.4</v>
      </c>
      <c r="H419" s="55">
        <v>76</v>
      </c>
      <c r="I419" s="55">
        <v>1</v>
      </c>
      <c r="J419" s="55">
        <v>4</v>
      </c>
      <c r="K419" s="55">
        <v>0.05</v>
      </c>
      <c r="L419" s="55">
        <v>0.24</v>
      </c>
      <c r="M419" s="55">
        <v>3.8</v>
      </c>
      <c r="N419" s="55">
        <v>2</v>
      </c>
      <c r="O419" s="55">
        <v>72</v>
      </c>
      <c r="P419" s="47" t="s">
        <v>51</v>
      </c>
    </row>
    <row r="420" spans="1:16" ht="18" customHeight="1">
      <c r="A420" s="47"/>
      <c r="B420" s="48" t="s">
        <v>1802</v>
      </c>
      <c r="C420" s="54" t="s">
        <v>616</v>
      </c>
      <c r="D420" s="55">
        <v>122</v>
      </c>
      <c r="E420" s="55">
        <v>17.899999999999999</v>
      </c>
      <c r="F420" s="55">
        <v>0.03</v>
      </c>
      <c r="G420" s="55">
        <v>1.4</v>
      </c>
      <c r="H420" s="55">
        <v>76</v>
      </c>
      <c r="I420" s="55">
        <v>1</v>
      </c>
      <c r="J420" s="55">
        <v>4</v>
      </c>
      <c r="K420" s="55">
        <v>0.05</v>
      </c>
      <c r="L420" s="55">
        <v>0.24</v>
      </c>
      <c r="M420" s="55">
        <v>3.8</v>
      </c>
      <c r="N420" s="55">
        <v>2</v>
      </c>
      <c r="O420" s="55">
        <v>72</v>
      </c>
    </row>
    <row r="421" spans="1:16" ht="18" customHeight="1">
      <c r="A421" s="47" t="s">
        <v>600</v>
      </c>
      <c r="B421" s="48" t="s">
        <v>1745</v>
      </c>
      <c r="C421" s="54" t="s">
        <v>617</v>
      </c>
      <c r="D421" s="55">
        <v>53</v>
      </c>
      <c r="E421" s="55">
        <v>11.1</v>
      </c>
      <c r="F421" s="55">
        <v>0.18</v>
      </c>
      <c r="G421" s="55">
        <v>0.45</v>
      </c>
      <c r="H421" s="55">
        <v>18</v>
      </c>
      <c r="I421" s="55">
        <v>0.7</v>
      </c>
      <c r="J421" s="55">
        <v>0</v>
      </c>
      <c r="K421" s="55">
        <v>0.02</v>
      </c>
      <c r="L421" s="55">
        <v>0.08</v>
      </c>
      <c r="M421" s="55">
        <v>1.4</v>
      </c>
      <c r="N421" s="55">
        <v>1</v>
      </c>
      <c r="O421" s="55">
        <v>11</v>
      </c>
      <c r="P421" s="47" t="s">
        <v>51</v>
      </c>
    </row>
    <row r="422" spans="1:16" ht="18" customHeight="1">
      <c r="A422" s="47" t="s">
        <v>600</v>
      </c>
      <c r="B422" s="48" t="s">
        <v>617</v>
      </c>
      <c r="C422" s="54" t="s">
        <v>617</v>
      </c>
      <c r="D422" s="55">
        <v>53</v>
      </c>
      <c r="E422" s="55">
        <v>11.1</v>
      </c>
      <c r="F422" s="55">
        <v>0.18</v>
      </c>
      <c r="G422" s="55">
        <v>0.45</v>
      </c>
      <c r="H422" s="55">
        <v>18</v>
      </c>
      <c r="I422" s="55">
        <v>0.7</v>
      </c>
      <c r="J422" s="55">
        <v>0</v>
      </c>
      <c r="K422" s="55">
        <v>0.02</v>
      </c>
      <c r="L422" s="55">
        <v>0.08</v>
      </c>
      <c r="M422" s="55">
        <v>1.4</v>
      </c>
      <c r="N422" s="55">
        <v>1</v>
      </c>
      <c r="O422" s="55">
        <v>11</v>
      </c>
      <c r="P422" s="47" t="s">
        <v>51</v>
      </c>
    </row>
    <row r="423" spans="1:16" ht="18" customHeight="1">
      <c r="A423" s="47" t="s">
        <v>600</v>
      </c>
      <c r="B423" s="48" t="s">
        <v>618</v>
      </c>
      <c r="C423" s="54" t="s">
        <v>619</v>
      </c>
      <c r="D423" s="55">
        <v>60</v>
      </c>
      <c r="E423" s="55">
        <v>8.4</v>
      </c>
      <c r="F423" s="55">
        <v>0.06</v>
      </c>
      <c r="G423" s="55">
        <v>1.46</v>
      </c>
      <c r="H423" s="55">
        <v>78</v>
      </c>
      <c r="I423" s="55">
        <v>1.1000000000000001</v>
      </c>
      <c r="J423" s="55">
        <v>2</v>
      </c>
      <c r="K423" s="55">
        <v>0.02</v>
      </c>
      <c r="L423" s="55">
        <v>0.06</v>
      </c>
      <c r="M423" s="55">
        <v>0.8</v>
      </c>
      <c r="N423" s="55">
        <v>0</v>
      </c>
      <c r="O423" s="55">
        <v>44</v>
      </c>
      <c r="P423" s="47" t="s">
        <v>51</v>
      </c>
    </row>
    <row r="424" spans="1:16" ht="18" customHeight="1">
      <c r="A424" s="47" t="s">
        <v>600</v>
      </c>
      <c r="B424" s="48" t="s">
        <v>620</v>
      </c>
      <c r="C424" s="54" t="s">
        <v>621</v>
      </c>
      <c r="D424" s="55">
        <v>130</v>
      </c>
      <c r="E424" s="55">
        <v>9.6</v>
      </c>
      <c r="F424" s="55">
        <v>0.06</v>
      </c>
      <c r="G424" s="55">
        <v>4.7</v>
      </c>
      <c r="H424" s="55">
        <v>3</v>
      </c>
      <c r="I424" s="55">
        <v>1.1000000000000001</v>
      </c>
      <c r="J424" s="55">
        <v>0</v>
      </c>
      <c r="K424" s="55">
        <v>0.01</v>
      </c>
      <c r="L424" s="55">
        <v>0.12</v>
      </c>
      <c r="M424" s="55">
        <v>0.4</v>
      </c>
      <c r="N424" s="55">
        <v>0</v>
      </c>
      <c r="O424" s="55">
        <v>0</v>
      </c>
      <c r="P424" s="47" t="s">
        <v>51</v>
      </c>
    </row>
    <row r="425" spans="1:16" ht="18" customHeight="1">
      <c r="A425" s="47" t="s">
        <v>600</v>
      </c>
      <c r="B425" s="48" t="s">
        <v>622</v>
      </c>
      <c r="C425" s="54" t="s">
        <v>622</v>
      </c>
      <c r="D425" s="55">
        <v>78</v>
      </c>
      <c r="E425" s="55">
        <v>9.1999999999999993</v>
      </c>
      <c r="F425" s="55">
        <v>1.72</v>
      </c>
      <c r="G425" s="55">
        <v>0.36</v>
      </c>
      <c r="H425" s="55">
        <v>37</v>
      </c>
      <c r="I425" s="55">
        <v>1.8</v>
      </c>
      <c r="J425" s="55">
        <v>0</v>
      </c>
      <c r="K425" s="55">
        <v>0.08</v>
      </c>
      <c r="L425" s="55">
        <v>0.12</v>
      </c>
      <c r="M425" s="55">
        <v>2</v>
      </c>
      <c r="N425" s="55">
        <v>2</v>
      </c>
      <c r="O425" s="55">
        <v>65</v>
      </c>
      <c r="P425" s="47" t="s">
        <v>51</v>
      </c>
    </row>
    <row r="426" spans="1:16" ht="18" customHeight="1">
      <c r="A426" s="47" t="s">
        <v>600</v>
      </c>
      <c r="B426" s="48" t="s">
        <v>623</v>
      </c>
      <c r="C426" s="54" t="s">
        <v>624</v>
      </c>
      <c r="D426" s="55">
        <v>74</v>
      </c>
      <c r="E426" s="55">
        <v>15.5</v>
      </c>
      <c r="F426" s="55">
        <v>0.16</v>
      </c>
      <c r="G426" s="55">
        <v>0.66</v>
      </c>
      <c r="H426" s="55">
        <v>31</v>
      </c>
      <c r="I426" s="55">
        <v>1</v>
      </c>
      <c r="J426" s="55">
        <v>0</v>
      </c>
      <c r="K426" s="55">
        <v>0.03</v>
      </c>
      <c r="L426" s="55">
        <v>0.12</v>
      </c>
      <c r="M426" s="55">
        <v>2.2000000000000002</v>
      </c>
      <c r="N426" s="55">
        <v>0</v>
      </c>
      <c r="O426" s="55">
        <v>18</v>
      </c>
      <c r="P426" s="47" t="s">
        <v>51</v>
      </c>
    </row>
    <row r="427" spans="1:16" ht="18" customHeight="1">
      <c r="A427" s="47" t="s">
        <v>600</v>
      </c>
      <c r="B427" s="48" t="s">
        <v>625</v>
      </c>
      <c r="C427" s="54" t="s">
        <v>625</v>
      </c>
      <c r="D427" s="55">
        <v>23</v>
      </c>
      <c r="E427" s="55">
        <v>2.2000000000000002</v>
      </c>
      <c r="F427" s="55">
        <v>2.6</v>
      </c>
      <c r="G427" s="55">
        <v>0.3</v>
      </c>
      <c r="H427" s="55">
        <v>45</v>
      </c>
      <c r="I427" s="55">
        <v>3.1</v>
      </c>
      <c r="J427" s="55">
        <v>0</v>
      </c>
      <c r="K427" s="55">
        <v>0.03</v>
      </c>
      <c r="L427" s="55">
        <v>0.1</v>
      </c>
      <c r="M427" s="55">
        <v>0.3</v>
      </c>
      <c r="N427" s="55">
        <v>2</v>
      </c>
      <c r="O427" s="55">
        <v>0</v>
      </c>
      <c r="P427" s="47" t="s">
        <v>51</v>
      </c>
    </row>
    <row r="428" spans="1:16" ht="18" customHeight="1">
      <c r="A428" s="47" t="s">
        <v>600</v>
      </c>
      <c r="B428" s="48" t="s">
        <v>626</v>
      </c>
      <c r="C428" s="54" t="s">
        <v>626</v>
      </c>
      <c r="D428" s="55">
        <v>66</v>
      </c>
      <c r="E428" s="55">
        <v>11.9</v>
      </c>
      <c r="F428" s="55">
        <v>0.9</v>
      </c>
      <c r="G428" s="55">
        <v>1.3</v>
      </c>
      <c r="H428" s="55">
        <v>4668</v>
      </c>
      <c r="I428" s="55">
        <v>4.8</v>
      </c>
      <c r="J428" s="55">
        <v>0</v>
      </c>
      <c r="K428" s="55">
        <v>0.03</v>
      </c>
      <c r="L428" s="55">
        <v>0.09</v>
      </c>
      <c r="M428" s="55">
        <v>1.7</v>
      </c>
      <c r="N428" s="55">
        <v>0</v>
      </c>
      <c r="O428" s="55">
        <v>0</v>
      </c>
      <c r="P428" s="47" t="s">
        <v>51</v>
      </c>
    </row>
    <row r="429" spans="1:16" ht="18" customHeight="1">
      <c r="A429" s="47" t="s">
        <v>600</v>
      </c>
      <c r="B429" s="48" t="s">
        <v>627</v>
      </c>
      <c r="C429" s="54" t="s">
        <v>628</v>
      </c>
      <c r="D429" s="55">
        <v>71</v>
      </c>
      <c r="E429" s="55">
        <v>15.1</v>
      </c>
      <c r="F429" s="55">
        <v>0.05</v>
      </c>
      <c r="G429" s="55">
        <v>0.39</v>
      </c>
      <c r="H429" s="55">
        <v>87</v>
      </c>
      <c r="I429" s="55">
        <v>1.1000000000000001</v>
      </c>
      <c r="J429" s="55">
        <v>0</v>
      </c>
      <c r="K429" s="55">
        <v>7.0000000000000007E-2</v>
      </c>
      <c r="L429" s="55">
        <v>0.08</v>
      </c>
      <c r="M429" s="55">
        <v>2.2999999999999998</v>
      </c>
      <c r="N429" s="55">
        <v>1</v>
      </c>
      <c r="O429" s="55">
        <v>45</v>
      </c>
      <c r="P429" s="47" t="s">
        <v>51</v>
      </c>
    </row>
    <row r="430" spans="1:16" ht="18" customHeight="1">
      <c r="A430" s="47" t="s">
        <v>600</v>
      </c>
      <c r="B430" s="48" t="s">
        <v>1751</v>
      </c>
      <c r="C430" s="54" t="s">
        <v>629</v>
      </c>
      <c r="D430" s="55">
        <v>132</v>
      </c>
      <c r="E430" s="55">
        <v>6.9</v>
      </c>
      <c r="F430" s="55">
        <v>11.2</v>
      </c>
      <c r="G430" s="55">
        <v>0.38</v>
      </c>
      <c r="H430" s="55">
        <v>42</v>
      </c>
      <c r="I430" s="55">
        <v>1.5</v>
      </c>
      <c r="J430" s="55">
        <v>0</v>
      </c>
      <c r="K430" s="55">
        <v>0.04</v>
      </c>
      <c r="L430" s="55">
        <v>7.0000000000000007E-2</v>
      </c>
      <c r="M430" s="55">
        <v>0.7</v>
      </c>
      <c r="N430" s="55">
        <v>0</v>
      </c>
      <c r="O430" s="55">
        <v>5</v>
      </c>
      <c r="P430" s="47" t="s">
        <v>51</v>
      </c>
    </row>
    <row r="431" spans="1:16" ht="18" customHeight="1">
      <c r="A431" s="47"/>
      <c r="B431" s="48" t="s">
        <v>2033</v>
      </c>
      <c r="C431" s="54"/>
      <c r="D431" s="55">
        <v>155</v>
      </c>
      <c r="E431" s="55">
        <v>8</v>
      </c>
      <c r="F431" s="55">
        <v>25</v>
      </c>
      <c r="G431" s="55">
        <v>2.8</v>
      </c>
      <c r="H431" s="55">
        <v>0</v>
      </c>
      <c r="I431" s="55">
        <v>0</v>
      </c>
      <c r="J431" s="55">
        <v>0</v>
      </c>
      <c r="K431" s="55">
        <v>0</v>
      </c>
      <c r="L431" s="55">
        <v>0</v>
      </c>
      <c r="M431" s="55">
        <v>0</v>
      </c>
      <c r="N431" s="55">
        <v>0</v>
      </c>
      <c r="O431" s="55">
        <v>0</v>
      </c>
    </row>
    <row r="432" spans="1:16" ht="18" customHeight="1">
      <c r="A432" s="47" t="s">
        <v>600</v>
      </c>
      <c r="B432" s="48" t="s">
        <v>1658</v>
      </c>
      <c r="C432" s="54" t="s">
        <v>629</v>
      </c>
      <c r="D432" s="55">
        <v>132</v>
      </c>
      <c r="E432" s="55">
        <v>6.9</v>
      </c>
      <c r="F432" s="55">
        <v>11.2</v>
      </c>
      <c r="G432" s="55">
        <v>0.38</v>
      </c>
      <c r="H432" s="55">
        <v>42</v>
      </c>
      <c r="I432" s="55">
        <v>1.5</v>
      </c>
      <c r="J432" s="55">
        <v>0</v>
      </c>
      <c r="K432" s="55">
        <v>0.04</v>
      </c>
      <c r="L432" s="55">
        <v>7.0000000000000007E-2</v>
      </c>
      <c r="M432" s="55">
        <v>0.7</v>
      </c>
      <c r="N432" s="55">
        <v>0</v>
      </c>
      <c r="O432" s="55">
        <v>5</v>
      </c>
      <c r="P432" s="47" t="s">
        <v>51</v>
      </c>
    </row>
    <row r="433" spans="1:16" ht="18" customHeight="1">
      <c r="A433" s="47" t="s">
        <v>600</v>
      </c>
      <c r="B433" s="48" t="s">
        <v>630</v>
      </c>
      <c r="C433" s="54" t="s">
        <v>629</v>
      </c>
      <c r="D433" s="55">
        <v>132</v>
      </c>
      <c r="E433" s="55">
        <v>6.9</v>
      </c>
      <c r="F433" s="55">
        <v>11.2</v>
      </c>
      <c r="G433" s="55">
        <v>11.9</v>
      </c>
      <c r="H433" s="55">
        <v>42</v>
      </c>
      <c r="I433" s="55">
        <v>1.5</v>
      </c>
      <c r="J433" s="55">
        <v>0</v>
      </c>
      <c r="K433" s="55">
        <v>0.04</v>
      </c>
      <c r="L433" s="55">
        <v>7.0000000000000007E-2</v>
      </c>
      <c r="M433" s="55">
        <v>0.7</v>
      </c>
      <c r="N433" s="55">
        <v>0</v>
      </c>
      <c r="O433" s="55">
        <v>5</v>
      </c>
      <c r="P433" s="47" t="s">
        <v>51</v>
      </c>
    </row>
    <row r="434" spans="1:16" ht="18" customHeight="1">
      <c r="A434" s="47" t="s">
        <v>600</v>
      </c>
      <c r="B434" s="48" t="s">
        <v>631</v>
      </c>
      <c r="C434" s="54" t="s">
        <v>632</v>
      </c>
      <c r="D434" s="55">
        <v>93</v>
      </c>
      <c r="E434" s="55">
        <v>18.899999999999999</v>
      </c>
      <c r="F434" s="55">
        <v>0.12</v>
      </c>
      <c r="G434" s="55">
        <v>0.75</v>
      </c>
      <c r="H434" s="55">
        <v>69</v>
      </c>
      <c r="I434" s="55">
        <v>1.3</v>
      </c>
      <c r="J434" s="55">
        <v>0</v>
      </c>
      <c r="K434" s="55">
        <v>0.04</v>
      </c>
      <c r="L434" s="55">
        <v>0.04</v>
      </c>
      <c r="M434" s="55">
        <v>2</v>
      </c>
      <c r="N434" s="55">
        <v>1</v>
      </c>
      <c r="O434" s="55">
        <v>42</v>
      </c>
      <c r="P434" s="47" t="s">
        <v>51</v>
      </c>
    </row>
    <row r="435" spans="1:16" ht="18" customHeight="1">
      <c r="A435" s="47" t="s">
        <v>600</v>
      </c>
      <c r="B435" s="48" t="s">
        <v>633</v>
      </c>
      <c r="C435" s="54" t="s">
        <v>629</v>
      </c>
      <c r="D435" s="55">
        <v>132</v>
      </c>
      <c r="E435" s="55">
        <v>4.2</v>
      </c>
      <c r="F435" s="55">
        <v>11.2</v>
      </c>
      <c r="G435" s="55">
        <v>5.4</v>
      </c>
      <c r="H435" s="55">
        <v>69</v>
      </c>
      <c r="I435" s="55">
        <v>1.5</v>
      </c>
      <c r="J435" s="55">
        <v>0</v>
      </c>
      <c r="K435" s="55">
        <v>0.04</v>
      </c>
      <c r="L435" s="55">
        <v>7.0000000000000007E-2</v>
      </c>
      <c r="M435" s="55">
        <v>0.7</v>
      </c>
      <c r="N435" s="55">
        <v>0</v>
      </c>
      <c r="O435" s="55">
        <v>5</v>
      </c>
      <c r="P435" s="47" t="s">
        <v>51</v>
      </c>
    </row>
    <row r="436" spans="1:16" ht="18" customHeight="1">
      <c r="A436" s="47" t="s">
        <v>600</v>
      </c>
      <c r="B436" s="48" t="s">
        <v>634</v>
      </c>
      <c r="C436" s="54" t="s">
        <v>635</v>
      </c>
      <c r="D436" s="55">
        <v>110</v>
      </c>
      <c r="E436" s="55">
        <v>22.2</v>
      </c>
      <c r="F436" s="55">
        <v>0.1</v>
      </c>
      <c r="G436" s="55">
        <v>1.7</v>
      </c>
      <c r="H436" s="55">
        <v>20</v>
      </c>
      <c r="I436" s="55">
        <v>0.3</v>
      </c>
      <c r="J436" s="55">
        <v>5</v>
      </c>
      <c r="K436" s="55">
        <v>0.04</v>
      </c>
      <c r="L436" s="55">
        <v>0.05</v>
      </c>
      <c r="M436" s="55">
        <v>2.4</v>
      </c>
      <c r="N436" s="55">
        <v>0</v>
      </c>
      <c r="O436" s="55">
        <v>0</v>
      </c>
      <c r="P436" s="47" t="s">
        <v>51</v>
      </c>
    </row>
    <row r="437" spans="1:16" ht="18" customHeight="1">
      <c r="A437" s="47" t="s">
        <v>600</v>
      </c>
      <c r="B437" s="48" t="s">
        <v>636</v>
      </c>
      <c r="C437" s="54" t="s">
        <v>637</v>
      </c>
      <c r="D437" s="55">
        <v>87</v>
      </c>
      <c r="E437" s="55">
        <v>18.2</v>
      </c>
      <c r="F437" s="55">
        <v>2.8</v>
      </c>
      <c r="G437" s="55">
        <v>3.3</v>
      </c>
      <c r="H437" s="55">
        <v>17</v>
      </c>
      <c r="I437" s="55">
        <v>0.3</v>
      </c>
      <c r="J437" s="55">
        <v>0</v>
      </c>
      <c r="K437" s="55">
        <v>0.04</v>
      </c>
      <c r="L437" s="55">
        <v>0.05</v>
      </c>
      <c r="M437" s="55">
        <v>2.7</v>
      </c>
      <c r="N437" s="55">
        <v>2</v>
      </c>
      <c r="O437" s="55">
        <v>27</v>
      </c>
      <c r="P437" s="47" t="s">
        <v>51</v>
      </c>
    </row>
    <row r="438" spans="1:16" ht="18" customHeight="1">
      <c r="A438" s="47" t="s">
        <v>600</v>
      </c>
      <c r="B438" s="48" t="s">
        <v>638</v>
      </c>
      <c r="C438" s="54" t="s">
        <v>639</v>
      </c>
      <c r="D438" s="55">
        <v>122</v>
      </c>
      <c r="E438" s="55">
        <v>12.3</v>
      </c>
      <c r="F438" s="55">
        <v>4.8</v>
      </c>
      <c r="G438" s="55">
        <v>0.9</v>
      </c>
      <c r="H438" s="55">
        <v>30</v>
      </c>
      <c r="I438" s="55">
        <v>1.1000000000000001</v>
      </c>
      <c r="J438" s="55">
        <v>79</v>
      </c>
      <c r="K438" s="55">
        <v>0.04</v>
      </c>
      <c r="L438" s="55">
        <v>0.05</v>
      </c>
      <c r="M438" s="55">
        <v>3.1</v>
      </c>
      <c r="N438" s="55">
        <v>1</v>
      </c>
      <c r="O438" s="55">
        <v>0</v>
      </c>
      <c r="P438" s="47" t="s">
        <v>51</v>
      </c>
    </row>
    <row r="439" spans="1:16" ht="18" customHeight="1">
      <c r="A439" s="47" t="s">
        <v>600</v>
      </c>
      <c r="B439" s="48" t="s">
        <v>640</v>
      </c>
      <c r="C439" s="54" t="s">
        <v>641</v>
      </c>
      <c r="D439" s="55">
        <v>300</v>
      </c>
      <c r="E439" s="55">
        <v>10</v>
      </c>
      <c r="F439" s="55">
        <v>0.4</v>
      </c>
      <c r="G439" s="55">
        <v>2.7</v>
      </c>
      <c r="H439" s="55">
        <v>100</v>
      </c>
      <c r="I439" s="55">
        <v>1.1000000000000001</v>
      </c>
      <c r="J439" s="55">
        <v>0</v>
      </c>
      <c r="K439" s="55">
        <v>0.03</v>
      </c>
      <c r="L439" s="55">
        <v>0.03</v>
      </c>
      <c r="M439" s="55">
        <v>1.3</v>
      </c>
      <c r="N439" s="55">
        <v>0</v>
      </c>
      <c r="O439" s="55">
        <v>0</v>
      </c>
      <c r="P439" s="47" t="s">
        <v>51</v>
      </c>
    </row>
    <row r="440" spans="1:16" ht="18" customHeight="1">
      <c r="A440" s="47" t="s">
        <v>600</v>
      </c>
      <c r="B440" s="48" t="s">
        <v>2091</v>
      </c>
      <c r="C440" s="54" t="s">
        <v>643</v>
      </c>
      <c r="D440" s="55">
        <v>288</v>
      </c>
      <c r="E440" s="55">
        <v>29</v>
      </c>
      <c r="F440" s="55">
        <v>4.0999999999999996</v>
      </c>
      <c r="G440" s="55">
        <v>5.9</v>
      </c>
      <c r="H440" s="55">
        <v>600</v>
      </c>
      <c r="I440" s="55">
        <v>3.6</v>
      </c>
      <c r="J440" s="55">
        <v>0</v>
      </c>
      <c r="K440" s="55">
        <v>0.16</v>
      </c>
      <c r="L440" s="55">
        <v>0.09</v>
      </c>
      <c r="M440" s="55">
        <v>5.7</v>
      </c>
      <c r="N440" s="55">
        <v>0</v>
      </c>
      <c r="O440" s="55">
        <v>0</v>
      </c>
      <c r="P440" s="47" t="s">
        <v>51</v>
      </c>
    </row>
    <row r="441" spans="1:16" ht="18" customHeight="1">
      <c r="A441" s="47" t="s">
        <v>600</v>
      </c>
      <c r="B441" s="48" t="s">
        <v>642</v>
      </c>
      <c r="C441" s="54" t="s">
        <v>643</v>
      </c>
      <c r="D441" s="55">
        <v>288</v>
      </c>
      <c r="E441" s="55">
        <v>29</v>
      </c>
      <c r="F441" s="55">
        <v>4.0999999999999996</v>
      </c>
      <c r="G441" s="55">
        <v>5.9</v>
      </c>
      <c r="H441" s="55">
        <v>600</v>
      </c>
      <c r="I441" s="55">
        <v>3.6</v>
      </c>
      <c r="J441" s="55">
        <v>0</v>
      </c>
      <c r="K441" s="55">
        <v>0.16</v>
      </c>
      <c r="L441" s="55">
        <v>0.09</v>
      </c>
      <c r="M441" s="55">
        <v>5.7</v>
      </c>
      <c r="N441" s="55">
        <v>0</v>
      </c>
      <c r="O441" s="55">
        <v>0</v>
      </c>
      <c r="P441" s="47" t="s">
        <v>51</v>
      </c>
    </row>
    <row r="442" spans="1:16" ht="18" customHeight="1">
      <c r="A442" s="47" t="s">
        <v>600</v>
      </c>
      <c r="B442" s="48" t="s">
        <v>644</v>
      </c>
      <c r="C442" s="54" t="s">
        <v>645</v>
      </c>
      <c r="D442" s="55">
        <v>66</v>
      </c>
      <c r="E442" s="55">
        <v>12.9</v>
      </c>
      <c r="F442" s="55">
        <v>0.6</v>
      </c>
      <c r="G442" s="55">
        <v>0.48</v>
      </c>
      <c r="H442" s="55">
        <v>120</v>
      </c>
      <c r="I442" s="55">
        <v>2</v>
      </c>
      <c r="J442" s="55">
        <v>12</v>
      </c>
      <c r="K442" s="55">
        <v>12</v>
      </c>
      <c r="L442" s="55">
        <v>0.01</v>
      </c>
      <c r="M442" s="55">
        <v>0.11</v>
      </c>
      <c r="N442" s="55">
        <v>2.2000000000000002</v>
      </c>
      <c r="O442" s="55">
        <v>40</v>
      </c>
      <c r="P442" s="47" t="s">
        <v>51</v>
      </c>
    </row>
    <row r="443" spans="1:16" ht="18" customHeight="1">
      <c r="A443" s="47" t="s">
        <v>600</v>
      </c>
      <c r="B443" s="48" t="s">
        <v>646</v>
      </c>
      <c r="C443" s="54" t="s">
        <v>647</v>
      </c>
      <c r="D443" s="55">
        <v>43</v>
      </c>
      <c r="E443" s="55">
        <v>7</v>
      </c>
      <c r="F443" s="55">
        <v>1.1000000000000001</v>
      </c>
      <c r="G443" s="55">
        <v>0.9</v>
      </c>
      <c r="H443" s="55">
        <v>330</v>
      </c>
      <c r="I443" s="55">
        <v>1.6</v>
      </c>
      <c r="J443" s="55">
        <v>52</v>
      </c>
      <c r="K443" s="55">
        <v>0.02</v>
      </c>
      <c r="L443" s="55">
        <v>0.03</v>
      </c>
      <c r="M443" s="55">
        <v>0.8</v>
      </c>
      <c r="N443" s="55">
        <v>0</v>
      </c>
      <c r="O443" s="55">
        <v>0</v>
      </c>
      <c r="P443" s="47" t="s">
        <v>51</v>
      </c>
    </row>
    <row r="444" spans="1:16" ht="18" customHeight="1">
      <c r="A444" s="47" t="s">
        <v>600</v>
      </c>
      <c r="B444" s="48" t="s">
        <v>648</v>
      </c>
      <c r="C444" s="54" t="s">
        <v>649</v>
      </c>
      <c r="D444" s="55">
        <v>49</v>
      </c>
      <c r="E444" s="55">
        <v>8.1999999999999993</v>
      </c>
      <c r="F444" s="55">
        <v>1.1000000000000001</v>
      </c>
      <c r="G444" s="55">
        <v>0.6</v>
      </c>
      <c r="H444" s="55">
        <v>361</v>
      </c>
      <c r="I444" s="55">
        <v>1.9</v>
      </c>
      <c r="J444" s="55">
        <v>54</v>
      </c>
      <c r="K444" s="55">
        <v>0.02</v>
      </c>
      <c r="L444" s="55">
        <v>0.02</v>
      </c>
      <c r="M444" s="55">
        <v>0.8</v>
      </c>
      <c r="N444" s="55">
        <v>0</v>
      </c>
      <c r="O444" s="55">
        <v>0</v>
      </c>
      <c r="P444" s="47" t="s">
        <v>51</v>
      </c>
    </row>
    <row r="445" spans="1:16" ht="18" customHeight="1">
      <c r="A445" s="47"/>
      <c r="B445" s="48" t="s">
        <v>650</v>
      </c>
      <c r="C445" s="54"/>
      <c r="D445" s="55">
        <v>130.9</v>
      </c>
      <c r="E445" s="55">
        <v>14.7</v>
      </c>
      <c r="F445" s="55">
        <v>14.6</v>
      </c>
      <c r="G445" s="55">
        <v>5.7</v>
      </c>
      <c r="H445" s="55">
        <v>33.799999999999997</v>
      </c>
      <c r="I445" s="55">
        <v>1.6</v>
      </c>
      <c r="J445" s="55">
        <v>2.4</v>
      </c>
      <c r="K445" s="55">
        <v>0.1</v>
      </c>
      <c r="L445" s="55">
        <v>0.1</v>
      </c>
      <c r="M445" s="55"/>
      <c r="N445" s="55">
        <v>0.2</v>
      </c>
      <c r="O445" s="55">
        <v>0</v>
      </c>
    </row>
    <row r="446" spans="1:16" ht="18" customHeight="1">
      <c r="A446" s="47" t="s">
        <v>600</v>
      </c>
      <c r="B446" s="48" t="s">
        <v>651</v>
      </c>
      <c r="C446" s="54" t="s">
        <v>652</v>
      </c>
      <c r="D446" s="55">
        <v>47</v>
      </c>
      <c r="E446" s="55">
        <v>9</v>
      </c>
      <c r="F446" s="55">
        <v>0.23</v>
      </c>
      <c r="G446" s="55">
        <v>0.61</v>
      </c>
      <c r="H446" s="55">
        <v>14</v>
      </c>
      <c r="I446" s="55">
        <v>0.7</v>
      </c>
      <c r="J446" s="55">
        <v>14</v>
      </c>
      <c r="K446" s="55">
        <v>0.03</v>
      </c>
      <c r="L446" s="55">
        <v>7.0000000000000007E-2</v>
      </c>
      <c r="M446" s="55">
        <v>1.1000000000000001</v>
      </c>
      <c r="N446" s="55">
        <v>0</v>
      </c>
      <c r="O446" s="55">
        <v>24</v>
      </c>
      <c r="P446" s="47" t="s">
        <v>51</v>
      </c>
    </row>
    <row r="447" spans="1:16" ht="18" customHeight="1">
      <c r="A447" s="47" t="s">
        <v>600</v>
      </c>
      <c r="B447" s="48" t="s">
        <v>653</v>
      </c>
      <c r="C447" s="54" t="s">
        <v>654</v>
      </c>
      <c r="D447" s="55">
        <v>191</v>
      </c>
      <c r="E447" s="55">
        <v>8.6999999999999993</v>
      </c>
      <c r="F447" s="55">
        <v>7.7</v>
      </c>
      <c r="G447" s="55">
        <v>7.5</v>
      </c>
      <c r="H447" s="55">
        <v>7</v>
      </c>
      <c r="I447" s="55">
        <v>1</v>
      </c>
      <c r="J447" s="55">
        <v>0</v>
      </c>
      <c r="K447" s="55">
        <v>0</v>
      </c>
      <c r="L447" s="55">
        <v>0</v>
      </c>
      <c r="M447" s="55">
        <v>0</v>
      </c>
      <c r="N447" s="55">
        <v>0</v>
      </c>
      <c r="O447" s="55">
        <v>0</v>
      </c>
      <c r="P447" s="47" t="s">
        <v>51</v>
      </c>
    </row>
    <row r="448" spans="1:16" ht="18" customHeight="1">
      <c r="A448" s="47"/>
      <c r="B448" s="48" t="s">
        <v>655</v>
      </c>
      <c r="C448" s="54"/>
      <c r="D448" s="55">
        <v>191</v>
      </c>
      <c r="E448" s="55">
        <v>8.6999999999999993</v>
      </c>
      <c r="F448" s="55">
        <v>7.7</v>
      </c>
      <c r="G448" s="55">
        <v>1.5</v>
      </c>
      <c r="H448" s="55">
        <v>7</v>
      </c>
      <c r="I448" s="55">
        <v>1</v>
      </c>
      <c r="J448" s="55">
        <v>0</v>
      </c>
      <c r="K448" s="55">
        <v>0</v>
      </c>
      <c r="L448" s="55">
        <v>0</v>
      </c>
      <c r="M448" s="55">
        <v>0</v>
      </c>
      <c r="N448" s="55">
        <v>0</v>
      </c>
      <c r="O448" s="55">
        <v>0</v>
      </c>
      <c r="P448" s="47" t="s">
        <v>51</v>
      </c>
    </row>
    <row r="449" spans="1:16" ht="18" customHeight="1">
      <c r="A449" s="47" t="s">
        <v>600</v>
      </c>
      <c r="B449" s="48" t="s">
        <v>656</v>
      </c>
      <c r="C449" s="54" t="s">
        <v>657</v>
      </c>
      <c r="D449" s="55">
        <v>81</v>
      </c>
      <c r="E449" s="55">
        <v>14.9</v>
      </c>
      <c r="F449" s="55">
        <v>0.26</v>
      </c>
      <c r="G449" s="55">
        <v>1.53</v>
      </c>
      <c r="H449" s="55">
        <v>12</v>
      </c>
      <c r="I449" s="55">
        <v>0.4</v>
      </c>
      <c r="J449" s="55">
        <v>3</v>
      </c>
      <c r="K449" s="55">
        <v>0.05</v>
      </c>
      <c r="L449" s="55">
        <v>0.01</v>
      </c>
      <c r="M449" s="55">
        <v>2</v>
      </c>
      <c r="N449" s="55">
        <v>0</v>
      </c>
      <c r="O449" s="55">
        <v>15</v>
      </c>
      <c r="P449" s="47" t="s">
        <v>51</v>
      </c>
    </row>
    <row r="450" spans="1:16" ht="18" customHeight="1">
      <c r="A450" s="47" t="s">
        <v>600</v>
      </c>
      <c r="B450" s="48" t="s">
        <v>658</v>
      </c>
      <c r="C450" s="54" t="s">
        <v>659</v>
      </c>
      <c r="D450" s="55">
        <v>15</v>
      </c>
      <c r="E450" s="55">
        <v>2.5</v>
      </c>
      <c r="F450" s="55">
        <v>0.8</v>
      </c>
      <c r="G450" s="55">
        <v>0.1</v>
      </c>
      <c r="H450" s="55">
        <v>124</v>
      </c>
      <c r="I450" s="55">
        <v>0.3</v>
      </c>
      <c r="J450" s="55">
        <v>0</v>
      </c>
      <c r="K450" s="55">
        <v>0.02</v>
      </c>
      <c r="L450" s="55">
        <v>0.02</v>
      </c>
      <c r="M450" s="55">
        <v>0.2</v>
      </c>
      <c r="N450" s="55">
        <v>3</v>
      </c>
      <c r="O450" s="55">
        <v>0</v>
      </c>
      <c r="P450" s="47" t="s">
        <v>51</v>
      </c>
    </row>
    <row r="451" spans="1:16" ht="18" customHeight="1">
      <c r="A451" s="47" t="s">
        <v>600</v>
      </c>
      <c r="B451" s="48" t="s">
        <v>660</v>
      </c>
      <c r="C451" s="54" t="s">
        <v>661</v>
      </c>
      <c r="D451" s="55">
        <v>6</v>
      </c>
      <c r="E451" s="55">
        <v>1.3</v>
      </c>
      <c r="F451" s="55">
        <v>0.1</v>
      </c>
      <c r="G451" s="55">
        <v>0</v>
      </c>
      <c r="H451" s="55">
        <v>2</v>
      </c>
      <c r="I451" s="55">
        <v>0.1</v>
      </c>
      <c r="J451" s="55">
        <v>0</v>
      </c>
      <c r="K451" s="55">
        <v>0</v>
      </c>
      <c r="L451" s="55">
        <v>0</v>
      </c>
      <c r="M451" s="55">
        <v>0</v>
      </c>
      <c r="N451" s="55">
        <v>0</v>
      </c>
      <c r="O451" s="55">
        <v>0</v>
      </c>
      <c r="P451" s="47" t="s">
        <v>51</v>
      </c>
    </row>
    <row r="452" spans="1:16" ht="18" customHeight="1">
      <c r="A452" s="47" t="s">
        <v>600</v>
      </c>
      <c r="B452" s="48" t="s">
        <v>662</v>
      </c>
      <c r="C452" s="54" t="s">
        <v>663</v>
      </c>
      <c r="D452" s="55">
        <v>20</v>
      </c>
      <c r="E452" s="55">
        <v>4.0999999999999996</v>
      </c>
      <c r="F452" s="55">
        <v>0.1</v>
      </c>
      <c r="G452" s="55">
        <v>0.2</v>
      </c>
      <c r="H452" s="55">
        <v>73</v>
      </c>
      <c r="I452" s="55">
        <v>1.1080000000000001</v>
      </c>
      <c r="J452" s="55">
        <v>0</v>
      </c>
      <c r="K452" s="55">
        <v>0</v>
      </c>
      <c r="L452" s="55">
        <v>0</v>
      </c>
      <c r="M452" s="55">
        <v>0</v>
      </c>
      <c r="N452" s="55">
        <v>0</v>
      </c>
      <c r="O452" s="55">
        <v>0</v>
      </c>
      <c r="P452" s="47" t="s">
        <v>51</v>
      </c>
    </row>
    <row r="453" spans="1:16" ht="18" customHeight="1">
      <c r="A453" s="47" t="s">
        <v>664</v>
      </c>
      <c r="B453" s="48" t="s">
        <v>26</v>
      </c>
      <c r="C453" s="54" t="s">
        <v>665</v>
      </c>
      <c r="D453" s="55">
        <v>60</v>
      </c>
      <c r="E453" s="55">
        <v>3.2</v>
      </c>
      <c r="F453" s="55">
        <v>4.7</v>
      </c>
      <c r="G453" s="55">
        <v>3.2</v>
      </c>
      <c r="H453" s="55">
        <v>105</v>
      </c>
      <c r="I453" s="55">
        <v>0.1</v>
      </c>
      <c r="J453" s="55">
        <v>28</v>
      </c>
      <c r="K453" s="55">
        <v>0.04</v>
      </c>
      <c r="L453" s="55">
        <v>0.14000000000000001</v>
      </c>
      <c r="M453" s="55">
        <v>0.1</v>
      </c>
      <c r="N453" s="55">
        <v>1</v>
      </c>
      <c r="O453" s="55">
        <v>0</v>
      </c>
      <c r="P453" s="47" t="s">
        <v>51</v>
      </c>
    </row>
    <row r="454" spans="1:16" ht="18" customHeight="1">
      <c r="A454" s="47" t="s">
        <v>664</v>
      </c>
      <c r="B454" s="48" t="s">
        <v>666</v>
      </c>
      <c r="C454" s="54" t="s">
        <v>667</v>
      </c>
      <c r="D454" s="55">
        <v>495</v>
      </c>
      <c r="E454" s="55">
        <v>26</v>
      </c>
      <c r="F454" s="55">
        <v>38</v>
      </c>
      <c r="G454" s="55">
        <v>27</v>
      </c>
      <c r="H454" s="55">
        <v>880</v>
      </c>
      <c r="I454" s="55">
        <v>0.4</v>
      </c>
      <c r="J454" s="55">
        <v>171</v>
      </c>
      <c r="K454" s="55">
        <v>0.23</v>
      </c>
      <c r="L454" s="55">
        <v>1.2</v>
      </c>
      <c r="M454" s="55">
        <v>0.8</v>
      </c>
      <c r="N454" s="55">
        <v>5</v>
      </c>
      <c r="O454" s="55">
        <v>0</v>
      </c>
      <c r="P454" s="47" t="s">
        <v>51</v>
      </c>
    </row>
    <row r="455" spans="1:16" ht="18" customHeight="1">
      <c r="A455" s="47" t="s">
        <v>664</v>
      </c>
      <c r="B455" s="48" t="s">
        <v>668</v>
      </c>
      <c r="C455" s="54" t="s">
        <v>667</v>
      </c>
      <c r="D455" s="55">
        <v>360</v>
      </c>
      <c r="E455" s="55">
        <v>34.5</v>
      </c>
      <c r="F455" s="55">
        <v>52.7</v>
      </c>
      <c r="G455" s="55">
        <v>1</v>
      </c>
      <c r="H455" s="55">
        <v>1250</v>
      </c>
      <c r="I455" s="55">
        <v>0.4</v>
      </c>
      <c r="J455" s="55">
        <v>8</v>
      </c>
      <c r="K455" s="55">
        <v>0.5</v>
      </c>
      <c r="L455" s="55">
        <v>1.75</v>
      </c>
      <c r="M455" s="55">
        <v>0.9</v>
      </c>
      <c r="N455" s="55">
        <v>1</v>
      </c>
      <c r="O455" s="55">
        <v>0</v>
      </c>
      <c r="P455" s="47" t="s">
        <v>51</v>
      </c>
    </row>
    <row r="456" spans="1:16" ht="18" customHeight="1">
      <c r="A456" s="47" t="s">
        <v>664</v>
      </c>
      <c r="B456" s="48" t="s">
        <v>669</v>
      </c>
      <c r="C456" s="54" t="s">
        <v>670</v>
      </c>
      <c r="D456" s="55">
        <v>506</v>
      </c>
      <c r="E456" s="55">
        <v>13.5</v>
      </c>
      <c r="F456" s="55">
        <v>55.3</v>
      </c>
      <c r="G456" s="55">
        <v>19.3</v>
      </c>
      <c r="H456" s="55">
        <v>288</v>
      </c>
      <c r="I456" s="55">
        <v>7.3</v>
      </c>
      <c r="J456" s="55">
        <v>589</v>
      </c>
      <c r="K456" s="55">
        <v>0.37</v>
      </c>
      <c r="L456" s="55">
        <v>0.71</v>
      </c>
      <c r="M456" s="55">
        <v>6.5</v>
      </c>
      <c r="N456" s="55">
        <v>57</v>
      </c>
      <c r="O456" s="55">
        <v>0</v>
      </c>
      <c r="P456" s="47" t="s">
        <v>51</v>
      </c>
    </row>
    <row r="457" spans="1:16" ht="18" customHeight="1">
      <c r="A457" s="47" t="s">
        <v>664</v>
      </c>
      <c r="B457" s="48" t="s">
        <v>1706</v>
      </c>
      <c r="C457" s="54" t="s">
        <v>672</v>
      </c>
      <c r="D457" s="55">
        <v>211</v>
      </c>
      <c r="E457" s="55">
        <v>3.5</v>
      </c>
      <c r="F457" s="55">
        <v>22.4</v>
      </c>
      <c r="G457" s="55">
        <v>12</v>
      </c>
      <c r="H457" s="55">
        <v>122</v>
      </c>
      <c r="I457" s="55">
        <v>0.1</v>
      </c>
      <c r="J457" s="55">
        <v>108</v>
      </c>
      <c r="K457" s="55">
        <v>0.06</v>
      </c>
      <c r="L457" s="55">
        <v>0.18</v>
      </c>
      <c r="M457" s="55">
        <v>0.1</v>
      </c>
      <c r="N457" s="55">
        <v>0</v>
      </c>
      <c r="O457" s="55">
        <v>0</v>
      </c>
      <c r="P457" s="47" t="s">
        <v>51</v>
      </c>
    </row>
    <row r="458" spans="1:16" ht="18" customHeight="1">
      <c r="A458" s="47" t="s">
        <v>664</v>
      </c>
      <c r="B458" s="48" t="s">
        <v>671</v>
      </c>
      <c r="C458" s="54" t="s">
        <v>672</v>
      </c>
      <c r="D458" s="55">
        <v>211</v>
      </c>
      <c r="E458" s="55">
        <v>3.5</v>
      </c>
      <c r="F458" s="55">
        <v>22.4</v>
      </c>
      <c r="G458" s="55">
        <v>12</v>
      </c>
      <c r="H458" s="55">
        <v>122</v>
      </c>
      <c r="I458" s="55">
        <v>0.1</v>
      </c>
      <c r="J458" s="55">
        <v>108</v>
      </c>
      <c r="K458" s="55">
        <v>0.06</v>
      </c>
      <c r="L458" s="55">
        <v>0.18</v>
      </c>
      <c r="M458" s="55">
        <v>0.1</v>
      </c>
      <c r="N458" s="55">
        <v>0</v>
      </c>
      <c r="O458" s="55">
        <v>0</v>
      </c>
      <c r="P458" s="47" t="s">
        <v>51</v>
      </c>
    </row>
    <row r="459" spans="1:16" ht="18" customHeight="1">
      <c r="A459" s="47" t="s">
        <v>664</v>
      </c>
      <c r="B459" s="48" t="s">
        <v>1656</v>
      </c>
      <c r="C459" s="54" t="s">
        <v>672</v>
      </c>
      <c r="D459" s="55">
        <v>211</v>
      </c>
      <c r="E459" s="55">
        <v>3.5</v>
      </c>
      <c r="F459" s="55">
        <v>22.4</v>
      </c>
      <c r="G459" s="55">
        <v>12</v>
      </c>
      <c r="H459" s="55">
        <v>122</v>
      </c>
      <c r="I459" s="55">
        <v>0.1</v>
      </c>
      <c r="J459" s="55">
        <v>108</v>
      </c>
      <c r="K459" s="55">
        <v>0.06</v>
      </c>
      <c r="L459" s="55">
        <v>0.18</v>
      </c>
      <c r="M459" s="55">
        <v>0.1</v>
      </c>
      <c r="N459" s="55">
        <v>0</v>
      </c>
      <c r="O459" s="55">
        <v>0</v>
      </c>
      <c r="P459" s="47" t="s">
        <v>51</v>
      </c>
    </row>
    <row r="460" spans="1:16" ht="18" customHeight="1">
      <c r="A460" s="47" t="s">
        <v>664</v>
      </c>
      <c r="B460" s="48" t="s">
        <v>673</v>
      </c>
      <c r="C460" s="54" t="s">
        <v>674</v>
      </c>
      <c r="D460" s="55">
        <v>324</v>
      </c>
      <c r="E460" s="55">
        <v>7.9</v>
      </c>
      <c r="F460" s="55">
        <v>56.6</v>
      </c>
      <c r="G460" s="55">
        <v>8.1</v>
      </c>
      <c r="H460" s="55">
        <v>258</v>
      </c>
      <c r="I460" s="55">
        <v>0.1</v>
      </c>
      <c r="J460" s="55">
        <v>27</v>
      </c>
      <c r="K460" s="55">
        <v>0.08</v>
      </c>
      <c r="L460" s="55">
        <v>0.31</v>
      </c>
      <c r="M460" s="55">
        <v>0.3</v>
      </c>
      <c r="N460" s="55">
        <v>3</v>
      </c>
      <c r="O460" s="55">
        <v>0</v>
      </c>
      <c r="P460" s="47" t="s">
        <v>51</v>
      </c>
    </row>
    <row r="461" spans="1:16" ht="18" customHeight="1">
      <c r="A461" s="47" t="s">
        <v>664</v>
      </c>
      <c r="B461" s="48" t="s">
        <v>675</v>
      </c>
      <c r="C461" s="54" t="s">
        <v>676</v>
      </c>
      <c r="D461" s="55">
        <v>135</v>
      </c>
      <c r="E461" s="55">
        <v>8</v>
      </c>
      <c r="F461" s="55">
        <v>57</v>
      </c>
      <c r="G461" s="55">
        <v>7.3</v>
      </c>
      <c r="H461" s="55">
        <v>225</v>
      </c>
      <c r="I461" s="55">
        <v>0.2</v>
      </c>
      <c r="J461" s="55">
        <v>41</v>
      </c>
      <c r="K461" s="55">
        <v>0.08</v>
      </c>
      <c r="L461" s="55">
        <v>0.46</v>
      </c>
      <c r="M461" s="55">
        <v>0.3</v>
      </c>
      <c r="N461" s="55">
        <v>2</v>
      </c>
      <c r="O461" s="55">
        <v>0</v>
      </c>
      <c r="P461" s="47" t="s">
        <v>51</v>
      </c>
    </row>
    <row r="462" spans="1:16">
      <c r="B462" s="58" t="s">
        <v>2092</v>
      </c>
      <c r="D462" s="47">
        <v>204.85</v>
      </c>
      <c r="E462" s="47">
        <v>21.21</v>
      </c>
      <c r="F462" s="47">
        <v>21.21</v>
      </c>
      <c r="G462" s="47">
        <v>3.64</v>
      </c>
    </row>
    <row r="463" spans="1:16">
      <c r="B463" s="60" t="s">
        <v>2093</v>
      </c>
      <c r="C463" s="61"/>
      <c r="D463" s="62">
        <v>37.5</v>
      </c>
      <c r="E463" s="62">
        <v>0.63</v>
      </c>
      <c r="F463" s="62">
        <v>7.5</v>
      </c>
      <c r="G463" s="62"/>
      <c r="H463" s="62"/>
      <c r="I463" s="62"/>
      <c r="J463" s="62"/>
      <c r="K463" s="62"/>
      <c r="L463" s="62"/>
      <c r="M463" s="62"/>
    </row>
    <row r="464" spans="1:16" ht="18" customHeight="1">
      <c r="A464" s="47"/>
      <c r="B464" s="48" t="s">
        <v>1976</v>
      </c>
      <c r="C464" s="54" t="s">
        <v>677</v>
      </c>
      <c r="D464" s="55">
        <v>55</v>
      </c>
      <c r="E464" s="55">
        <v>2</v>
      </c>
      <c r="F464" s="55">
        <v>20.2</v>
      </c>
      <c r="G464" s="55">
        <v>5.4</v>
      </c>
      <c r="H464" s="55">
        <v>43</v>
      </c>
      <c r="I464" s="55">
        <v>0.1</v>
      </c>
      <c r="J464" s="55">
        <v>0</v>
      </c>
      <c r="K464" s="55">
        <v>0.01</v>
      </c>
      <c r="L464" s="55">
        <v>0.12</v>
      </c>
      <c r="M464" s="55">
        <v>0</v>
      </c>
      <c r="N464" s="55">
        <v>18</v>
      </c>
      <c r="O464" s="55">
        <v>0</v>
      </c>
    </row>
    <row r="465" spans="1:18" ht="18" customHeight="1">
      <c r="A465" s="47"/>
      <c r="B465" s="48" t="s">
        <v>1904</v>
      </c>
      <c r="C465" s="54" t="s">
        <v>677</v>
      </c>
      <c r="D465" s="55">
        <v>80</v>
      </c>
      <c r="E465" s="55">
        <v>2</v>
      </c>
      <c r="F465" s="55">
        <v>20.2</v>
      </c>
      <c r="G465" s="55">
        <v>5.4</v>
      </c>
      <c r="H465" s="55">
        <v>43</v>
      </c>
      <c r="I465" s="55">
        <v>0.1</v>
      </c>
      <c r="J465" s="55">
        <v>0</v>
      </c>
      <c r="K465" s="55">
        <v>0.01</v>
      </c>
      <c r="L465" s="55">
        <v>0.12</v>
      </c>
      <c r="M465" s="55">
        <v>0</v>
      </c>
      <c r="N465" s="55">
        <v>18</v>
      </c>
      <c r="O465" s="55">
        <v>0</v>
      </c>
    </row>
    <row r="466" spans="1:18" ht="18" customHeight="1">
      <c r="A466" s="47"/>
      <c r="B466" s="48" t="s">
        <v>1923</v>
      </c>
      <c r="C466" s="54" t="s">
        <v>677</v>
      </c>
      <c r="D466" s="55">
        <v>80</v>
      </c>
      <c r="E466" s="55">
        <v>2</v>
      </c>
      <c r="F466" s="55">
        <v>20.2</v>
      </c>
      <c r="G466" s="55">
        <v>5.4</v>
      </c>
      <c r="H466" s="55">
        <v>43</v>
      </c>
      <c r="I466" s="55">
        <v>0.1</v>
      </c>
      <c r="J466" s="55">
        <v>0</v>
      </c>
      <c r="K466" s="55">
        <v>0.01</v>
      </c>
      <c r="L466" s="55">
        <v>0.12</v>
      </c>
      <c r="M466" s="55">
        <v>0</v>
      </c>
      <c r="N466" s="55">
        <v>18</v>
      </c>
      <c r="O466" s="55">
        <v>0</v>
      </c>
    </row>
    <row r="467" spans="1:18" ht="18" customHeight="1">
      <c r="A467" s="47"/>
      <c r="B467" s="48" t="s">
        <v>1660</v>
      </c>
      <c r="C467" s="54" t="s">
        <v>677</v>
      </c>
      <c r="D467" s="55">
        <v>80</v>
      </c>
      <c r="E467" s="55">
        <v>2</v>
      </c>
      <c r="F467" s="55">
        <v>20.2</v>
      </c>
      <c r="G467" s="55">
        <v>5.4</v>
      </c>
      <c r="H467" s="55">
        <v>43</v>
      </c>
      <c r="I467" s="55">
        <v>0.1</v>
      </c>
      <c r="J467" s="55">
        <v>0</v>
      </c>
      <c r="K467" s="55">
        <v>0.01</v>
      </c>
      <c r="L467" s="55">
        <v>0.12</v>
      </c>
      <c r="M467" s="55">
        <v>0</v>
      </c>
      <c r="N467" s="55">
        <v>18</v>
      </c>
      <c r="O467" s="55">
        <v>0</v>
      </c>
    </row>
    <row r="468" spans="1:18" ht="18" customHeight="1">
      <c r="A468" s="47"/>
      <c r="B468" s="48" t="s">
        <v>1891</v>
      </c>
      <c r="C468" s="54" t="s">
        <v>677</v>
      </c>
      <c r="D468" s="55">
        <v>80</v>
      </c>
      <c r="E468" s="55">
        <v>2</v>
      </c>
      <c r="F468" s="55">
        <v>20.2</v>
      </c>
      <c r="G468" s="55">
        <v>5.4</v>
      </c>
      <c r="H468" s="55">
        <v>43</v>
      </c>
      <c r="I468" s="55">
        <v>0.1</v>
      </c>
      <c r="J468" s="55">
        <v>0</v>
      </c>
      <c r="K468" s="55">
        <v>0.01</v>
      </c>
      <c r="L468" s="55">
        <v>0.12</v>
      </c>
      <c r="M468" s="55">
        <v>0</v>
      </c>
      <c r="N468" s="55">
        <v>18</v>
      </c>
      <c r="O468" s="55">
        <v>0</v>
      </c>
    </row>
    <row r="469" spans="1:18" ht="18" customHeight="1">
      <c r="A469" s="47" t="s">
        <v>664</v>
      </c>
      <c r="B469" s="48" t="s">
        <v>678</v>
      </c>
      <c r="C469" s="54" t="s">
        <v>677</v>
      </c>
      <c r="D469" s="55">
        <v>80</v>
      </c>
      <c r="E469" s="55">
        <v>2</v>
      </c>
      <c r="F469" s="55">
        <v>14.9</v>
      </c>
      <c r="G469" s="55">
        <v>0.3</v>
      </c>
      <c r="H469" s="55">
        <v>43</v>
      </c>
      <c r="I469" s="55">
        <v>0.1</v>
      </c>
      <c r="J469" s="55">
        <v>0</v>
      </c>
      <c r="K469" s="55">
        <v>0.01</v>
      </c>
      <c r="L469" s="55">
        <v>0.12</v>
      </c>
      <c r="M469" s="55">
        <v>0</v>
      </c>
      <c r="N469" s="55">
        <v>18</v>
      </c>
      <c r="O469" s="55">
        <v>0</v>
      </c>
      <c r="P469" s="47" t="s">
        <v>51</v>
      </c>
    </row>
    <row r="470" spans="1:18" ht="18" customHeight="1">
      <c r="A470" s="47" t="s">
        <v>664</v>
      </c>
      <c r="B470" s="48" t="s">
        <v>679</v>
      </c>
      <c r="C470" s="54" t="s">
        <v>680</v>
      </c>
      <c r="D470" s="55">
        <v>30</v>
      </c>
      <c r="E470" s="55">
        <v>1</v>
      </c>
      <c r="F470" s="55">
        <v>15.2</v>
      </c>
      <c r="G470" s="55">
        <v>0.5</v>
      </c>
      <c r="H470" s="55">
        <v>0</v>
      </c>
      <c r="I470" s="55">
        <v>0</v>
      </c>
      <c r="J470" s="55">
        <v>25</v>
      </c>
      <c r="K470" s="55">
        <v>0.02</v>
      </c>
      <c r="L470" s="55">
        <v>0</v>
      </c>
      <c r="M470" s="55">
        <v>0.3</v>
      </c>
      <c r="N470" s="55">
        <v>0.8</v>
      </c>
      <c r="O470" s="55">
        <v>0</v>
      </c>
      <c r="P470" s="47" t="s">
        <v>51</v>
      </c>
    </row>
    <row r="471" spans="1:18" ht="18" customHeight="1">
      <c r="A471" s="47" t="s">
        <v>664</v>
      </c>
      <c r="B471" s="48" t="s">
        <v>681</v>
      </c>
      <c r="C471" s="54" t="s">
        <v>677</v>
      </c>
      <c r="D471" s="55">
        <v>80</v>
      </c>
      <c r="E471" s="55">
        <v>2</v>
      </c>
      <c r="F471" s="55">
        <v>14.9</v>
      </c>
      <c r="G471" s="55">
        <v>0.3</v>
      </c>
      <c r="H471" s="55">
        <v>43</v>
      </c>
      <c r="I471" s="55">
        <v>0.1</v>
      </c>
      <c r="J471" s="55">
        <v>0</v>
      </c>
      <c r="K471" s="55">
        <v>0.01</v>
      </c>
      <c r="L471" s="55">
        <v>0.12</v>
      </c>
      <c r="M471" s="55">
        <v>0</v>
      </c>
      <c r="N471" s="55">
        <v>18</v>
      </c>
      <c r="O471" s="55">
        <v>0</v>
      </c>
      <c r="P471" s="47" t="s">
        <v>51</v>
      </c>
    </row>
    <row r="472" spans="1:18" ht="18" customHeight="1">
      <c r="A472" s="47" t="s">
        <v>664</v>
      </c>
      <c r="B472" s="48" t="s">
        <v>682</v>
      </c>
      <c r="C472" s="54" t="s">
        <v>678</v>
      </c>
      <c r="D472" s="55">
        <v>65</v>
      </c>
      <c r="E472" s="55">
        <v>1</v>
      </c>
      <c r="F472" s="55">
        <v>14.3</v>
      </c>
      <c r="G472" s="55">
        <v>0.5</v>
      </c>
      <c r="H472" s="55">
        <v>75</v>
      </c>
      <c r="I472" s="55">
        <v>0.09</v>
      </c>
      <c r="J472" s="55">
        <v>0</v>
      </c>
      <c r="K472" s="55">
        <v>7.4999999999999997E-2</v>
      </c>
      <c r="L472" s="55">
        <v>0.23</v>
      </c>
      <c r="M472" s="55">
        <v>1.95</v>
      </c>
      <c r="N472" s="55">
        <v>8.25</v>
      </c>
      <c r="O472" s="55">
        <v>0</v>
      </c>
      <c r="P472" s="47" t="s">
        <v>104</v>
      </c>
    </row>
    <row r="473" spans="1:18" ht="18" customHeight="1">
      <c r="A473" s="47" t="s">
        <v>664</v>
      </c>
      <c r="B473" s="48" t="s">
        <v>683</v>
      </c>
      <c r="C473" s="54" t="s">
        <v>684</v>
      </c>
      <c r="D473" s="55">
        <v>76</v>
      </c>
      <c r="E473" s="55">
        <v>1</v>
      </c>
      <c r="F473" s="55">
        <v>16.2</v>
      </c>
      <c r="G473" s="55">
        <v>0.4</v>
      </c>
      <c r="H473" s="55">
        <v>75</v>
      </c>
      <c r="I473" s="55">
        <v>0.1</v>
      </c>
      <c r="J473" s="55">
        <v>0</v>
      </c>
      <c r="K473" s="55">
        <v>0.01</v>
      </c>
      <c r="L473" s="55">
        <v>0.12</v>
      </c>
      <c r="M473" s="55">
        <v>0</v>
      </c>
      <c r="N473" s="55">
        <v>28</v>
      </c>
      <c r="O473" s="55">
        <v>0</v>
      </c>
      <c r="P473" s="47" t="s">
        <v>51</v>
      </c>
    </row>
    <row r="474" spans="1:18" ht="18" customHeight="1">
      <c r="A474" s="47" t="s">
        <v>664</v>
      </c>
      <c r="B474" s="48" t="s">
        <v>685</v>
      </c>
      <c r="C474" s="54" t="s">
        <v>686</v>
      </c>
      <c r="D474" s="55">
        <v>45</v>
      </c>
      <c r="E474" s="55">
        <v>0.8</v>
      </c>
      <c r="F474" s="55">
        <v>14.5</v>
      </c>
      <c r="G474" s="55">
        <v>0.5</v>
      </c>
      <c r="H474" s="55">
        <v>75</v>
      </c>
      <c r="I474" s="55">
        <v>0.1</v>
      </c>
      <c r="J474" s="55">
        <v>0</v>
      </c>
      <c r="K474" s="55">
        <v>0.01</v>
      </c>
      <c r="L474" s="55">
        <v>0.12</v>
      </c>
      <c r="M474" s="55">
        <v>0</v>
      </c>
      <c r="N474" s="55">
        <v>28</v>
      </c>
      <c r="O474" s="55">
        <v>0</v>
      </c>
      <c r="P474" s="47" t="s">
        <v>51</v>
      </c>
      <c r="R474" s="47"/>
    </row>
    <row r="475" spans="1:18" ht="18" customHeight="1">
      <c r="A475" s="47" t="s">
        <v>664</v>
      </c>
      <c r="B475" s="48" t="s">
        <v>687</v>
      </c>
      <c r="C475" s="54" t="s">
        <v>688</v>
      </c>
      <c r="D475" s="55">
        <v>99</v>
      </c>
      <c r="E475" s="55">
        <v>3.2</v>
      </c>
      <c r="F475" s="55">
        <v>16</v>
      </c>
      <c r="G475" s="55">
        <v>1</v>
      </c>
      <c r="H475" s="55">
        <v>105</v>
      </c>
      <c r="I475" s="55">
        <v>0.1</v>
      </c>
      <c r="J475" s="55">
        <v>29</v>
      </c>
      <c r="K475" s="55">
        <v>0.06</v>
      </c>
      <c r="L475" s="55">
        <v>0.11</v>
      </c>
      <c r="M475" s="55">
        <v>0.2</v>
      </c>
      <c r="N475" s="55">
        <v>0</v>
      </c>
      <c r="O475" s="55">
        <v>0</v>
      </c>
      <c r="P475" s="47" t="s">
        <v>51</v>
      </c>
    </row>
    <row r="476" spans="1:18" ht="18" customHeight="1">
      <c r="A476" s="47" t="s">
        <v>664</v>
      </c>
      <c r="B476" s="48" t="s">
        <v>15</v>
      </c>
      <c r="C476" s="54" t="s">
        <v>688</v>
      </c>
      <c r="D476" s="55">
        <v>95</v>
      </c>
      <c r="E476" s="55">
        <v>4</v>
      </c>
      <c r="F476" s="55">
        <v>15.4</v>
      </c>
      <c r="G476" s="55">
        <v>4</v>
      </c>
      <c r="H476" s="55">
        <v>80</v>
      </c>
      <c r="I476" s="55">
        <v>0.1</v>
      </c>
      <c r="J476" s="55">
        <v>25</v>
      </c>
      <c r="K476" s="55">
        <v>0.06</v>
      </c>
      <c r="L476" s="55">
        <v>0.11</v>
      </c>
      <c r="M476" s="55">
        <v>0.2</v>
      </c>
      <c r="N476" s="55">
        <v>0</v>
      </c>
      <c r="O476" s="55">
        <v>0</v>
      </c>
      <c r="P476" s="47" t="s">
        <v>51</v>
      </c>
    </row>
    <row r="477" spans="1:18" ht="18" customHeight="1">
      <c r="A477" s="47" t="s">
        <v>689</v>
      </c>
      <c r="B477" s="48" t="s">
        <v>690</v>
      </c>
      <c r="C477" s="54" t="s">
        <v>691</v>
      </c>
      <c r="D477" s="55">
        <v>85</v>
      </c>
      <c r="E477" s="55">
        <v>2.8</v>
      </c>
      <c r="F477" s="55">
        <v>16</v>
      </c>
      <c r="G477" s="55">
        <v>1.8</v>
      </c>
      <c r="H477" s="55">
        <v>135</v>
      </c>
      <c r="I477" s="55">
        <v>0.2</v>
      </c>
      <c r="J477" s="55">
        <v>32</v>
      </c>
      <c r="K477" s="55">
        <v>0.05</v>
      </c>
      <c r="L477" s="55">
        <v>0.12</v>
      </c>
      <c r="M477" s="55">
        <v>0</v>
      </c>
      <c r="N477" s="55">
        <v>0</v>
      </c>
      <c r="O477" s="55">
        <v>0</v>
      </c>
      <c r="P477" s="47" t="s">
        <v>51</v>
      </c>
    </row>
    <row r="478" spans="1:18" ht="18" customHeight="1">
      <c r="A478" s="47" t="s">
        <v>664</v>
      </c>
      <c r="B478" s="48" t="s">
        <v>1670</v>
      </c>
      <c r="C478" s="54" t="s">
        <v>26</v>
      </c>
      <c r="D478" s="55">
        <v>63</v>
      </c>
      <c r="E478" s="55">
        <v>3.1</v>
      </c>
      <c r="F478" s="55">
        <v>4.8</v>
      </c>
      <c r="G478" s="55">
        <v>3.4</v>
      </c>
      <c r="H478" s="55">
        <v>100</v>
      </c>
      <c r="I478" s="55">
        <v>0.1</v>
      </c>
      <c r="J478" s="55">
        <v>31</v>
      </c>
      <c r="K478" s="55">
        <v>0.03</v>
      </c>
      <c r="L478" s="55">
        <v>0.16</v>
      </c>
      <c r="M478" s="55">
        <v>0.1</v>
      </c>
      <c r="N478" s="55">
        <v>0</v>
      </c>
      <c r="O478" s="55">
        <v>0</v>
      </c>
      <c r="P478" s="47" t="s">
        <v>51</v>
      </c>
    </row>
    <row r="479" spans="1:18" ht="18" customHeight="1">
      <c r="A479" s="47" t="s">
        <v>664</v>
      </c>
      <c r="B479" s="48" t="s">
        <v>1774</v>
      </c>
      <c r="C479" s="54" t="s">
        <v>693</v>
      </c>
      <c r="D479" s="55">
        <v>63</v>
      </c>
      <c r="E479" s="55">
        <v>2.4</v>
      </c>
      <c r="F479" s="55">
        <v>14.9</v>
      </c>
      <c r="G479" s="55">
        <v>1.5</v>
      </c>
      <c r="H479" s="55">
        <v>135</v>
      </c>
      <c r="I479" s="55">
        <v>0.3</v>
      </c>
      <c r="J479" s="55">
        <v>11</v>
      </c>
      <c r="K479" s="55">
        <v>0.04</v>
      </c>
      <c r="L479" s="55">
        <v>0.09</v>
      </c>
      <c r="M479" s="55">
        <v>0.3</v>
      </c>
      <c r="N479" s="55">
        <v>0</v>
      </c>
      <c r="O479" s="55">
        <v>0</v>
      </c>
      <c r="P479" s="47" t="s">
        <v>51</v>
      </c>
    </row>
    <row r="480" spans="1:18" ht="18" customHeight="1">
      <c r="A480" s="47" t="s">
        <v>664</v>
      </c>
      <c r="B480" s="48" t="s">
        <v>1978</v>
      </c>
      <c r="C480" s="54" t="s">
        <v>26</v>
      </c>
      <c r="D480" s="55">
        <v>63</v>
      </c>
      <c r="E480" s="55">
        <v>2.4</v>
      </c>
      <c r="F480" s="55">
        <v>14.9</v>
      </c>
      <c r="G480" s="55">
        <v>1.5</v>
      </c>
      <c r="H480" s="55">
        <v>135</v>
      </c>
      <c r="I480" s="55">
        <v>0.3</v>
      </c>
      <c r="J480" s="55">
        <v>11</v>
      </c>
      <c r="K480" s="55">
        <v>0.04</v>
      </c>
      <c r="L480" s="55">
        <v>0.09</v>
      </c>
      <c r="M480" s="55">
        <v>0.3</v>
      </c>
      <c r="N480" s="55">
        <v>0</v>
      </c>
      <c r="O480" s="55">
        <v>0</v>
      </c>
      <c r="P480" s="47" t="s">
        <v>51</v>
      </c>
    </row>
    <row r="481" spans="1:22" ht="18" customHeight="1">
      <c r="A481" s="47" t="s">
        <v>664</v>
      </c>
      <c r="B481" s="48" t="s">
        <v>692</v>
      </c>
      <c r="C481" s="54" t="s">
        <v>693</v>
      </c>
      <c r="D481" s="55">
        <v>63</v>
      </c>
      <c r="E481" s="55">
        <v>2.4</v>
      </c>
      <c r="F481" s="55">
        <v>14.9</v>
      </c>
      <c r="G481" s="55">
        <v>1.5</v>
      </c>
      <c r="H481" s="55">
        <v>135</v>
      </c>
      <c r="I481" s="55">
        <v>0.3</v>
      </c>
      <c r="J481" s="55">
        <v>11</v>
      </c>
      <c r="K481" s="55">
        <v>0.04</v>
      </c>
      <c r="L481" s="55">
        <v>0.09</v>
      </c>
      <c r="M481" s="55">
        <v>0.3</v>
      </c>
      <c r="N481" s="55">
        <v>0</v>
      </c>
      <c r="O481" s="55">
        <v>0</v>
      </c>
      <c r="P481" s="47" t="s">
        <v>51</v>
      </c>
    </row>
    <row r="482" spans="1:22" ht="18" customHeight="1">
      <c r="A482" s="47"/>
      <c r="B482" s="48" t="s">
        <v>694</v>
      </c>
      <c r="C482" s="54" t="s">
        <v>695</v>
      </c>
      <c r="D482" s="55">
        <v>63</v>
      </c>
      <c r="E482" s="55">
        <v>2.4</v>
      </c>
      <c r="F482" s="55">
        <v>75.900000000000006</v>
      </c>
      <c r="G482" s="55">
        <v>23</v>
      </c>
      <c r="H482" s="55">
        <v>135</v>
      </c>
      <c r="I482" s="55">
        <v>0.3</v>
      </c>
      <c r="J482" s="55">
        <v>11</v>
      </c>
      <c r="K482" s="55">
        <v>0.04</v>
      </c>
      <c r="L482" s="55">
        <v>0.09</v>
      </c>
      <c r="M482" s="55">
        <v>0.3</v>
      </c>
      <c r="N482" s="55">
        <v>0</v>
      </c>
      <c r="O482" s="55">
        <v>0</v>
      </c>
      <c r="P482" s="47" t="s">
        <v>59</v>
      </c>
    </row>
    <row r="483" spans="1:22" ht="18" customHeight="1">
      <c r="A483" s="47" t="s">
        <v>664</v>
      </c>
      <c r="B483" s="48" t="s">
        <v>696</v>
      </c>
      <c r="C483" s="54" t="s">
        <v>697</v>
      </c>
      <c r="D483" s="55">
        <v>51</v>
      </c>
      <c r="E483" s="55">
        <v>3.6</v>
      </c>
      <c r="F483" s="55">
        <v>81.5</v>
      </c>
      <c r="G483" s="55">
        <v>3.6</v>
      </c>
      <c r="H483" s="55">
        <v>130</v>
      </c>
      <c r="I483" s="55">
        <v>0.1</v>
      </c>
      <c r="J483" s="55">
        <v>13</v>
      </c>
      <c r="K483" s="55">
        <v>0.04</v>
      </c>
      <c r="L483" s="55">
        <v>0.18</v>
      </c>
      <c r="M483" s="55">
        <v>0.1</v>
      </c>
      <c r="N483" s="55">
        <v>1</v>
      </c>
      <c r="O483" s="55">
        <v>0</v>
      </c>
      <c r="P483" s="47" t="s">
        <v>51</v>
      </c>
    </row>
    <row r="484" spans="1:22" ht="18" customHeight="1">
      <c r="A484" s="47" t="s">
        <v>664</v>
      </c>
      <c r="B484" s="48" t="s">
        <v>698</v>
      </c>
      <c r="C484" s="54" t="s">
        <v>699</v>
      </c>
      <c r="D484" s="55">
        <v>32</v>
      </c>
      <c r="E484" s="55">
        <v>3</v>
      </c>
      <c r="F484" s="55">
        <v>86.2</v>
      </c>
      <c r="G484" s="55">
        <v>0.1</v>
      </c>
      <c r="H484" s="55">
        <v>100</v>
      </c>
      <c r="I484" s="55">
        <v>0.1</v>
      </c>
      <c r="J484" s="55">
        <v>0</v>
      </c>
      <c r="K484" s="55">
        <v>0.04</v>
      </c>
      <c r="L484" s="55">
        <v>0.15</v>
      </c>
      <c r="M484" s="55">
        <v>0.1</v>
      </c>
      <c r="N484" s="55">
        <v>2</v>
      </c>
      <c r="O484" s="55">
        <v>0</v>
      </c>
      <c r="P484" s="47" t="s">
        <v>51</v>
      </c>
    </row>
    <row r="485" spans="1:22" ht="18" customHeight="1">
      <c r="A485" s="47" t="s">
        <v>664</v>
      </c>
      <c r="B485" s="48" t="s">
        <v>700</v>
      </c>
      <c r="C485" s="54" t="s">
        <v>701</v>
      </c>
      <c r="D485" s="55">
        <v>312</v>
      </c>
      <c r="E485" s="55">
        <v>18.3</v>
      </c>
      <c r="F485" s="55">
        <v>91.7</v>
      </c>
      <c r="G485" s="55">
        <v>24.2</v>
      </c>
      <c r="H485" s="55">
        <v>503</v>
      </c>
      <c r="I485" s="55">
        <v>0.3</v>
      </c>
      <c r="J485" s="55">
        <v>238</v>
      </c>
      <c r="K485" s="55">
        <v>7.0000000000000007E-2</v>
      </c>
      <c r="L485" s="55">
        <v>0.3</v>
      </c>
      <c r="M485" s="55">
        <v>0.1</v>
      </c>
      <c r="N485" s="55">
        <v>0</v>
      </c>
      <c r="O485" s="55">
        <v>0</v>
      </c>
      <c r="P485" s="47" t="s">
        <v>51</v>
      </c>
    </row>
    <row r="486" spans="1:22" ht="18" customHeight="1">
      <c r="A486" s="47"/>
      <c r="B486" s="48" t="s">
        <v>2195</v>
      </c>
      <c r="C486" s="54"/>
      <c r="D486" s="55">
        <v>240</v>
      </c>
      <c r="E486" s="55">
        <v>5</v>
      </c>
      <c r="F486" s="55">
        <v>53</v>
      </c>
      <c r="G486" s="55">
        <v>0.6</v>
      </c>
      <c r="H486" s="55"/>
      <c r="I486" s="55"/>
      <c r="J486" s="55"/>
      <c r="K486" s="55"/>
      <c r="L486" s="55"/>
      <c r="M486" s="55"/>
      <c r="N486" s="55"/>
      <c r="O486" s="55"/>
    </row>
    <row r="487" spans="1:22" ht="18" customHeight="1">
      <c r="A487" s="47"/>
      <c r="B487" s="48" t="s">
        <v>702</v>
      </c>
      <c r="C487" s="54" t="s">
        <v>701</v>
      </c>
      <c r="D487" s="55">
        <v>312</v>
      </c>
      <c r="E487" s="55">
        <v>18.3</v>
      </c>
      <c r="F487" s="55">
        <v>91.7</v>
      </c>
      <c r="G487" s="55">
        <v>22.8</v>
      </c>
      <c r="H487" s="55">
        <v>503</v>
      </c>
      <c r="I487" s="55">
        <v>0.3</v>
      </c>
      <c r="J487" s="55">
        <v>238</v>
      </c>
      <c r="K487" s="55">
        <v>7.0000000000000007E-2</v>
      </c>
      <c r="L487" s="55">
        <v>0.3</v>
      </c>
      <c r="M487" s="55">
        <v>0.1</v>
      </c>
      <c r="N487" s="55">
        <v>0</v>
      </c>
      <c r="O487" s="55">
        <v>0</v>
      </c>
      <c r="P487" s="47" t="s">
        <v>59</v>
      </c>
    </row>
    <row r="488" spans="1:22" ht="18" customHeight="1">
      <c r="A488" s="47" t="s">
        <v>664</v>
      </c>
      <c r="B488" s="48" t="s">
        <v>1654</v>
      </c>
      <c r="C488" s="54" t="s">
        <v>701</v>
      </c>
      <c r="D488" s="55">
        <v>201</v>
      </c>
      <c r="E488" s="55">
        <v>25.7</v>
      </c>
      <c r="F488" s="55">
        <v>90.6</v>
      </c>
      <c r="G488" s="55">
        <v>22</v>
      </c>
      <c r="H488" s="55">
        <v>864</v>
      </c>
      <c r="I488" s="55">
        <v>0.3</v>
      </c>
      <c r="J488" s="55">
        <v>345</v>
      </c>
      <c r="K488" s="55">
        <v>0.04</v>
      </c>
      <c r="L488" s="55">
        <v>0.45</v>
      </c>
      <c r="M488" s="55">
        <v>0.1</v>
      </c>
      <c r="N488" s="55">
        <v>0</v>
      </c>
      <c r="O488" s="55">
        <v>0</v>
      </c>
      <c r="P488" s="47" t="s">
        <v>51</v>
      </c>
    </row>
    <row r="489" spans="1:22" ht="18" customHeight="1">
      <c r="A489" s="47" t="s">
        <v>664</v>
      </c>
      <c r="B489" s="48" t="s">
        <v>703</v>
      </c>
      <c r="C489" s="54" t="s">
        <v>701</v>
      </c>
      <c r="D489" s="55">
        <v>201</v>
      </c>
      <c r="E489" s="55">
        <v>25.7</v>
      </c>
      <c r="F489" s="55">
        <v>4.0999999999999996</v>
      </c>
      <c r="G489" s="55">
        <v>15</v>
      </c>
      <c r="H489" s="55">
        <v>864</v>
      </c>
      <c r="I489" s="55">
        <v>0.3</v>
      </c>
      <c r="J489" s="55">
        <v>345</v>
      </c>
      <c r="K489" s="55">
        <v>0.04</v>
      </c>
      <c r="L489" s="55">
        <v>0.45</v>
      </c>
      <c r="M489" s="55">
        <v>0.1</v>
      </c>
      <c r="N489" s="55">
        <v>0</v>
      </c>
      <c r="O489" s="55">
        <v>0</v>
      </c>
      <c r="P489" s="47" t="s">
        <v>51</v>
      </c>
    </row>
    <row r="490" spans="1:22" ht="18" customHeight="1">
      <c r="A490" s="47" t="s">
        <v>664</v>
      </c>
      <c r="B490" s="48" t="s">
        <v>704</v>
      </c>
      <c r="C490" s="54" t="s">
        <v>701</v>
      </c>
      <c r="D490" s="55">
        <v>423</v>
      </c>
      <c r="E490" s="55">
        <v>25.7</v>
      </c>
      <c r="F490" s="55">
        <v>19.8</v>
      </c>
      <c r="G490" s="55">
        <v>33.799999999999997</v>
      </c>
      <c r="H490" s="55">
        <v>740</v>
      </c>
      <c r="I490" s="55">
        <v>0.3</v>
      </c>
      <c r="J490" s="55">
        <v>345</v>
      </c>
      <c r="K490" s="55">
        <v>0.04</v>
      </c>
      <c r="L490" s="55">
        <v>0.45</v>
      </c>
      <c r="M490" s="55">
        <v>0.1</v>
      </c>
      <c r="N490" s="55">
        <v>0</v>
      </c>
      <c r="O490" s="55">
        <v>0</v>
      </c>
      <c r="P490" s="47" t="s">
        <v>51</v>
      </c>
    </row>
    <row r="491" spans="1:22" ht="18" customHeight="1">
      <c r="A491" s="47" t="s">
        <v>664</v>
      </c>
      <c r="B491" s="48" t="s">
        <v>705</v>
      </c>
      <c r="C491" s="54" t="s">
        <v>706</v>
      </c>
      <c r="D491" s="55">
        <v>288</v>
      </c>
      <c r="E491" s="55">
        <v>19.399999999999999</v>
      </c>
      <c r="F491" s="55">
        <v>12.4</v>
      </c>
      <c r="G491" s="55">
        <v>21.6</v>
      </c>
      <c r="H491" s="55">
        <v>517</v>
      </c>
      <c r="I491" s="55">
        <v>0.2</v>
      </c>
      <c r="J491" s="55">
        <v>190</v>
      </c>
      <c r="K491" s="55">
        <v>0.02</v>
      </c>
      <c r="L491" s="55">
        <v>0.24</v>
      </c>
      <c r="M491" s="55">
        <v>0.1</v>
      </c>
      <c r="N491" s="55">
        <v>0</v>
      </c>
      <c r="O491" s="55">
        <v>0</v>
      </c>
      <c r="P491" s="47" t="s">
        <v>51</v>
      </c>
    </row>
    <row r="492" spans="1:22" ht="18" customHeight="1">
      <c r="A492" s="47" t="s">
        <v>664</v>
      </c>
      <c r="B492" s="48" t="s">
        <v>1883</v>
      </c>
      <c r="C492" s="54" t="s">
        <v>706</v>
      </c>
      <c r="D492" s="55">
        <v>288</v>
      </c>
      <c r="E492" s="55">
        <v>19.399999999999999</v>
      </c>
      <c r="F492" s="55">
        <v>12.4</v>
      </c>
      <c r="G492" s="55">
        <v>21.6</v>
      </c>
      <c r="H492" s="55">
        <v>517</v>
      </c>
      <c r="I492" s="55">
        <v>0.2</v>
      </c>
      <c r="J492" s="55">
        <v>190</v>
      </c>
      <c r="K492" s="55">
        <v>0.02</v>
      </c>
      <c r="L492" s="55">
        <v>0.24</v>
      </c>
      <c r="M492" s="55">
        <v>0.1</v>
      </c>
      <c r="N492" s="55">
        <v>0</v>
      </c>
      <c r="O492" s="55">
        <v>0</v>
      </c>
      <c r="P492" s="47" t="s">
        <v>51</v>
      </c>
    </row>
    <row r="493" spans="1:22" ht="18" customHeight="1">
      <c r="A493" s="47"/>
      <c r="B493" s="48" t="s">
        <v>1796</v>
      </c>
      <c r="C493" s="54" t="s">
        <v>1796</v>
      </c>
      <c r="D493" s="55">
        <v>312</v>
      </c>
      <c r="E493" s="55">
        <v>18.3</v>
      </c>
      <c r="F493" s="55">
        <v>91.7</v>
      </c>
      <c r="G493" s="55">
        <v>24.2</v>
      </c>
      <c r="H493" s="55">
        <v>503</v>
      </c>
      <c r="I493" s="55">
        <v>0.3</v>
      </c>
      <c r="J493" s="55">
        <v>238</v>
      </c>
      <c r="K493" s="55">
        <v>7.0000000000000007E-2</v>
      </c>
      <c r="L493" s="55">
        <v>0.3</v>
      </c>
      <c r="M493" s="55">
        <v>0.1</v>
      </c>
      <c r="N493" s="55">
        <v>0</v>
      </c>
      <c r="O493" s="55">
        <v>0</v>
      </c>
    </row>
    <row r="494" spans="1:22" ht="18" customHeight="1">
      <c r="A494" s="47" t="s">
        <v>664</v>
      </c>
      <c r="B494" s="48" t="s">
        <v>707</v>
      </c>
      <c r="C494" s="54" t="s">
        <v>708</v>
      </c>
      <c r="D494" s="55">
        <v>304</v>
      </c>
      <c r="E494" s="55">
        <v>2.2000000000000002</v>
      </c>
      <c r="F494" s="55">
        <v>4.7</v>
      </c>
      <c r="G494" s="55">
        <v>30.9</v>
      </c>
      <c r="H494" s="55">
        <v>69</v>
      </c>
      <c r="I494" s="55">
        <v>0</v>
      </c>
      <c r="J494" s="55">
        <v>271</v>
      </c>
      <c r="K494" s="55">
        <v>0.02</v>
      </c>
      <c r="L494" s="55">
        <v>0.13</v>
      </c>
      <c r="M494" s="55">
        <v>0</v>
      </c>
      <c r="N494" s="55">
        <v>1</v>
      </c>
      <c r="O494" s="55">
        <v>0</v>
      </c>
      <c r="P494" s="47" t="s">
        <v>51</v>
      </c>
    </row>
    <row r="495" spans="1:22" ht="18" customHeight="1">
      <c r="A495" s="47" t="s">
        <v>664</v>
      </c>
      <c r="B495" s="48" t="s">
        <v>709</v>
      </c>
      <c r="C495" s="54" t="s">
        <v>710</v>
      </c>
      <c r="D495" s="55">
        <v>359</v>
      </c>
      <c r="E495" s="55">
        <v>2.1</v>
      </c>
      <c r="F495" s="55">
        <v>4.7</v>
      </c>
      <c r="G495" s="55">
        <v>37</v>
      </c>
      <c r="H495" s="55">
        <v>65</v>
      </c>
      <c r="I495" s="55">
        <v>0</v>
      </c>
      <c r="J495" s="55">
        <v>320</v>
      </c>
      <c r="K495" s="55">
        <v>0.02</v>
      </c>
      <c r="L495" s="55">
        <v>0.11</v>
      </c>
      <c r="M495" s="55">
        <v>0</v>
      </c>
      <c r="N495" s="55">
        <v>1</v>
      </c>
      <c r="O495" s="55">
        <v>0</v>
      </c>
      <c r="P495" s="47" t="s">
        <v>51</v>
      </c>
    </row>
    <row r="496" spans="1:22" ht="18" customHeight="1">
      <c r="A496" s="47" t="s">
        <v>711</v>
      </c>
      <c r="B496" s="48" t="s">
        <v>712</v>
      </c>
      <c r="C496" s="54" t="s">
        <v>712</v>
      </c>
      <c r="D496" s="55">
        <v>554</v>
      </c>
      <c r="E496" s="55">
        <v>0</v>
      </c>
      <c r="F496" s="55">
        <v>0</v>
      </c>
      <c r="G496" s="55">
        <v>100</v>
      </c>
      <c r="H496" s="55">
        <v>0</v>
      </c>
      <c r="I496" s="55">
        <v>0</v>
      </c>
      <c r="J496" s="55">
        <v>0</v>
      </c>
      <c r="K496" s="55">
        <v>0</v>
      </c>
      <c r="L496" s="55">
        <v>0</v>
      </c>
      <c r="M496" s="55">
        <v>0</v>
      </c>
      <c r="N496" s="55">
        <v>0</v>
      </c>
      <c r="O496" s="55">
        <v>0</v>
      </c>
      <c r="P496" s="47" t="s">
        <v>51</v>
      </c>
      <c r="V496" s="52">
        <v>0</v>
      </c>
    </row>
    <row r="497" spans="1:16" ht="18" customHeight="1">
      <c r="A497" s="47" t="s">
        <v>711</v>
      </c>
      <c r="B497" s="48" t="s">
        <v>713</v>
      </c>
      <c r="C497" s="54" t="s">
        <v>713</v>
      </c>
      <c r="D497" s="55">
        <v>920</v>
      </c>
      <c r="E497" s="55">
        <v>0</v>
      </c>
      <c r="F497" s="55">
        <v>0</v>
      </c>
      <c r="G497" s="55">
        <v>99.9</v>
      </c>
      <c r="H497" s="55">
        <v>0</v>
      </c>
      <c r="I497" s="55">
        <v>0</v>
      </c>
      <c r="J497" s="55">
        <v>0</v>
      </c>
      <c r="K497" s="55">
        <v>0</v>
      </c>
      <c r="L497" s="55">
        <v>0</v>
      </c>
      <c r="M497" s="55">
        <v>0</v>
      </c>
      <c r="N497" s="55">
        <v>0</v>
      </c>
      <c r="O497" s="55">
        <v>0</v>
      </c>
      <c r="P497" s="47" t="s">
        <v>51</v>
      </c>
    </row>
    <row r="498" spans="1:16" ht="18" customHeight="1">
      <c r="A498" s="47" t="s">
        <v>711</v>
      </c>
      <c r="B498" s="48" t="s">
        <v>714</v>
      </c>
      <c r="C498" s="54" t="s">
        <v>714</v>
      </c>
      <c r="D498" s="55">
        <v>638</v>
      </c>
      <c r="E498" s="55">
        <v>21.4</v>
      </c>
      <c r="F498" s="55">
        <v>0</v>
      </c>
      <c r="G498" s="55">
        <v>49.1</v>
      </c>
      <c r="H498" s="55">
        <v>40</v>
      </c>
      <c r="I498" s="55">
        <v>2.5</v>
      </c>
      <c r="J498" s="55">
        <v>0</v>
      </c>
      <c r="K498" s="55">
        <v>0.16</v>
      </c>
      <c r="L498" s="55">
        <v>0.16</v>
      </c>
      <c r="M498" s="55">
        <v>4.7</v>
      </c>
      <c r="N498" s="55">
        <v>0</v>
      </c>
      <c r="O498" s="55">
        <v>0</v>
      </c>
      <c r="P498" s="47" t="s">
        <v>51</v>
      </c>
    </row>
    <row r="499" spans="1:16" ht="18" customHeight="1">
      <c r="A499" s="47" t="s">
        <v>711</v>
      </c>
      <c r="B499" s="48" t="s">
        <v>715</v>
      </c>
      <c r="C499" s="54" t="s">
        <v>715</v>
      </c>
      <c r="D499" s="55">
        <v>857</v>
      </c>
      <c r="E499" s="55">
        <v>0</v>
      </c>
      <c r="F499" s="55">
        <v>0</v>
      </c>
      <c r="G499" s="55">
        <v>97.1</v>
      </c>
      <c r="H499" s="55">
        <v>0</v>
      </c>
      <c r="I499" s="55">
        <v>0</v>
      </c>
      <c r="J499" s="55">
        <v>0</v>
      </c>
      <c r="K499" s="55">
        <v>0</v>
      </c>
      <c r="L499" s="55">
        <v>0</v>
      </c>
      <c r="M499" s="55">
        <v>0</v>
      </c>
      <c r="N499" s="55">
        <v>0</v>
      </c>
      <c r="O499" s="55">
        <v>0</v>
      </c>
      <c r="P499" s="47" t="s">
        <v>51</v>
      </c>
    </row>
    <row r="500" spans="1:16" ht="18" customHeight="1">
      <c r="A500" s="47" t="s">
        <v>711</v>
      </c>
      <c r="B500" s="48" t="s">
        <v>716</v>
      </c>
      <c r="C500" s="54" t="s">
        <v>717</v>
      </c>
      <c r="D500" s="55">
        <v>755</v>
      </c>
      <c r="E500" s="55">
        <v>1</v>
      </c>
      <c r="F500" s="55">
        <v>0.5</v>
      </c>
      <c r="G500" s="55">
        <v>83</v>
      </c>
      <c r="H500" s="55">
        <v>22</v>
      </c>
      <c r="I500" s="55">
        <v>0.1</v>
      </c>
      <c r="J500" s="55">
        <v>28</v>
      </c>
      <c r="K500" s="55">
        <v>123</v>
      </c>
      <c r="L500" s="55">
        <v>0.01</v>
      </c>
      <c r="M500" s="55">
        <v>0.03</v>
      </c>
      <c r="N500" s="55">
        <v>0</v>
      </c>
      <c r="O500" s="55">
        <v>0</v>
      </c>
      <c r="P500" s="47" t="s">
        <v>51</v>
      </c>
    </row>
    <row r="501" spans="1:16" ht="18" customHeight="1">
      <c r="A501" s="47" t="s">
        <v>711</v>
      </c>
      <c r="B501" s="48" t="s">
        <v>718</v>
      </c>
      <c r="C501" s="54" t="s">
        <v>718</v>
      </c>
      <c r="D501" s="55">
        <v>902</v>
      </c>
      <c r="E501" s="55">
        <v>0</v>
      </c>
      <c r="F501" s="55">
        <v>0</v>
      </c>
      <c r="G501" s="55">
        <v>100</v>
      </c>
      <c r="H501" s="55">
        <v>0</v>
      </c>
      <c r="I501" s="55">
        <v>0</v>
      </c>
      <c r="J501" s="55">
        <v>0</v>
      </c>
      <c r="K501" s="55">
        <v>0</v>
      </c>
      <c r="L501" s="55">
        <v>0</v>
      </c>
      <c r="M501" s="55">
        <v>0</v>
      </c>
      <c r="N501" s="55">
        <v>0</v>
      </c>
      <c r="O501" s="55">
        <v>0</v>
      </c>
      <c r="P501" s="47" t="s">
        <v>51</v>
      </c>
    </row>
    <row r="502" spans="1:16" ht="18" customHeight="1">
      <c r="A502" s="47" t="s">
        <v>711</v>
      </c>
      <c r="B502" s="48" t="s">
        <v>719</v>
      </c>
      <c r="C502" s="54" t="s">
        <v>720</v>
      </c>
      <c r="D502" s="55">
        <v>721</v>
      </c>
      <c r="E502" s="55">
        <v>0.2</v>
      </c>
      <c r="F502" s="55">
        <v>0.1</v>
      </c>
      <c r="G502" s="55">
        <v>81.400000000000006</v>
      </c>
      <c r="H502" s="55">
        <v>6</v>
      </c>
      <c r="I502" s="55">
        <v>0</v>
      </c>
      <c r="J502" s="55">
        <v>1700</v>
      </c>
      <c r="K502" s="55">
        <v>0</v>
      </c>
      <c r="L502" s="55">
        <v>0</v>
      </c>
      <c r="M502" s="55">
        <v>0</v>
      </c>
      <c r="N502" s="55">
        <v>0</v>
      </c>
      <c r="O502" s="55">
        <v>0</v>
      </c>
      <c r="P502" s="47" t="s">
        <v>51</v>
      </c>
    </row>
    <row r="503" spans="1:16" ht="18" customHeight="1">
      <c r="A503" s="47" t="s">
        <v>711</v>
      </c>
      <c r="B503" s="48" t="s">
        <v>721</v>
      </c>
      <c r="C503" s="54" t="s">
        <v>721</v>
      </c>
      <c r="D503" s="55">
        <v>884</v>
      </c>
      <c r="E503" s="55">
        <v>0</v>
      </c>
      <c r="F503" s="55">
        <v>0</v>
      </c>
      <c r="G503" s="55">
        <v>100</v>
      </c>
      <c r="H503" s="55">
        <v>0</v>
      </c>
      <c r="I503" s="55">
        <v>0</v>
      </c>
      <c r="J503" s="55">
        <v>0</v>
      </c>
      <c r="K503" s="55">
        <v>0</v>
      </c>
      <c r="L503" s="55">
        <v>0</v>
      </c>
      <c r="M503" s="55">
        <v>0</v>
      </c>
      <c r="N503" s="55">
        <v>0</v>
      </c>
      <c r="O503" s="55">
        <v>0</v>
      </c>
      <c r="P503" s="47" t="s">
        <v>51</v>
      </c>
    </row>
    <row r="504" spans="1:16" ht="18" customHeight="1">
      <c r="A504" s="47" t="s">
        <v>711</v>
      </c>
      <c r="B504" s="48" t="s">
        <v>722</v>
      </c>
      <c r="C504" s="54" t="s">
        <v>722</v>
      </c>
      <c r="D504" s="55">
        <v>859</v>
      </c>
      <c r="E504" s="55">
        <v>0</v>
      </c>
      <c r="F504" s="55">
        <v>0</v>
      </c>
      <c r="G504" s="55">
        <v>96.4</v>
      </c>
      <c r="H504" s="55">
        <v>0</v>
      </c>
      <c r="I504" s="55">
        <v>0.36</v>
      </c>
      <c r="J504" s="55">
        <v>0</v>
      </c>
      <c r="K504" s="55">
        <v>0</v>
      </c>
      <c r="L504" s="55">
        <v>0</v>
      </c>
      <c r="M504" s="55">
        <v>0</v>
      </c>
      <c r="N504" s="55">
        <v>0</v>
      </c>
      <c r="O504" s="55">
        <v>0</v>
      </c>
      <c r="P504" s="47" t="s">
        <v>51</v>
      </c>
    </row>
    <row r="505" spans="1:16" ht="18" customHeight="1">
      <c r="A505" s="47" t="s">
        <v>711</v>
      </c>
      <c r="B505" s="48" t="s">
        <v>723</v>
      </c>
      <c r="C505" s="54" t="s">
        <v>723</v>
      </c>
      <c r="D505" s="55">
        <v>884</v>
      </c>
      <c r="E505" s="55">
        <v>0</v>
      </c>
      <c r="F505" s="55">
        <v>0</v>
      </c>
      <c r="G505" s="55">
        <v>100</v>
      </c>
      <c r="H505" s="55">
        <v>0</v>
      </c>
      <c r="I505" s="55">
        <v>0</v>
      </c>
      <c r="J505" s="55">
        <v>0</v>
      </c>
      <c r="K505" s="55">
        <v>0</v>
      </c>
      <c r="L505" s="55">
        <v>0</v>
      </c>
      <c r="M505" s="55">
        <v>0</v>
      </c>
      <c r="N505" s="55">
        <v>0</v>
      </c>
      <c r="O505" s="55">
        <v>0</v>
      </c>
      <c r="P505" s="47" t="s">
        <v>51</v>
      </c>
    </row>
    <row r="506" spans="1:16" ht="18" customHeight="1">
      <c r="A506" s="47"/>
      <c r="B506" s="48" t="s">
        <v>2007</v>
      </c>
      <c r="C506" s="54"/>
      <c r="D506" s="55">
        <v>828</v>
      </c>
      <c r="E506" s="55">
        <v>0</v>
      </c>
      <c r="F506" s="55">
        <v>0.14000000000000001</v>
      </c>
      <c r="G506" s="55">
        <v>92</v>
      </c>
      <c r="H506" s="55">
        <v>0</v>
      </c>
      <c r="I506" s="55">
        <v>0</v>
      </c>
      <c r="J506" s="55">
        <v>0</v>
      </c>
      <c r="K506" s="55">
        <v>0</v>
      </c>
      <c r="L506" s="55">
        <v>0</v>
      </c>
      <c r="M506" s="55">
        <v>0</v>
      </c>
      <c r="N506" s="55">
        <v>0</v>
      </c>
      <c r="O506" s="55">
        <v>0</v>
      </c>
    </row>
    <row r="507" spans="1:16" ht="18" customHeight="1">
      <c r="A507" s="47" t="s">
        <v>711</v>
      </c>
      <c r="B507" s="48" t="s">
        <v>724</v>
      </c>
      <c r="C507" s="54" t="s">
        <v>724</v>
      </c>
      <c r="D507" s="55">
        <v>884</v>
      </c>
      <c r="E507" s="55">
        <v>0</v>
      </c>
      <c r="F507" s="55">
        <v>0.4</v>
      </c>
      <c r="G507" s="55">
        <v>100</v>
      </c>
      <c r="H507" s="55">
        <v>0</v>
      </c>
      <c r="I507" s="55">
        <v>0</v>
      </c>
      <c r="J507" s="55">
        <v>0</v>
      </c>
      <c r="K507" s="55">
        <v>0</v>
      </c>
      <c r="L507" s="55">
        <v>0</v>
      </c>
      <c r="M507" s="55">
        <v>0</v>
      </c>
      <c r="N507" s="55">
        <v>0</v>
      </c>
      <c r="O507" s="55">
        <v>0</v>
      </c>
      <c r="P507" s="47" t="s">
        <v>51</v>
      </c>
    </row>
    <row r="508" spans="1:16" ht="18" customHeight="1">
      <c r="A508" s="47" t="s">
        <v>711</v>
      </c>
      <c r="B508" s="48" t="s">
        <v>725</v>
      </c>
      <c r="C508" s="54" t="s">
        <v>726</v>
      </c>
      <c r="D508" s="55">
        <v>884</v>
      </c>
      <c r="E508" s="55">
        <v>0</v>
      </c>
      <c r="F508" s="55">
        <v>0</v>
      </c>
      <c r="G508" s="55">
        <v>100</v>
      </c>
      <c r="H508" s="55">
        <v>0</v>
      </c>
      <c r="I508" s="55">
        <v>0</v>
      </c>
      <c r="J508" s="55">
        <v>0</v>
      </c>
      <c r="K508" s="55">
        <v>0</v>
      </c>
      <c r="L508" s="55">
        <v>0</v>
      </c>
      <c r="M508" s="55">
        <v>0</v>
      </c>
      <c r="N508" s="55">
        <v>0</v>
      </c>
      <c r="O508" s="55">
        <v>0</v>
      </c>
      <c r="P508" s="47" t="s">
        <v>51</v>
      </c>
    </row>
    <row r="509" spans="1:16" ht="18" customHeight="1">
      <c r="A509" s="47" t="s">
        <v>711</v>
      </c>
      <c r="B509" s="48" t="s">
        <v>727</v>
      </c>
      <c r="C509" s="54" t="s">
        <v>727</v>
      </c>
      <c r="D509" s="55">
        <v>921</v>
      </c>
      <c r="E509" s="55">
        <v>0</v>
      </c>
      <c r="F509" s="55">
        <v>0</v>
      </c>
      <c r="G509" s="55">
        <v>100</v>
      </c>
      <c r="H509" s="55">
        <v>0</v>
      </c>
      <c r="I509" s="55">
        <v>0</v>
      </c>
      <c r="J509" s="55">
        <v>0</v>
      </c>
      <c r="K509" s="55">
        <v>0</v>
      </c>
      <c r="L509" s="55">
        <v>0</v>
      </c>
      <c r="M509" s="55">
        <v>0</v>
      </c>
      <c r="N509" s="55">
        <v>0</v>
      </c>
      <c r="O509" s="55">
        <v>0</v>
      </c>
      <c r="P509" s="47" t="s">
        <v>51</v>
      </c>
    </row>
    <row r="510" spans="1:16" ht="18" customHeight="1">
      <c r="A510" s="47"/>
      <c r="B510" s="48" t="s">
        <v>728</v>
      </c>
      <c r="C510" s="54"/>
      <c r="D510" s="55">
        <v>921</v>
      </c>
      <c r="E510" s="55">
        <v>0</v>
      </c>
      <c r="F510" s="55">
        <v>0</v>
      </c>
      <c r="G510" s="55">
        <v>100</v>
      </c>
      <c r="H510" s="55">
        <v>0</v>
      </c>
      <c r="I510" s="55">
        <v>0</v>
      </c>
      <c r="J510" s="55">
        <v>0</v>
      </c>
      <c r="K510" s="55">
        <v>0</v>
      </c>
      <c r="L510" s="55">
        <v>0</v>
      </c>
      <c r="M510" s="55">
        <v>0</v>
      </c>
      <c r="N510" s="55">
        <v>0</v>
      </c>
      <c r="O510" s="55">
        <v>0</v>
      </c>
    </row>
    <row r="511" spans="1:16" ht="18" customHeight="1">
      <c r="A511" s="47" t="s">
        <v>729</v>
      </c>
      <c r="B511" s="48" t="s">
        <v>730</v>
      </c>
      <c r="C511" s="54" t="s">
        <v>731</v>
      </c>
      <c r="D511" s="55">
        <v>173</v>
      </c>
      <c r="E511" s="55">
        <v>18.5</v>
      </c>
      <c r="F511" s="55">
        <v>0.1</v>
      </c>
      <c r="G511" s="55">
        <v>7.18</v>
      </c>
      <c r="H511" s="55">
        <v>11</v>
      </c>
      <c r="I511" s="55">
        <v>1</v>
      </c>
      <c r="J511" s="55">
        <v>55</v>
      </c>
      <c r="K511" s="55">
        <v>0.1</v>
      </c>
      <c r="L511" s="55">
        <v>0.15</v>
      </c>
      <c r="M511" s="55">
        <v>7.2</v>
      </c>
      <c r="N511" s="55">
        <v>2</v>
      </c>
      <c r="O511" s="55">
        <v>31</v>
      </c>
      <c r="P511" s="47" t="s">
        <v>51</v>
      </c>
    </row>
    <row r="512" spans="1:16" ht="18" customHeight="1">
      <c r="A512" s="47" t="s">
        <v>729</v>
      </c>
      <c r="B512" s="48" t="s">
        <v>732</v>
      </c>
      <c r="C512" s="54" t="s">
        <v>733</v>
      </c>
      <c r="D512" s="55">
        <v>329</v>
      </c>
      <c r="E512" s="55">
        <v>16.8</v>
      </c>
      <c r="F512" s="55">
        <v>9.1</v>
      </c>
      <c r="G512" s="55">
        <v>17.079999999999998</v>
      </c>
      <c r="H512" s="55">
        <v>36</v>
      </c>
      <c r="I512" s="55">
        <v>2.2200000000000002</v>
      </c>
      <c r="J512" s="55">
        <v>0</v>
      </c>
      <c r="K512" s="55">
        <v>0.3</v>
      </c>
      <c r="L512" s="55">
        <v>0.25</v>
      </c>
      <c r="M512" s="55">
        <v>6.2</v>
      </c>
      <c r="N512" s="55">
        <v>0</v>
      </c>
      <c r="O512" s="55">
        <v>27</v>
      </c>
      <c r="P512" s="47" t="s">
        <v>51</v>
      </c>
    </row>
    <row r="513" spans="1:16" ht="18" customHeight="1">
      <c r="A513" s="47" t="s">
        <v>729</v>
      </c>
      <c r="B513" s="48" t="s">
        <v>1671</v>
      </c>
      <c r="C513" s="54" t="s">
        <v>735</v>
      </c>
      <c r="D513" s="55">
        <v>265</v>
      </c>
      <c r="E513" s="55">
        <v>24.8</v>
      </c>
      <c r="F513" s="55">
        <v>20.2</v>
      </c>
      <c r="G513" s="55">
        <v>1.79</v>
      </c>
      <c r="H513" s="55">
        <v>20</v>
      </c>
      <c r="I513" s="55">
        <v>1.3</v>
      </c>
      <c r="J513" s="55">
        <v>16</v>
      </c>
      <c r="K513" s="55">
        <v>0.12</v>
      </c>
      <c r="L513" s="55">
        <v>0.15</v>
      </c>
      <c r="M513" s="55">
        <v>10.5</v>
      </c>
      <c r="N513" s="55">
        <v>0</v>
      </c>
      <c r="O513" s="55">
        <v>12</v>
      </c>
      <c r="P513" s="47" t="s">
        <v>51</v>
      </c>
    </row>
    <row r="514" spans="1:16" ht="18" customHeight="1">
      <c r="A514" s="47" t="s">
        <v>729</v>
      </c>
      <c r="B514" s="48" t="s">
        <v>734</v>
      </c>
      <c r="C514" s="54" t="s">
        <v>735</v>
      </c>
      <c r="D514" s="55">
        <v>265</v>
      </c>
      <c r="E514" s="55">
        <v>24.8</v>
      </c>
      <c r="F514" s="55">
        <v>20.2</v>
      </c>
      <c r="G514" s="55">
        <v>1.79</v>
      </c>
      <c r="H514" s="55">
        <v>20</v>
      </c>
      <c r="I514" s="55">
        <v>1.3</v>
      </c>
      <c r="J514" s="55">
        <v>16</v>
      </c>
      <c r="K514" s="55">
        <v>0.12</v>
      </c>
      <c r="L514" s="55">
        <v>0.15</v>
      </c>
      <c r="M514" s="55">
        <v>10.5</v>
      </c>
      <c r="N514" s="55">
        <v>0</v>
      </c>
      <c r="O514" s="55">
        <v>12</v>
      </c>
      <c r="P514" s="47" t="s">
        <v>51</v>
      </c>
    </row>
    <row r="515" spans="1:16" ht="18" customHeight="1">
      <c r="A515" s="47" t="s">
        <v>729</v>
      </c>
      <c r="B515" s="48" t="s">
        <v>736</v>
      </c>
      <c r="C515" s="54" t="s">
        <v>737</v>
      </c>
      <c r="D515" s="55">
        <v>333</v>
      </c>
      <c r="E515" s="55">
        <v>19.899999999999999</v>
      </c>
      <c r="F515" s="55">
        <v>10.9</v>
      </c>
      <c r="G515" s="55">
        <v>15.13</v>
      </c>
      <c r="H515" s="55">
        <v>20</v>
      </c>
      <c r="I515" s="55">
        <v>1.3</v>
      </c>
      <c r="J515" s="55">
        <v>27</v>
      </c>
      <c r="K515" s="55">
        <v>0.11</v>
      </c>
      <c r="L515" s="55">
        <v>0.15</v>
      </c>
      <c r="M515" s="55">
        <v>5.3</v>
      </c>
      <c r="N515" s="55">
        <v>0</v>
      </c>
      <c r="O515" s="55">
        <v>38</v>
      </c>
      <c r="P515" s="47" t="s">
        <v>51</v>
      </c>
    </row>
    <row r="516" spans="1:16" ht="18" customHeight="1">
      <c r="A516" s="47"/>
      <c r="B516" s="48" t="s">
        <v>2244</v>
      </c>
      <c r="C516" s="54"/>
      <c r="D516" s="55">
        <v>229</v>
      </c>
      <c r="E516" s="55">
        <v>64.2</v>
      </c>
      <c r="F516" s="55">
        <v>0</v>
      </c>
      <c r="G516" s="55">
        <v>13.5</v>
      </c>
      <c r="H516" s="55"/>
      <c r="I516" s="55"/>
      <c r="J516" s="55"/>
      <c r="K516" s="55"/>
      <c r="L516" s="55"/>
      <c r="M516" s="55"/>
      <c r="N516" s="55"/>
      <c r="O516" s="55"/>
    </row>
    <row r="517" spans="1:16" ht="18" customHeight="1">
      <c r="A517" s="47" t="s">
        <v>729</v>
      </c>
      <c r="B517" s="48" t="s">
        <v>1893</v>
      </c>
      <c r="C517" s="54" t="s">
        <v>737</v>
      </c>
      <c r="D517" s="55">
        <v>333</v>
      </c>
      <c r="E517" s="55">
        <v>19.899999999999999</v>
      </c>
      <c r="F517" s="55">
        <v>10.9</v>
      </c>
      <c r="G517" s="55">
        <v>15.13</v>
      </c>
      <c r="H517" s="55">
        <v>20</v>
      </c>
      <c r="I517" s="55">
        <v>1.3</v>
      </c>
      <c r="J517" s="55">
        <v>27</v>
      </c>
      <c r="K517" s="55">
        <v>0.11</v>
      </c>
      <c r="L517" s="55">
        <v>0.15</v>
      </c>
      <c r="M517" s="55">
        <v>5.3</v>
      </c>
      <c r="N517" s="55">
        <v>0</v>
      </c>
      <c r="O517" s="55">
        <v>38</v>
      </c>
      <c r="P517" s="47" t="s">
        <v>51</v>
      </c>
    </row>
    <row r="518" spans="1:16" ht="18" customHeight="1">
      <c r="A518" s="47" t="s">
        <v>729</v>
      </c>
      <c r="B518" s="48" t="s">
        <v>1699</v>
      </c>
      <c r="C518" s="54" t="s">
        <v>739</v>
      </c>
      <c r="D518" s="55">
        <v>291</v>
      </c>
      <c r="E518" s="55">
        <v>20.3</v>
      </c>
      <c r="F518" s="55">
        <v>13.7</v>
      </c>
      <c r="G518" s="55">
        <v>18.100000000000001</v>
      </c>
      <c r="H518" s="55">
        <v>24</v>
      </c>
      <c r="I518" s="55">
        <v>1.1000000000000001</v>
      </c>
      <c r="J518" s="55">
        <v>45</v>
      </c>
      <c r="K518" s="55">
        <v>0.09</v>
      </c>
      <c r="L518" s="55">
        <v>0.28999999999999998</v>
      </c>
      <c r="M518" s="55">
        <v>4.9000000000000004</v>
      </c>
      <c r="N518" s="55">
        <v>0</v>
      </c>
      <c r="O518" s="55">
        <v>0</v>
      </c>
      <c r="P518" s="47" t="s">
        <v>51</v>
      </c>
    </row>
    <row r="519" spans="1:16" ht="18" customHeight="1">
      <c r="A519" s="47" t="s">
        <v>729</v>
      </c>
      <c r="B519" s="48" t="s">
        <v>738</v>
      </c>
      <c r="C519" s="54" t="s">
        <v>739</v>
      </c>
      <c r="D519" s="55">
        <v>291</v>
      </c>
      <c r="E519" s="55">
        <v>20.3</v>
      </c>
      <c r="F519" s="55">
        <v>13.7</v>
      </c>
      <c r="G519" s="55">
        <v>18.100000000000001</v>
      </c>
      <c r="H519" s="55">
        <v>24</v>
      </c>
      <c r="I519" s="55">
        <v>1.1000000000000001</v>
      </c>
      <c r="J519" s="55">
        <v>45</v>
      </c>
      <c r="K519" s="55">
        <v>0.09</v>
      </c>
      <c r="L519" s="55">
        <v>0.28999999999999998</v>
      </c>
      <c r="M519" s="55">
        <v>4.9000000000000004</v>
      </c>
      <c r="N519" s="55">
        <v>0</v>
      </c>
      <c r="O519" s="55">
        <v>0</v>
      </c>
      <c r="P519" s="47" t="s">
        <v>51</v>
      </c>
    </row>
    <row r="520" spans="1:16" ht="18" customHeight="1">
      <c r="A520" s="47"/>
      <c r="B520" s="48" t="s">
        <v>2247</v>
      </c>
      <c r="C520" s="54"/>
      <c r="D520" s="55">
        <v>90</v>
      </c>
      <c r="E520" s="55">
        <v>1</v>
      </c>
      <c r="F520" s="55">
        <v>22</v>
      </c>
      <c r="G520" s="55">
        <v>0</v>
      </c>
      <c r="H520" s="55"/>
      <c r="I520" s="55"/>
      <c r="J520" s="55"/>
      <c r="K520" s="55"/>
      <c r="L520" s="55"/>
      <c r="M520" s="55"/>
      <c r="N520" s="55"/>
      <c r="O520" s="55"/>
    </row>
    <row r="521" spans="1:16" ht="18" customHeight="1">
      <c r="A521" s="47" t="s">
        <v>729</v>
      </c>
      <c r="B521" s="48" t="s">
        <v>740</v>
      </c>
      <c r="C521" s="54" t="s">
        <v>741</v>
      </c>
      <c r="D521" s="55">
        <v>297</v>
      </c>
      <c r="E521" s="55">
        <v>22.5</v>
      </c>
      <c r="F521" s="55">
        <v>1.8</v>
      </c>
      <c r="G521" s="55">
        <v>24.2</v>
      </c>
      <c r="H521" s="55">
        <v>21</v>
      </c>
      <c r="I521" s="55">
        <v>1.4</v>
      </c>
      <c r="J521" s="55">
        <v>22</v>
      </c>
      <c r="K521" s="55">
        <v>0.12</v>
      </c>
      <c r="L521" s="55">
        <v>0.19</v>
      </c>
      <c r="M521" s="55">
        <v>7</v>
      </c>
      <c r="N521" s="55">
        <v>0</v>
      </c>
      <c r="O521" s="55">
        <v>22</v>
      </c>
      <c r="P521" s="47" t="s">
        <v>51</v>
      </c>
    </row>
    <row r="522" spans="1:16" ht="18" customHeight="1">
      <c r="A522" s="47" t="s">
        <v>729</v>
      </c>
      <c r="B522" s="48" t="s">
        <v>742</v>
      </c>
      <c r="C522" s="54" t="s">
        <v>743</v>
      </c>
      <c r="D522" s="55">
        <v>280</v>
      </c>
      <c r="E522" s="55">
        <v>23.9</v>
      </c>
      <c r="F522" s="55">
        <v>6.1</v>
      </c>
      <c r="G522" s="55">
        <v>11.8</v>
      </c>
      <c r="H522" s="55">
        <v>25</v>
      </c>
      <c r="I522" s="55">
        <v>1.6</v>
      </c>
      <c r="J522" s="55">
        <v>39</v>
      </c>
      <c r="K522" s="55">
        <v>0.13</v>
      </c>
      <c r="L522" s="55">
        <v>0.13</v>
      </c>
      <c r="M522" s="55">
        <v>6.2</v>
      </c>
      <c r="N522" s="55">
        <v>0</v>
      </c>
      <c r="O522" s="55">
        <v>31</v>
      </c>
      <c r="P522" s="47" t="s">
        <v>51</v>
      </c>
    </row>
    <row r="523" spans="1:16" ht="18" customHeight="1">
      <c r="A523" s="47" t="s">
        <v>729</v>
      </c>
      <c r="B523" s="48" t="s">
        <v>744</v>
      </c>
      <c r="C523" s="54" t="s">
        <v>745</v>
      </c>
      <c r="D523" s="55">
        <v>193</v>
      </c>
      <c r="E523" s="55">
        <v>18.5</v>
      </c>
      <c r="F523" s="55">
        <v>0</v>
      </c>
      <c r="G523" s="55">
        <v>11.26</v>
      </c>
      <c r="H523" s="55">
        <v>12</v>
      </c>
      <c r="I523" s="55">
        <v>0.4</v>
      </c>
      <c r="J523" s="55">
        <v>6</v>
      </c>
      <c r="K523" s="55">
        <v>0.74</v>
      </c>
      <c r="L523" s="55">
        <v>0.16</v>
      </c>
      <c r="M523" s="55">
        <v>6.1</v>
      </c>
      <c r="N523" s="55">
        <v>2</v>
      </c>
      <c r="O523" s="55">
        <v>19</v>
      </c>
      <c r="P523" s="47" t="s">
        <v>51</v>
      </c>
    </row>
    <row r="524" spans="1:16" ht="18" customHeight="1">
      <c r="A524" s="47" t="s">
        <v>729</v>
      </c>
      <c r="B524" s="48" t="s">
        <v>746</v>
      </c>
      <c r="C524" s="54" t="s">
        <v>747</v>
      </c>
      <c r="D524" s="55">
        <v>125</v>
      </c>
      <c r="E524" s="55">
        <v>18.7</v>
      </c>
      <c r="F524" s="55">
        <v>2.6</v>
      </c>
      <c r="G524" s="55">
        <v>4.4000000000000004</v>
      </c>
      <c r="H524" s="55">
        <v>16</v>
      </c>
      <c r="I524" s="55">
        <v>18.2</v>
      </c>
      <c r="J524" s="55">
        <v>10119</v>
      </c>
      <c r="K524" s="55">
        <v>0.25</v>
      </c>
      <c r="L524" s="55">
        <v>2.59</v>
      </c>
      <c r="M524" s="55">
        <v>11.8</v>
      </c>
      <c r="N524" s="55">
        <v>13</v>
      </c>
      <c r="O524" s="55">
        <v>0</v>
      </c>
      <c r="P524" s="47" t="s">
        <v>51</v>
      </c>
    </row>
    <row r="525" spans="1:16" ht="18" customHeight="1">
      <c r="A525" s="47" t="s">
        <v>729</v>
      </c>
      <c r="B525" s="48" t="s">
        <v>748</v>
      </c>
      <c r="C525" s="54" t="s">
        <v>749</v>
      </c>
      <c r="D525" s="55">
        <v>129</v>
      </c>
      <c r="E525" s="55">
        <v>14.1</v>
      </c>
      <c r="F525" s="55">
        <v>2.4</v>
      </c>
      <c r="G525" s="55">
        <v>6.9</v>
      </c>
      <c r="H525" s="55">
        <v>16</v>
      </c>
      <c r="I525" s="55">
        <v>1</v>
      </c>
      <c r="J525" s="55">
        <v>7</v>
      </c>
      <c r="K525" s="55">
        <v>0.33</v>
      </c>
      <c r="L525" s="55">
        <v>0.15</v>
      </c>
      <c r="M525" s="55">
        <v>4.2</v>
      </c>
      <c r="N525" s="55">
        <v>3</v>
      </c>
      <c r="O525" s="55">
        <v>0</v>
      </c>
      <c r="P525" s="47" t="s">
        <v>51</v>
      </c>
    </row>
    <row r="526" spans="1:16" ht="18" customHeight="1">
      <c r="A526" s="47" t="s">
        <v>729</v>
      </c>
      <c r="B526" s="48" t="s">
        <v>1657</v>
      </c>
      <c r="C526" s="54" t="s">
        <v>750</v>
      </c>
      <c r="D526" s="55">
        <v>225</v>
      </c>
      <c r="E526" s="55">
        <v>14</v>
      </c>
      <c r="F526" s="55">
        <v>21</v>
      </c>
      <c r="G526" s="55">
        <v>6</v>
      </c>
      <c r="H526" s="55">
        <v>7</v>
      </c>
      <c r="I526" s="55">
        <v>1.3</v>
      </c>
      <c r="J526" s="55">
        <v>0</v>
      </c>
      <c r="K526" s="55">
        <v>0</v>
      </c>
      <c r="L526" s="55">
        <v>0</v>
      </c>
      <c r="M526" s="55">
        <v>0</v>
      </c>
      <c r="N526" s="55">
        <v>0</v>
      </c>
      <c r="O526" s="55">
        <v>0</v>
      </c>
      <c r="P526" s="47" t="s">
        <v>51</v>
      </c>
    </row>
    <row r="527" spans="1:16" ht="18" customHeight="1">
      <c r="A527" s="47" t="s">
        <v>729</v>
      </c>
      <c r="B527" s="48" t="s">
        <v>751</v>
      </c>
      <c r="C527" s="54" t="s">
        <v>752</v>
      </c>
      <c r="D527" s="55">
        <v>128</v>
      </c>
      <c r="E527" s="55">
        <v>16</v>
      </c>
      <c r="F527" s="55">
        <v>3.4</v>
      </c>
      <c r="G527" s="55">
        <v>13</v>
      </c>
      <c r="H527" s="55">
        <v>6</v>
      </c>
      <c r="I527" s="55">
        <v>0.9</v>
      </c>
      <c r="J527" s="55">
        <v>0</v>
      </c>
      <c r="K527" s="55">
        <v>0.1</v>
      </c>
      <c r="L527" s="55">
        <v>0.21</v>
      </c>
      <c r="M527" s="55">
        <v>7</v>
      </c>
      <c r="N527" s="55">
        <v>47</v>
      </c>
      <c r="O527" s="55">
        <v>0</v>
      </c>
      <c r="P527" s="47" t="s">
        <v>51</v>
      </c>
    </row>
    <row r="528" spans="1:16" ht="18" customHeight="1">
      <c r="A528" s="47"/>
      <c r="B528" s="48" t="s">
        <v>2246</v>
      </c>
      <c r="C528" s="54"/>
      <c r="D528" s="55">
        <v>325</v>
      </c>
      <c r="E528" s="55">
        <v>5.7</v>
      </c>
      <c r="F528" s="55">
        <v>48.5</v>
      </c>
      <c r="G528" s="55">
        <v>12</v>
      </c>
      <c r="H528" s="55"/>
      <c r="I528" s="55"/>
      <c r="J528" s="55"/>
      <c r="K528" s="55"/>
      <c r="L528" s="55"/>
      <c r="M528" s="55"/>
      <c r="N528" s="55"/>
      <c r="O528" s="55"/>
    </row>
    <row r="529" spans="1:16" ht="18" customHeight="1">
      <c r="A529" s="47" t="s">
        <v>729</v>
      </c>
      <c r="B529" s="48" t="s">
        <v>1749</v>
      </c>
      <c r="C529" s="54" t="s">
        <v>752</v>
      </c>
      <c r="D529" s="55">
        <v>128</v>
      </c>
      <c r="E529" s="55">
        <v>16</v>
      </c>
      <c r="F529" s="55">
        <v>5.8</v>
      </c>
      <c r="G529" s="55">
        <v>12.1</v>
      </c>
      <c r="H529" s="55">
        <v>6</v>
      </c>
      <c r="I529" s="55">
        <v>0.9</v>
      </c>
      <c r="J529" s="55">
        <v>0</v>
      </c>
      <c r="K529" s="55">
        <v>0.1</v>
      </c>
      <c r="L529" s="55">
        <v>0.21</v>
      </c>
      <c r="M529" s="55">
        <v>7</v>
      </c>
      <c r="N529" s="55">
        <v>47</v>
      </c>
      <c r="O529" s="55">
        <v>0</v>
      </c>
      <c r="P529" s="47" t="s">
        <v>51</v>
      </c>
    </row>
    <row r="530" spans="1:16" ht="18" customHeight="1">
      <c r="A530" s="47" t="s">
        <v>729</v>
      </c>
      <c r="B530" s="48" t="s">
        <v>753</v>
      </c>
      <c r="C530" s="54" t="s">
        <v>752</v>
      </c>
      <c r="D530" s="55">
        <v>128</v>
      </c>
      <c r="E530" s="55">
        <v>16</v>
      </c>
      <c r="F530" s="55">
        <v>5.8</v>
      </c>
      <c r="G530" s="55">
        <v>12.1</v>
      </c>
      <c r="H530" s="55">
        <v>6</v>
      </c>
      <c r="I530" s="55">
        <v>0.9</v>
      </c>
      <c r="J530" s="55">
        <v>0</v>
      </c>
      <c r="K530" s="55">
        <v>0.1</v>
      </c>
      <c r="L530" s="55">
        <v>0.21</v>
      </c>
      <c r="M530" s="55">
        <v>7</v>
      </c>
      <c r="N530" s="55">
        <v>47</v>
      </c>
      <c r="O530" s="55">
        <v>0</v>
      </c>
      <c r="P530" s="47" t="s">
        <v>51</v>
      </c>
    </row>
    <row r="531" spans="1:16" ht="18" customHeight="1">
      <c r="A531" s="47" t="s">
        <v>729</v>
      </c>
      <c r="B531" s="48" t="s">
        <v>754</v>
      </c>
      <c r="C531" s="54" t="s">
        <v>755</v>
      </c>
      <c r="D531" s="55">
        <v>177</v>
      </c>
      <c r="E531" s="55">
        <v>15.8</v>
      </c>
      <c r="F531" s="55">
        <v>3.84</v>
      </c>
      <c r="G531" s="55">
        <v>8.9</v>
      </c>
      <c r="H531" s="55">
        <v>55</v>
      </c>
      <c r="I531" s="55">
        <v>1.2</v>
      </c>
      <c r="J531" s="55">
        <v>0</v>
      </c>
      <c r="K531" s="55">
        <v>0.36</v>
      </c>
      <c r="L531" s="55">
        <v>0.25</v>
      </c>
      <c r="M531" s="55">
        <v>2.2999999999999998</v>
      </c>
      <c r="N531" s="55">
        <v>19</v>
      </c>
      <c r="O531" s="55">
        <v>0</v>
      </c>
      <c r="P531" s="47" t="s">
        <v>51</v>
      </c>
    </row>
    <row r="532" spans="1:16" ht="18" customHeight="1">
      <c r="A532" s="47"/>
      <c r="B532" s="48" t="s">
        <v>2368</v>
      </c>
      <c r="C532" s="54" t="s">
        <v>752</v>
      </c>
      <c r="D532" s="55">
        <v>240</v>
      </c>
      <c r="E532" s="55">
        <v>12</v>
      </c>
      <c r="F532" s="55">
        <v>3</v>
      </c>
      <c r="G532" s="55">
        <v>20</v>
      </c>
      <c r="H532" s="55">
        <v>6</v>
      </c>
      <c r="I532" s="55">
        <v>0.7</v>
      </c>
      <c r="J532" s="55">
        <v>0</v>
      </c>
      <c r="K532" s="55">
        <v>0.35</v>
      </c>
      <c r="L532" s="55">
        <v>0.19</v>
      </c>
      <c r="M532" s="55">
        <v>3.2</v>
      </c>
      <c r="N532" s="55">
        <v>1</v>
      </c>
      <c r="O532" s="55">
        <v>0</v>
      </c>
    </row>
    <row r="533" spans="1:16" ht="18" customHeight="1">
      <c r="A533" s="47" t="s">
        <v>729</v>
      </c>
      <c r="B533" s="48" t="s">
        <v>1697</v>
      </c>
      <c r="C533" s="54" t="s">
        <v>756</v>
      </c>
      <c r="D533" s="55">
        <v>266</v>
      </c>
      <c r="E533" s="55">
        <v>13.6</v>
      </c>
      <c r="F533" s="55">
        <v>5.7</v>
      </c>
      <c r="G533" s="55">
        <v>24.4</v>
      </c>
      <c r="H533" s="55">
        <v>13</v>
      </c>
      <c r="I533" s="55">
        <v>1.2</v>
      </c>
      <c r="J533" s="55">
        <v>0</v>
      </c>
      <c r="K533" s="55">
        <v>0.25</v>
      </c>
      <c r="L533" s="55">
        <v>0.12</v>
      </c>
      <c r="M533" s="55">
        <v>3.6</v>
      </c>
      <c r="N533" s="55">
        <v>6</v>
      </c>
      <c r="O533" s="55">
        <v>0</v>
      </c>
      <c r="P533" s="47" t="s">
        <v>51</v>
      </c>
    </row>
    <row r="534" spans="1:16" ht="18" customHeight="1">
      <c r="A534" s="47" t="s">
        <v>729</v>
      </c>
      <c r="B534" s="48" t="s">
        <v>757</v>
      </c>
      <c r="C534" s="54" t="s">
        <v>758</v>
      </c>
      <c r="D534" s="55">
        <v>240</v>
      </c>
      <c r="E534" s="55">
        <v>7.6</v>
      </c>
      <c r="F534" s="55">
        <v>0.87</v>
      </c>
      <c r="G534" s="55">
        <v>14.8</v>
      </c>
      <c r="H534" s="55">
        <v>26</v>
      </c>
      <c r="I534" s="55">
        <v>1.2</v>
      </c>
      <c r="J534" s="55">
        <v>0</v>
      </c>
      <c r="K534" s="55">
        <v>7.0000000000000007E-2</v>
      </c>
      <c r="L534" s="55">
        <v>7.0000000000000007E-2</v>
      </c>
      <c r="M534" s="55">
        <v>1.1000000000000001</v>
      </c>
      <c r="N534" s="55">
        <v>0</v>
      </c>
      <c r="O534" s="55">
        <v>0</v>
      </c>
      <c r="P534" s="47" t="s">
        <v>51</v>
      </c>
    </row>
    <row r="535" spans="1:16" ht="18" customHeight="1">
      <c r="A535" s="47" t="s">
        <v>729</v>
      </c>
      <c r="B535" s="48" t="s">
        <v>759</v>
      </c>
      <c r="C535" s="54" t="s">
        <v>760</v>
      </c>
      <c r="D535" s="55">
        <v>225</v>
      </c>
      <c r="E535" s="55">
        <v>16</v>
      </c>
      <c r="F535" s="55">
        <v>7.9</v>
      </c>
      <c r="G535" s="55">
        <v>11.1</v>
      </c>
      <c r="H535" s="55">
        <v>6</v>
      </c>
      <c r="I535" s="55">
        <v>0.9</v>
      </c>
      <c r="J535" s="55">
        <v>0</v>
      </c>
      <c r="K535" s="55">
        <v>0.1</v>
      </c>
      <c r="L535" s="55">
        <v>0.21</v>
      </c>
      <c r="M535" s="55">
        <v>7</v>
      </c>
      <c r="N535" s="55">
        <v>47</v>
      </c>
      <c r="O535" s="55">
        <v>0</v>
      </c>
      <c r="P535" s="47" t="s">
        <v>51</v>
      </c>
    </row>
    <row r="536" spans="1:16" ht="18" customHeight="1">
      <c r="A536" s="47" t="s">
        <v>729</v>
      </c>
      <c r="B536" s="48" t="s">
        <v>761</v>
      </c>
      <c r="C536" s="54" t="s">
        <v>762</v>
      </c>
      <c r="D536" s="55">
        <v>204</v>
      </c>
      <c r="E536" s="55">
        <v>12.5</v>
      </c>
      <c r="F536" s="55">
        <v>5.8</v>
      </c>
      <c r="G536" s="55">
        <v>10.6</v>
      </c>
      <c r="H536" s="55">
        <v>6</v>
      </c>
      <c r="I536" s="55">
        <v>0.7</v>
      </c>
      <c r="J536" s="55">
        <v>0</v>
      </c>
      <c r="K536" s="55">
        <v>0.37</v>
      </c>
      <c r="L536" s="55">
        <v>0.19</v>
      </c>
      <c r="M536" s="55">
        <v>3.1</v>
      </c>
      <c r="N536" s="55">
        <v>1</v>
      </c>
      <c r="O536" s="55">
        <v>0</v>
      </c>
      <c r="P536" s="47" t="s">
        <v>51</v>
      </c>
    </row>
    <row r="537" spans="1:16" ht="18" customHeight="1">
      <c r="A537" s="47" t="s">
        <v>729</v>
      </c>
      <c r="B537" s="48" t="s">
        <v>763</v>
      </c>
      <c r="C537" s="54" t="s">
        <v>764</v>
      </c>
      <c r="D537" s="55">
        <v>308</v>
      </c>
      <c r="E537" s="55">
        <v>17.100000000000001</v>
      </c>
      <c r="F537" s="55">
        <v>1.4</v>
      </c>
      <c r="G537" s="55">
        <v>13.5</v>
      </c>
      <c r="H537" s="55">
        <v>10</v>
      </c>
      <c r="I537" s="55">
        <v>0.8</v>
      </c>
      <c r="J537" s="55">
        <v>8</v>
      </c>
      <c r="K537" s="55">
        <v>0.5</v>
      </c>
      <c r="L537" s="55">
        <v>0.1</v>
      </c>
      <c r="M537" s="55">
        <v>4.7</v>
      </c>
      <c r="N537" s="55">
        <v>27</v>
      </c>
      <c r="O537" s="55">
        <v>0</v>
      </c>
      <c r="P537" s="47" t="s">
        <v>51</v>
      </c>
    </row>
    <row r="538" spans="1:16" ht="18" customHeight="1">
      <c r="A538" s="47" t="s">
        <v>729</v>
      </c>
      <c r="B538" s="48" t="s">
        <v>765</v>
      </c>
      <c r="C538" s="54" t="s">
        <v>766</v>
      </c>
      <c r="D538" s="55">
        <v>236</v>
      </c>
      <c r="E538" s="55">
        <v>21.1</v>
      </c>
      <c r="F538" s="55">
        <v>0</v>
      </c>
      <c r="G538" s="55">
        <v>16.100000000000001</v>
      </c>
      <c r="H538" s="55">
        <v>7</v>
      </c>
      <c r="I538" s="55">
        <v>1.6</v>
      </c>
      <c r="J538" s="55">
        <v>5</v>
      </c>
      <c r="K538" s="55">
        <v>0.56000000000000005</v>
      </c>
      <c r="L538" s="55">
        <v>0.16</v>
      </c>
      <c r="M538" s="55">
        <v>5.7</v>
      </c>
      <c r="N538" s="55">
        <v>2</v>
      </c>
      <c r="O538" s="55">
        <v>0</v>
      </c>
      <c r="P538" s="47" t="s">
        <v>51</v>
      </c>
    </row>
    <row r="539" spans="1:16" ht="18" customHeight="1">
      <c r="A539" s="47" t="s">
        <v>729</v>
      </c>
      <c r="B539" s="48" t="s">
        <v>767</v>
      </c>
      <c r="C539" s="54" t="s">
        <v>768</v>
      </c>
      <c r="D539" s="55">
        <v>270</v>
      </c>
      <c r="E539" s="55">
        <v>17.100000000000001</v>
      </c>
      <c r="F539" s="55">
        <v>0</v>
      </c>
      <c r="G539" s="55">
        <v>17.22</v>
      </c>
      <c r="H539" s="55">
        <v>6</v>
      </c>
      <c r="I539" s="55">
        <v>0.8</v>
      </c>
      <c r="J539" s="55">
        <v>2</v>
      </c>
      <c r="K539" s="55">
        <v>0.73</v>
      </c>
      <c r="L539" s="55">
        <v>0.23</v>
      </c>
      <c r="M539" s="55">
        <v>3.9</v>
      </c>
      <c r="N539" s="55">
        <v>1</v>
      </c>
      <c r="O539" s="55">
        <v>18</v>
      </c>
      <c r="P539" s="47" t="s">
        <v>51</v>
      </c>
    </row>
    <row r="540" spans="1:16" ht="18" customHeight="1">
      <c r="A540" s="47" t="s">
        <v>729</v>
      </c>
      <c r="B540" s="48" t="s">
        <v>1898</v>
      </c>
      <c r="C540" s="54" t="s">
        <v>768</v>
      </c>
      <c r="D540" s="55">
        <v>270</v>
      </c>
      <c r="E540" s="55">
        <v>17.100000000000001</v>
      </c>
      <c r="F540" s="55">
        <v>0</v>
      </c>
      <c r="G540" s="55">
        <v>17.22</v>
      </c>
      <c r="H540" s="55">
        <v>6</v>
      </c>
      <c r="I540" s="55">
        <v>0.8</v>
      </c>
      <c r="J540" s="55">
        <v>2</v>
      </c>
      <c r="K540" s="55">
        <v>0.73</v>
      </c>
      <c r="L540" s="55">
        <v>0.23</v>
      </c>
      <c r="M540" s="55">
        <v>3.9</v>
      </c>
      <c r="N540" s="55">
        <v>1</v>
      </c>
      <c r="O540" s="55">
        <v>18</v>
      </c>
      <c r="P540" s="47" t="s">
        <v>51</v>
      </c>
    </row>
    <row r="541" spans="1:16" ht="18" customHeight="1">
      <c r="A541" s="47" t="s">
        <v>729</v>
      </c>
      <c r="B541" s="48" t="s">
        <v>1910</v>
      </c>
      <c r="C541" s="54" t="s">
        <v>768</v>
      </c>
      <c r="D541" s="55">
        <v>270</v>
      </c>
      <c r="E541" s="55">
        <v>17.100000000000001</v>
      </c>
      <c r="F541" s="55">
        <v>0</v>
      </c>
      <c r="G541" s="55">
        <v>17.22</v>
      </c>
      <c r="H541" s="55">
        <v>6</v>
      </c>
      <c r="I541" s="55">
        <v>0.8</v>
      </c>
      <c r="J541" s="55">
        <v>2</v>
      </c>
      <c r="K541" s="55">
        <v>0.73</v>
      </c>
      <c r="L541" s="55">
        <v>0.23</v>
      </c>
      <c r="M541" s="55">
        <v>3.9</v>
      </c>
      <c r="N541" s="55">
        <v>1</v>
      </c>
      <c r="O541" s="55">
        <v>18</v>
      </c>
      <c r="P541" s="47" t="s">
        <v>51</v>
      </c>
    </row>
    <row r="542" spans="1:16" ht="18" customHeight="1">
      <c r="A542" s="47" t="s">
        <v>729</v>
      </c>
      <c r="B542" s="48" t="s">
        <v>769</v>
      </c>
      <c r="C542" s="54" t="s">
        <v>770</v>
      </c>
      <c r="D542" s="55">
        <v>331</v>
      </c>
      <c r="E542" s="55">
        <v>17.2</v>
      </c>
      <c r="F542" s="55">
        <v>0</v>
      </c>
      <c r="G542" s="55">
        <v>28.4</v>
      </c>
      <c r="H542" s="55">
        <v>8</v>
      </c>
      <c r="I542" s="55">
        <v>0.7</v>
      </c>
      <c r="J542" s="55">
        <v>6</v>
      </c>
      <c r="K542" s="55">
        <v>0.68</v>
      </c>
      <c r="L542" s="55">
        <v>0.3</v>
      </c>
      <c r="M542" s="55">
        <v>4.4000000000000004</v>
      </c>
      <c r="N542" s="55">
        <v>1</v>
      </c>
      <c r="O542" s="55">
        <v>0</v>
      </c>
      <c r="P542" s="47" t="s">
        <v>51</v>
      </c>
    </row>
    <row r="543" spans="1:16" ht="18" customHeight="1">
      <c r="A543" s="47" t="s">
        <v>729</v>
      </c>
      <c r="B543" s="48" t="s">
        <v>771</v>
      </c>
      <c r="C543" s="54" t="s">
        <v>772</v>
      </c>
      <c r="D543" s="55">
        <v>223</v>
      </c>
      <c r="E543" s="55">
        <v>14.1</v>
      </c>
      <c r="F543" s="55">
        <v>0</v>
      </c>
      <c r="G543" s="55">
        <v>13.2</v>
      </c>
      <c r="H543" s="55">
        <v>2</v>
      </c>
      <c r="I543" s="55">
        <v>1.6</v>
      </c>
      <c r="J543" s="55">
        <v>2</v>
      </c>
      <c r="K543" s="55">
        <v>0.91</v>
      </c>
      <c r="L543" s="55">
        <v>0.18</v>
      </c>
      <c r="M543" s="55">
        <v>4.0999999999999996</v>
      </c>
      <c r="N543" s="55">
        <v>0</v>
      </c>
      <c r="O543" s="55">
        <v>0</v>
      </c>
      <c r="P543" s="47" t="s">
        <v>51</v>
      </c>
    </row>
    <row r="544" spans="1:16" ht="18" customHeight="1">
      <c r="A544" s="47" t="s">
        <v>729</v>
      </c>
      <c r="B544" s="48" t="s">
        <v>773</v>
      </c>
      <c r="C544" s="54" t="s">
        <v>772</v>
      </c>
      <c r="D544" s="55">
        <v>121</v>
      </c>
      <c r="E544" s="55">
        <v>14.1</v>
      </c>
      <c r="F544" s="55">
        <v>0</v>
      </c>
      <c r="G544" s="55">
        <v>16.5</v>
      </c>
      <c r="H544" s="55">
        <v>2</v>
      </c>
      <c r="I544" s="55">
        <v>1.6</v>
      </c>
      <c r="J544" s="55">
        <v>2</v>
      </c>
      <c r="K544" s="55">
        <v>0.91</v>
      </c>
      <c r="L544" s="55">
        <v>0.18</v>
      </c>
      <c r="M544" s="55">
        <v>4.0999999999999996</v>
      </c>
      <c r="N544" s="55">
        <v>0</v>
      </c>
      <c r="O544" s="55">
        <v>0</v>
      </c>
      <c r="P544" s="47" t="s">
        <v>51</v>
      </c>
    </row>
    <row r="545" spans="1:16" ht="18" customHeight="1">
      <c r="A545" s="47"/>
      <c r="B545" s="48" t="s">
        <v>774</v>
      </c>
      <c r="C545" s="54"/>
      <c r="D545" s="55">
        <v>223</v>
      </c>
      <c r="E545" s="55">
        <v>14.1</v>
      </c>
      <c r="F545" s="55">
        <v>18.2</v>
      </c>
      <c r="G545" s="55">
        <v>6.3</v>
      </c>
      <c r="H545" s="55">
        <v>2</v>
      </c>
      <c r="I545" s="55">
        <v>1.6</v>
      </c>
      <c r="J545" s="55">
        <v>2</v>
      </c>
      <c r="K545" s="55">
        <v>0.91</v>
      </c>
      <c r="L545" s="55">
        <v>0.18</v>
      </c>
      <c r="M545" s="55">
        <v>4.0999999999999996</v>
      </c>
      <c r="N545" s="55">
        <v>0</v>
      </c>
      <c r="O545" s="55">
        <v>0</v>
      </c>
    </row>
    <row r="546" spans="1:16" ht="18" customHeight="1">
      <c r="A546" s="47"/>
      <c r="B546" s="48" t="s">
        <v>775</v>
      </c>
      <c r="C546" s="54" t="s">
        <v>772</v>
      </c>
      <c r="D546" s="55">
        <v>223</v>
      </c>
      <c r="E546" s="55">
        <v>14.1</v>
      </c>
      <c r="F546" s="55">
        <v>18.2</v>
      </c>
      <c r="G546" s="55">
        <v>7</v>
      </c>
      <c r="H546" s="55">
        <v>2</v>
      </c>
      <c r="I546" s="55">
        <v>1.6</v>
      </c>
      <c r="J546" s="55">
        <v>2</v>
      </c>
      <c r="K546" s="55">
        <v>0.91</v>
      </c>
      <c r="L546" s="55">
        <v>0.18</v>
      </c>
      <c r="M546" s="55">
        <v>4.0999999999999996</v>
      </c>
      <c r="N546" s="55">
        <v>0</v>
      </c>
      <c r="O546" s="55">
        <v>0</v>
      </c>
    </row>
    <row r="547" spans="1:16" ht="18" customHeight="1">
      <c r="A547" s="47" t="s">
        <v>729</v>
      </c>
      <c r="B547" s="48" t="s">
        <v>1724</v>
      </c>
      <c r="C547" s="54" t="s">
        <v>776</v>
      </c>
      <c r="D547" s="55">
        <v>181</v>
      </c>
      <c r="E547" s="55">
        <v>15</v>
      </c>
      <c r="F547" s="55">
        <v>0</v>
      </c>
      <c r="G547" s="55">
        <v>12.3</v>
      </c>
      <c r="H547" s="55">
        <v>1</v>
      </c>
      <c r="I547" s="55">
        <v>2</v>
      </c>
      <c r="J547" s="55">
        <v>2</v>
      </c>
      <c r="K547" s="55">
        <v>0.44</v>
      </c>
      <c r="L547" s="55">
        <v>0.17</v>
      </c>
      <c r="M547" s="55">
        <v>3.4</v>
      </c>
      <c r="N547" s="55">
        <v>0</v>
      </c>
      <c r="O547" s="55">
        <v>0</v>
      </c>
      <c r="P547" s="47" t="s">
        <v>51</v>
      </c>
    </row>
    <row r="548" spans="1:16" ht="18" customHeight="1">
      <c r="A548" s="47" t="s">
        <v>729</v>
      </c>
      <c r="B548" s="48" t="s">
        <v>1602</v>
      </c>
      <c r="C548" s="54" t="s">
        <v>777</v>
      </c>
      <c r="D548" s="55">
        <v>123</v>
      </c>
      <c r="E548" s="55">
        <v>7.2</v>
      </c>
      <c r="F548" s="55">
        <v>0</v>
      </c>
      <c r="G548" s="55">
        <v>16.5</v>
      </c>
      <c r="H548" s="55">
        <v>1</v>
      </c>
      <c r="I548" s="55">
        <v>1</v>
      </c>
      <c r="J548" s="55">
        <v>16</v>
      </c>
      <c r="K548" s="55">
        <v>0.1</v>
      </c>
      <c r="L548" s="55">
        <v>0.08</v>
      </c>
      <c r="M548" s="55">
        <v>0.87</v>
      </c>
      <c r="N548" s="55">
        <v>0</v>
      </c>
      <c r="O548" s="55">
        <v>0</v>
      </c>
      <c r="P548" s="47" t="s">
        <v>51</v>
      </c>
    </row>
    <row r="549" spans="1:16" ht="18" customHeight="1">
      <c r="A549" s="47"/>
      <c r="B549" s="48" t="s">
        <v>778</v>
      </c>
      <c r="C549" s="54"/>
      <c r="D549" s="55">
        <v>123</v>
      </c>
      <c r="E549" s="55">
        <v>7.2</v>
      </c>
      <c r="F549" s="55">
        <v>0</v>
      </c>
      <c r="G549" s="55">
        <v>14.1</v>
      </c>
      <c r="H549" s="55">
        <v>1</v>
      </c>
      <c r="I549" s="55">
        <v>1</v>
      </c>
      <c r="J549" s="55">
        <v>16</v>
      </c>
      <c r="K549" s="55">
        <v>0.1</v>
      </c>
      <c r="L549" s="55">
        <v>0.08</v>
      </c>
      <c r="M549" s="55">
        <v>0.87</v>
      </c>
      <c r="N549" s="55">
        <v>0</v>
      </c>
      <c r="O549" s="55">
        <v>0</v>
      </c>
    </row>
    <row r="550" spans="1:16" ht="18" customHeight="1">
      <c r="A550" s="47" t="s">
        <v>729</v>
      </c>
      <c r="B550" s="48" t="s">
        <v>1695</v>
      </c>
      <c r="C550" s="54" t="s">
        <v>777</v>
      </c>
      <c r="D550" s="55">
        <v>123</v>
      </c>
      <c r="E550" s="55">
        <v>7.2</v>
      </c>
      <c r="F550" s="55">
        <v>0</v>
      </c>
      <c r="G550" s="55">
        <v>15</v>
      </c>
      <c r="H550" s="55">
        <v>1</v>
      </c>
      <c r="I550" s="55">
        <v>1</v>
      </c>
      <c r="J550" s="55">
        <v>16</v>
      </c>
      <c r="K550" s="55">
        <v>0.1</v>
      </c>
      <c r="L550" s="55">
        <v>0.08</v>
      </c>
      <c r="M550" s="55">
        <v>0.87</v>
      </c>
      <c r="N550" s="55">
        <v>0</v>
      </c>
      <c r="O550" s="55">
        <v>0</v>
      </c>
      <c r="P550" s="47" t="s">
        <v>59</v>
      </c>
    </row>
    <row r="551" spans="1:16" ht="18" customHeight="1">
      <c r="A551" s="47" t="s">
        <v>729</v>
      </c>
      <c r="B551" s="48" t="s">
        <v>779</v>
      </c>
      <c r="C551" s="54" t="s">
        <v>777</v>
      </c>
      <c r="D551" s="55">
        <v>123</v>
      </c>
      <c r="E551" s="55">
        <v>7.2</v>
      </c>
      <c r="F551" s="55">
        <v>0</v>
      </c>
      <c r="G551" s="55">
        <v>15</v>
      </c>
      <c r="H551" s="55">
        <v>1</v>
      </c>
      <c r="I551" s="55">
        <v>1</v>
      </c>
      <c r="J551" s="55">
        <v>16</v>
      </c>
      <c r="K551" s="55">
        <v>0.1</v>
      </c>
      <c r="L551" s="55">
        <v>0.08</v>
      </c>
      <c r="M551" s="55">
        <v>0.87</v>
      </c>
      <c r="N551" s="55">
        <v>0</v>
      </c>
      <c r="O551" s="55">
        <v>0</v>
      </c>
      <c r="P551" s="47" t="s">
        <v>59</v>
      </c>
    </row>
    <row r="552" spans="1:16" ht="18" customHeight="1">
      <c r="A552" s="47" t="s">
        <v>729</v>
      </c>
      <c r="B552" s="48" t="s">
        <v>780</v>
      </c>
      <c r="C552" s="54" t="s">
        <v>781</v>
      </c>
      <c r="D552" s="55">
        <v>131</v>
      </c>
      <c r="E552" s="55">
        <v>19.5</v>
      </c>
      <c r="F552" s="55">
        <v>2.2000000000000002</v>
      </c>
      <c r="G552" s="55">
        <v>4.5999999999999996</v>
      </c>
      <c r="H552" s="55">
        <v>6</v>
      </c>
      <c r="I552" s="55">
        <v>8</v>
      </c>
      <c r="J552" s="55">
        <v>9460</v>
      </c>
      <c r="K552" s="55">
        <v>0.09</v>
      </c>
      <c r="L552" s="55">
        <v>2230</v>
      </c>
      <c r="M552" s="55">
        <v>18</v>
      </c>
      <c r="N552" s="55">
        <v>20</v>
      </c>
      <c r="O552" s="55">
        <v>0</v>
      </c>
      <c r="P552" s="47" t="s">
        <v>51</v>
      </c>
    </row>
    <row r="553" spans="1:16" ht="18" customHeight="1">
      <c r="A553" s="47" t="s">
        <v>729</v>
      </c>
      <c r="B553" s="48" t="s">
        <v>782</v>
      </c>
      <c r="C553" s="54" t="s">
        <v>783</v>
      </c>
      <c r="D553" s="55">
        <v>246</v>
      </c>
      <c r="E553" s="55">
        <v>17.399999999999999</v>
      </c>
      <c r="F553" s="55">
        <v>0</v>
      </c>
      <c r="G553" s="55">
        <v>9.5</v>
      </c>
      <c r="H553" s="55">
        <v>22</v>
      </c>
      <c r="I553" s="55">
        <v>1.5</v>
      </c>
      <c r="J553" s="55">
        <v>6</v>
      </c>
      <c r="K553" s="55">
        <v>7.0000000000000007E-2</v>
      </c>
      <c r="L553" s="55">
        <v>0.12</v>
      </c>
      <c r="M553" s="55">
        <v>4.2</v>
      </c>
      <c r="N553" s="55">
        <v>0</v>
      </c>
      <c r="O553" s="55">
        <v>50</v>
      </c>
      <c r="P553" s="47" t="s">
        <v>51</v>
      </c>
    </row>
    <row r="554" spans="1:16" ht="18" customHeight="1">
      <c r="A554" s="47" t="s">
        <v>729</v>
      </c>
      <c r="B554" s="48" t="s">
        <v>784</v>
      </c>
      <c r="C554" s="54" t="s">
        <v>785</v>
      </c>
      <c r="D554" s="55">
        <v>297</v>
      </c>
      <c r="E554" s="55">
        <v>5.0999999999999996</v>
      </c>
      <c r="F554" s="55">
        <v>2.2000000000000002</v>
      </c>
      <c r="G554" s="55">
        <v>2.73</v>
      </c>
      <c r="H554" s="55">
        <v>138</v>
      </c>
      <c r="I554" s="55">
        <v>1</v>
      </c>
      <c r="J554" s="55">
        <v>0</v>
      </c>
      <c r="K554" s="55">
        <v>8.5000000000000006E-2</v>
      </c>
      <c r="L554" s="55">
        <v>0.186</v>
      </c>
      <c r="M554" s="55">
        <v>13.1</v>
      </c>
      <c r="N554" s="55">
        <v>0</v>
      </c>
      <c r="O554" s="55">
        <v>0</v>
      </c>
      <c r="P554" s="47" t="s">
        <v>51</v>
      </c>
    </row>
    <row r="555" spans="1:16" ht="18" customHeight="1">
      <c r="A555" s="47" t="s">
        <v>729</v>
      </c>
      <c r="B555" s="48" t="s">
        <v>786</v>
      </c>
      <c r="C555" s="54" t="s">
        <v>787</v>
      </c>
      <c r="D555" s="55">
        <v>106</v>
      </c>
      <c r="E555" s="55">
        <v>15.8</v>
      </c>
      <c r="F555" s="55">
        <v>0</v>
      </c>
      <c r="G555" s="55">
        <v>4.5999999999999996</v>
      </c>
      <c r="H555" s="55">
        <v>5</v>
      </c>
      <c r="I555" s="55">
        <v>4.5</v>
      </c>
      <c r="J555" s="55">
        <v>42</v>
      </c>
      <c r="K555" s="55">
        <v>0.38</v>
      </c>
      <c r="L555" s="55">
        <v>0.3</v>
      </c>
      <c r="M555" s="55">
        <v>5.6</v>
      </c>
      <c r="N555" s="55">
        <v>0</v>
      </c>
      <c r="O555" s="55">
        <v>0</v>
      </c>
      <c r="P555" s="47" t="s">
        <v>51</v>
      </c>
    </row>
    <row r="556" spans="1:16" ht="18" customHeight="1">
      <c r="A556" s="47" t="s">
        <v>729</v>
      </c>
      <c r="B556" s="48" t="s">
        <v>788</v>
      </c>
      <c r="C556" s="54" t="s">
        <v>789</v>
      </c>
      <c r="D556" s="55">
        <v>61</v>
      </c>
      <c r="E556" s="55">
        <v>9.9</v>
      </c>
      <c r="F556" s="55">
        <v>0.1</v>
      </c>
      <c r="G556" s="55">
        <v>2</v>
      </c>
      <c r="H556" s="55">
        <v>14</v>
      </c>
      <c r="I556" s="55">
        <v>3</v>
      </c>
      <c r="J556" s="55">
        <v>2</v>
      </c>
      <c r="K556" s="55">
        <v>0.05</v>
      </c>
      <c r="L556" s="55">
        <v>0.16</v>
      </c>
      <c r="M556" s="55">
        <v>1.5</v>
      </c>
      <c r="N556" s="55">
        <v>0</v>
      </c>
      <c r="O556" s="55">
        <v>0</v>
      </c>
      <c r="P556" s="47" t="s">
        <v>51</v>
      </c>
    </row>
    <row r="557" spans="1:16">
      <c r="B557" s="58" t="s">
        <v>2199</v>
      </c>
      <c r="D557" s="47">
        <v>265</v>
      </c>
      <c r="E557" s="47">
        <v>8</v>
      </c>
      <c r="F557" s="47">
        <v>32</v>
      </c>
      <c r="G557" s="47">
        <v>11.66</v>
      </c>
    </row>
    <row r="558" spans="1:16" ht="18" customHeight="1">
      <c r="A558" s="47" t="s">
        <v>729</v>
      </c>
      <c r="B558" s="48" t="s">
        <v>790</v>
      </c>
      <c r="C558" s="54" t="s">
        <v>791</v>
      </c>
      <c r="D558" s="55">
        <v>51</v>
      </c>
      <c r="E558" s="55">
        <v>10.3</v>
      </c>
      <c r="F558" s="55">
        <v>0.1</v>
      </c>
      <c r="G558" s="55">
        <v>0.7</v>
      </c>
      <c r="H558" s="55">
        <v>16</v>
      </c>
      <c r="I558" s="55">
        <v>3.5</v>
      </c>
      <c r="J558" s="55">
        <v>24</v>
      </c>
      <c r="K558" s="55">
        <v>0.05</v>
      </c>
      <c r="L558" s="55">
        <v>0.25</v>
      </c>
      <c r="M558" s="55">
        <v>1.4</v>
      </c>
      <c r="N558" s="55">
        <v>0</v>
      </c>
      <c r="O558" s="55">
        <v>0</v>
      </c>
      <c r="P558" s="47" t="s">
        <v>51</v>
      </c>
    </row>
    <row r="559" spans="1:16" ht="18" customHeight="1">
      <c r="A559" s="47" t="s">
        <v>729</v>
      </c>
      <c r="B559" s="48" t="s">
        <v>792</v>
      </c>
      <c r="C559" s="54" t="s">
        <v>793</v>
      </c>
      <c r="D559" s="55">
        <v>27</v>
      </c>
      <c r="E559" s="55">
        <v>4</v>
      </c>
      <c r="F559" s="55">
        <v>2.2000000000000002</v>
      </c>
      <c r="G559" s="55">
        <v>0.5</v>
      </c>
      <c r="H559" s="55">
        <v>23</v>
      </c>
      <c r="I559" s="55">
        <v>12.2</v>
      </c>
      <c r="J559" s="55">
        <v>0</v>
      </c>
      <c r="K559" s="55">
        <v>0.31</v>
      </c>
      <c r="L559" s="55">
        <v>0.22</v>
      </c>
      <c r="M559" s="55">
        <v>13.4</v>
      </c>
      <c r="N559" s="55">
        <v>0</v>
      </c>
      <c r="O559" s="55">
        <v>0</v>
      </c>
      <c r="P559" s="47" t="s">
        <v>51</v>
      </c>
    </row>
    <row r="560" spans="1:16" ht="18" customHeight="1">
      <c r="A560" s="47" t="s">
        <v>729</v>
      </c>
      <c r="B560" s="48" t="s">
        <v>794</v>
      </c>
      <c r="C560" s="54" t="s">
        <v>795</v>
      </c>
      <c r="D560" s="55">
        <v>250</v>
      </c>
      <c r="E560" s="55">
        <v>18.8</v>
      </c>
      <c r="F560" s="55">
        <v>0.45</v>
      </c>
      <c r="G560" s="55">
        <v>18</v>
      </c>
      <c r="H560" s="55">
        <v>9</v>
      </c>
      <c r="I560" s="55">
        <v>2.2000000000000002</v>
      </c>
      <c r="J560" s="55">
        <v>12</v>
      </c>
      <c r="K560" s="55">
        <v>7.0000000000000007E-2</v>
      </c>
      <c r="L560" s="55">
        <v>0.2</v>
      </c>
      <c r="M560" s="55">
        <v>5.2</v>
      </c>
      <c r="N560" s="55">
        <v>1</v>
      </c>
      <c r="O560" s="55">
        <v>0</v>
      </c>
      <c r="P560" s="47" t="s">
        <v>51</v>
      </c>
    </row>
    <row r="561" spans="1:16" ht="18" customHeight="1">
      <c r="A561" s="47" t="s">
        <v>729</v>
      </c>
      <c r="B561" s="48" t="s">
        <v>796</v>
      </c>
      <c r="C561" s="54" t="s">
        <v>797</v>
      </c>
      <c r="D561" s="55">
        <v>187</v>
      </c>
      <c r="E561" s="55">
        <v>17.600000000000001</v>
      </c>
      <c r="F561" s="55">
        <v>0.12</v>
      </c>
      <c r="G561" s="55">
        <v>12.3</v>
      </c>
      <c r="H561" s="55">
        <v>6</v>
      </c>
      <c r="I561" s="55">
        <v>2.1</v>
      </c>
      <c r="J561" s="55">
        <v>12</v>
      </c>
      <c r="K561" s="55">
        <v>7.0000000000000007E-2</v>
      </c>
      <c r="L561" s="55">
        <v>0.2</v>
      </c>
      <c r="M561" s="55">
        <v>4.8</v>
      </c>
      <c r="N561" s="55">
        <v>1</v>
      </c>
      <c r="O561" s="55">
        <v>0</v>
      </c>
      <c r="P561" s="47" t="s">
        <v>51</v>
      </c>
    </row>
    <row r="562" spans="1:16" ht="18" customHeight="1">
      <c r="A562" s="47" t="s">
        <v>729</v>
      </c>
      <c r="B562" s="48" t="s">
        <v>798</v>
      </c>
      <c r="C562" s="54" t="s">
        <v>799</v>
      </c>
      <c r="D562" s="55">
        <v>137</v>
      </c>
      <c r="E562" s="55">
        <v>22</v>
      </c>
      <c r="F562" s="55">
        <v>0.2</v>
      </c>
      <c r="G562" s="55">
        <v>4.7</v>
      </c>
      <c r="H562" s="55">
        <v>6</v>
      </c>
      <c r="I562" s="55">
        <v>2.2000000000000002</v>
      </c>
      <c r="J562" s="55">
        <v>12</v>
      </c>
      <c r="K562" s="55">
        <v>7.0000000000000007E-2</v>
      </c>
      <c r="L562" s="55">
        <v>0.22</v>
      </c>
      <c r="M562" s="55">
        <v>4.7</v>
      </c>
      <c r="N562" s="55">
        <v>1</v>
      </c>
      <c r="O562" s="55">
        <v>0</v>
      </c>
      <c r="P562" s="47" t="s">
        <v>51</v>
      </c>
    </row>
    <row r="563" spans="1:16" ht="18" customHeight="1">
      <c r="A563" s="47" t="s">
        <v>729</v>
      </c>
      <c r="B563" s="48" t="s">
        <v>800</v>
      </c>
      <c r="C563" s="54" t="s">
        <v>801</v>
      </c>
      <c r="D563" s="55">
        <v>141</v>
      </c>
      <c r="E563" s="55">
        <v>18.7</v>
      </c>
      <c r="F563" s="55">
        <v>0.2</v>
      </c>
      <c r="G563" s="55">
        <v>3.1</v>
      </c>
      <c r="H563" s="55">
        <v>13</v>
      </c>
      <c r="I563" s="55">
        <v>1.8</v>
      </c>
      <c r="J563" s="55">
        <v>7</v>
      </c>
      <c r="K563" s="55">
        <v>0.05</v>
      </c>
      <c r="L563" s="55">
        <v>0.15</v>
      </c>
      <c r="M563" s="55">
        <v>3.1</v>
      </c>
      <c r="N563" s="55">
        <v>0</v>
      </c>
      <c r="O563" s="55">
        <v>0</v>
      </c>
      <c r="P563" s="47" t="s">
        <v>51</v>
      </c>
    </row>
    <row r="564" spans="1:16" ht="18" customHeight="1">
      <c r="A564" s="47" t="s">
        <v>729</v>
      </c>
      <c r="B564" s="48" t="s">
        <v>802</v>
      </c>
      <c r="C564" s="54" t="s">
        <v>803</v>
      </c>
      <c r="D564" s="55">
        <v>154</v>
      </c>
      <c r="E564" s="55">
        <v>21</v>
      </c>
      <c r="F564" s="55">
        <v>0.2</v>
      </c>
      <c r="G564" s="55">
        <v>7.1</v>
      </c>
      <c r="H564" s="55">
        <v>6</v>
      </c>
      <c r="I564" s="55">
        <v>2.2000000000000002</v>
      </c>
      <c r="J564" s="55">
        <v>11</v>
      </c>
      <c r="K564" s="55">
        <v>0.11</v>
      </c>
      <c r="L564" s="55">
        <v>0.23</v>
      </c>
      <c r="M564" s="55">
        <v>4.5</v>
      </c>
      <c r="N564" s="55">
        <v>1</v>
      </c>
      <c r="O564" s="55">
        <v>5</v>
      </c>
      <c r="P564" s="47" t="s">
        <v>51</v>
      </c>
    </row>
    <row r="565" spans="1:16" ht="18" customHeight="1">
      <c r="A565" s="47" t="s">
        <v>729</v>
      </c>
      <c r="B565" s="48" t="s">
        <v>804</v>
      </c>
      <c r="C565" s="54" t="s">
        <v>803</v>
      </c>
      <c r="D565" s="55">
        <v>154</v>
      </c>
      <c r="E565" s="55">
        <v>21</v>
      </c>
      <c r="F565" s="55">
        <v>0.2</v>
      </c>
      <c r="G565" s="55">
        <v>14.1</v>
      </c>
      <c r="H565" s="55">
        <v>6</v>
      </c>
      <c r="I565" s="55">
        <v>2.2000000000000002</v>
      </c>
      <c r="J565" s="55">
        <v>11</v>
      </c>
      <c r="K565" s="55">
        <v>0.11</v>
      </c>
      <c r="L565" s="55">
        <v>0.23</v>
      </c>
      <c r="M565" s="55">
        <v>4.5</v>
      </c>
      <c r="N565" s="55">
        <v>1</v>
      </c>
      <c r="O565" s="55">
        <v>5</v>
      </c>
      <c r="P565" s="47" t="s">
        <v>51</v>
      </c>
    </row>
    <row r="566" spans="1:16" ht="18" customHeight="1">
      <c r="A566" s="47" t="s">
        <v>729</v>
      </c>
      <c r="B566" s="48" t="s">
        <v>805</v>
      </c>
      <c r="C566" s="54" t="s">
        <v>806</v>
      </c>
      <c r="D566" s="55">
        <v>150</v>
      </c>
      <c r="E566" s="55">
        <v>21.2</v>
      </c>
      <c r="F566" s="55"/>
      <c r="G566" s="55">
        <v>6.6</v>
      </c>
      <c r="H566" s="55">
        <v>6</v>
      </c>
      <c r="I566" s="55">
        <v>2.7</v>
      </c>
      <c r="J566" s="55">
        <v>6</v>
      </c>
      <c r="K566" s="55">
        <v>7.0000000000000007E-2</v>
      </c>
      <c r="L566" s="55">
        <v>0.18</v>
      </c>
      <c r="M566" s="55">
        <v>5.5</v>
      </c>
      <c r="N566" s="55">
        <v>1</v>
      </c>
      <c r="O566" s="55">
        <v>0</v>
      </c>
      <c r="P566" s="47" t="s">
        <v>51</v>
      </c>
    </row>
    <row r="567" spans="1:16" ht="18" customHeight="1">
      <c r="A567" s="47" t="s">
        <v>729</v>
      </c>
      <c r="B567" s="48" t="s">
        <v>807</v>
      </c>
      <c r="C567" s="54" t="s">
        <v>808</v>
      </c>
      <c r="D567" s="55">
        <v>137</v>
      </c>
      <c r="E567" s="55">
        <v>22.3</v>
      </c>
      <c r="F567" s="55">
        <v>0.06</v>
      </c>
      <c r="G567" s="55">
        <v>4.5999999999999996</v>
      </c>
      <c r="H567" s="55">
        <v>7</v>
      </c>
      <c r="I567" s="55">
        <v>2.7</v>
      </c>
      <c r="J567" s="55">
        <v>10</v>
      </c>
      <c r="K567" s="55">
        <v>0.08</v>
      </c>
      <c r="L567" s="55">
        <v>0.18</v>
      </c>
      <c r="M567" s="55">
        <v>5.2</v>
      </c>
      <c r="N567" s="55">
        <v>2</v>
      </c>
      <c r="O567" s="55">
        <v>0</v>
      </c>
      <c r="P567" s="47" t="s">
        <v>51</v>
      </c>
    </row>
    <row r="568" spans="1:16" ht="18" customHeight="1">
      <c r="A568" s="47" t="s">
        <v>729</v>
      </c>
      <c r="B568" s="48" t="s">
        <v>809</v>
      </c>
      <c r="C568" s="54" t="s">
        <v>810</v>
      </c>
      <c r="D568" s="55">
        <v>251</v>
      </c>
      <c r="E568" s="55">
        <v>18.5</v>
      </c>
      <c r="F568" s="55">
        <v>0</v>
      </c>
      <c r="G568" s="55">
        <v>15.64</v>
      </c>
      <c r="H568" s="55">
        <v>7</v>
      </c>
      <c r="I568" s="55">
        <v>2.1</v>
      </c>
      <c r="J568" s="55">
        <v>0</v>
      </c>
      <c r="K568" s="55">
        <v>0.11</v>
      </c>
      <c r="L568" s="55">
        <v>0.18</v>
      </c>
      <c r="M568" s="55">
        <v>3.2</v>
      </c>
      <c r="N568" s="55">
        <v>0</v>
      </c>
      <c r="O568" s="55">
        <v>15</v>
      </c>
      <c r="P568" s="47" t="s">
        <v>51</v>
      </c>
    </row>
    <row r="569" spans="1:16" ht="18" customHeight="1">
      <c r="A569" s="47" t="s">
        <v>729</v>
      </c>
      <c r="B569" s="48" t="s">
        <v>811</v>
      </c>
      <c r="C569" s="54" t="s">
        <v>812</v>
      </c>
      <c r="D569" s="55">
        <v>214</v>
      </c>
      <c r="E569" s="55">
        <v>17.399999999999999</v>
      </c>
      <c r="F569" s="55">
        <v>0.1</v>
      </c>
      <c r="G569" s="55">
        <v>14.9</v>
      </c>
      <c r="H569" s="55">
        <v>10</v>
      </c>
      <c r="I569" s="55">
        <v>2</v>
      </c>
      <c r="J569" s="55">
        <v>7</v>
      </c>
      <c r="K569" s="55">
        <v>0.08</v>
      </c>
      <c r="L569" s="55">
        <v>0.18</v>
      </c>
      <c r="M569" s="55">
        <v>4.2</v>
      </c>
      <c r="N569" s="55">
        <v>0</v>
      </c>
      <c r="O569" s="55">
        <v>0</v>
      </c>
      <c r="P569" s="47" t="s">
        <v>51</v>
      </c>
    </row>
    <row r="570" spans="1:16" ht="18" customHeight="1">
      <c r="A570" s="47" t="s">
        <v>729</v>
      </c>
      <c r="B570" s="48" t="s">
        <v>813</v>
      </c>
      <c r="C570" s="54" t="s">
        <v>814</v>
      </c>
      <c r="D570" s="55">
        <v>218</v>
      </c>
      <c r="E570" s="55">
        <v>21</v>
      </c>
      <c r="F570" s="55">
        <v>0</v>
      </c>
      <c r="G570" s="55">
        <v>14.1</v>
      </c>
      <c r="H570" s="55">
        <v>11</v>
      </c>
      <c r="I570" s="55">
        <v>2.4</v>
      </c>
      <c r="J570" s="55">
        <v>12</v>
      </c>
      <c r="K570" s="55">
        <v>7.0000000000000007E-2</v>
      </c>
      <c r="L570" s="55">
        <v>0.19</v>
      </c>
      <c r="M570" s="55">
        <v>5.9</v>
      </c>
      <c r="N570" s="55">
        <v>1</v>
      </c>
      <c r="O570" s="55">
        <v>0</v>
      </c>
      <c r="P570" s="47" t="s">
        <v>51</v>
      </c>
    </row>
    <row r="571" spans="1:16" ht="18" customHeight="1">
      <c r="A571" s="47" t="s">
        <v>729</v>
      </c>
      <c r="B571" s="48" t="s">
        <v>815</v>
      </c>
      <c r="C571" s="54" t="s">
        <v>816</v>
      </c>
      <c r="D571" s="55">
        <v>136</v>
      </c>
      <c r="E571" s="55">
        <v>11.5</v>
      </c>
      <c r="F571" s="55">
        <v>4.3</v>
      </c>
      <c r="G571" s="55">
        <v>7.8</v>
      </c>
      <c r="H571" s="55">
        <v>12</v>
      </c>
      <c r="I571" s="55">
        <v>1.8</v>
      </c>
      <c r="J571" s="55">
        <v>4</v>
      </c>
      <c r="K571" s="55">
        <v>0.09</v>
      </c>
      <c r="L571" s="55">
        <v>0.08</v>
      </c>
      <c r="M571" s="55">
        <v>3</v>
      </c>
      <c r="N571" s="55">
        <v>1</v>
      </c>
      <c r="O571" s="55">
        <v>0</v>
      </c>
      <c r="P571" s="47" t="s">
        <v>51</v>
      </c>
    </row>
    <row r="572" spans="1:16" ht="18" customHeight="1">
      <c r="A572" s="47" t="s">
        <v>729</v>
      </c>
      <c r="B572" s="48" t="s">
        <v>817</v>
      </c>
      <c r="C572" s="54" t="s">
        <v>818</v>
      </c>
      <c r="D572" s="55">
        <v>135</v>
      </c>
      <c r="E572" s="55">
        <v>24.4</v>
      </c>
      <c r="F572" s="55">
        <v>0.1</v>
      </c>
      <c r="G572" s="55">
        <v>63.4</v>
      </c>
      <c r="H572" s="55">
        <v>8</v>
      </c>
      <c r="I572" s="55">
        <v>2.2999999999999998</v>
      </c>
      <c r="J572" s="55">
        <v>12</v>
      </c>
      <c r="K572" s="55">
        <v>0.08</v>
      </c>
      <c r="L572" s="55">
        <v>0.19</v>
      </c>
      <c r="M572" s="55">
        <v>5.3</v>
      </c>
      <c r="N572" s="55">
        <v>2</v>
      </c>
      <c r="O572" s="55">
        <v>0</v>
      </c>
      <c r="P572" s="47" t="s">
        <v>51</v>
      </c>
    </row>
    <row r="573" spans="1:16" ht="18" customHeight="1">
      <c r="A573" s="47" t="s">
        <v>729</v>
      </c>
      <c r="B573" s="48" t="s">
        <v>2056</v>
      </c>
      <c r="C573" s="54" t="s">
        <v>818</v>
      </c>
      <c r="D573" s="55">
        <v>135</v>
      </c>
      <c r="E573" s="55">
        <v>24.4</v>
      </c>
      <c r="F573" s="55">
        <v>0.1</v>
      </c>
      <c r="G573" s="55">
        <v>63.4</v>
      </c>
      <c r="H573" s="55">
        <v>8</v>
      </c>
      <c r="I573" s="55">
        <v>2.2999999999999998</v>
      </c>
      <c r="J573" s="55">
        <v>12</v>
      </c>
      <c r="K573" s="55">
        <v>0.08</v>
      </c>
      <c r="L573" s="55">
        <v>0.19</v>
      </c>
      <c r="M573" s="55">
        <v>5.3</v>
      </c>
      <c r="N573" s="55">
        <v>2</v>
      </c>
      <c r="O573" s="55">
        <v>0</v>
      </c>
      <c r="P573" s="47" t="s">
        <v>51</v>
      </c>
    </row>
    <row r="574" spans="1:16" ht="18" customHeight="1">
      <c r="A574" s="47" t="s">
        <v>729</v>
      </c>
      <c r="B574" s="48" t="s">
        <v>819</v>
      </c>
      <c r="C574" s="54" t="s">
        <v>820</v>
      </c>
      <c r="D574" s="55">
        <v>161</v>
      </c>
      <c r="E574" s="55">
        <v>20.7</v>
      </c>
      <c r="F574" s="55">
        <v>0.2</v>
      </c>
      <c r="G574" s="55">
        <v>8</v>
      </c>
      <c r="H574" s="55">
        <v>8</v>
      </c>
      <c r="I574" s="55">
        <v>2.5</v>
      </c>
      <c r="J574" s="55">
        <v>9</v>
      </c>
      <c r="K574" s="55">
        <v>0.1</v>
      </c>
      <c r="L574" s="55">
        <v>0.24</v>
      </c>
      <c r="M574" s="55">
        <v>5.3</v>
      </c>
      <c r="N574" s="55">
        <v>2</v>
      </c>
      <c r="O574" s="55">
        <v>0</v>
      </c>
      <c r="P574" s="47" t="s">
        <v>51</v>
      </c>
    </row>
    <row r="575" spans="1:16" ht="18" customHeight="1">
      <c r="A575" s="47" t="s">
        <v>729</v>
      </c>
      <c r="B575" s="48" t="s">
        <v>821</v>
      </c>
      <c r="C575" s="54" t="s">
        <v>822</v>
      </c>
      <c r="D575" s="55">
        <v>176</v>
      </c>
      <c r="E575" s="55">
        <v>21.6</v>
      </c>
      <c r="F575" s="55">
        <v>4.5999999999999996</v>
      </c>
      <c r="G575" s="55">
        <v>9.1999999999999993</v>
      </c>
      <c r="H575" s="55">
        <v>8</v>
      </c>
      <c r="I575" s="55">
        <v>2.2999999999999998</v>
      </c>
      <c r="J575" s="55">
        <v>17</v>
      </c>
      <c r="K575" s="55">
        <v>0.08</v>
      </c>
      <c r="L575" s="55">
        <v>0.18</v>
      </c>
      <c r="M575" s="55">
        <v>5.0999999999999996</v>
      </c>
      <c r="N575" s="55">
        <v>2</v>
      </c>
      <c r="O575" s="55">
        <v>0</v>
      </c>
      <c r="P575" s="47" t="s">
        <v>51</v>
      </c>
    </row>
    <row r="576" spans="1:16" ht="18" customHeight="1">
      <c r="A576" s="47" t="s">
        <v>729</v>
      </c>
      <c r="B576" s="48" t="s">
        <v>823</v>
      </c>
      <c r="C576" s="54" t="s">
        <v>824</v>
      </c>
      <c r="D576" s="55">
        <v>134</v>
      </c>
      <c r="E576" s="55">
        <v>21.3</v>
      </c>
      <c r="F576" s="55">
        <v>0.1</v>
      </c>
      <c r="G576" s="55">
        <v>4.7</v>
      </c>
      <c r="H576" s="55">
        <v>8</v>
      </c>
      <c r="I576" s="55">
        <v>2.8</v>
      </c>
      <c r="J576" s="55">
        <v>12</v>
      </c>
      <c r="K576" s="55">
        <v>0.09</v>
      </c>
      <c r="L576" s="55">
        <v>0.2</v>
      </c>
      <c r="M576" s="55">
        <v>6</v>
      </c>
      <c r="N576" s="55">
        <v>2</v>
      </c>
      <c r="O576" s="55">
        <v>0</v>
      </c>
      <c r="P576" s="47" t="s">
        <v>51</v>
      </c>
    </row>
    <row r="577" spans="1:16" ht="18" customHeight="1">
      <c r="A577" s="47"/>
      <c r="B577" s="48" t="s">
        <v>2204</v>
      </c>
      <c r="C577" s="54"/>
      <c r="D577" s="55">
        <v>240</v>
      </c>
      <c r="E577" s="55">
        <v>13</v>
      </c>
      <c r="F577" s="55">
        <v>15</v>
      </c>
      <c r="G577" s="55">
        <v>13</v>
      </c>
      <c r="H577" s="55"/>
      <c r="I577" s="55"/>
      <c r="J577" s="55"/>
      <c r="K577" s="55"/>
      <c r="L577" s="55"/>
      <c r="M577" s="55"/>
      <c r="N577" s="55"/>
      <c r="O577" s="55"/>
    </row>
    <row r="578" spans="1:16" ht="18" customHeight="1">
      <c r="A578" s="47"/>
      <c r="B578" s="48" t="s">
        <v>2205</v>
      </c>
      <c r="C578" s="54"/>
      <c r="D578" s="55">
        <v>175</v>
      </c>
      <c r="E578" s="55">
        <v>1</v>
      </c>
      <c r="F578" s="55">
        <v>40</v>
      </c>
      <c r="G578" s="55">
        <v>1.1000000000000001</v>
      </c>
      <c r="H578" s="55"/>
      <c r="I578" s="55"/>
      <c r="J578" s="55"/>
      <c r="K578" s="55"/>
      <c r="L578" s="55"/>
      <c r="M578" s="55"/>
      <c r="N578" s="55"/>
      <c r="O578" s="55"/>
    </row>
    <row r="579" spans="1:16" ht="18" customHeight="1">
      <c r="A579" s="47"/>
      <c r="B579" s="48" t="s">
        <v>2200</v>
      </c>
      <c r="C579" s="54"/>
      <c r="D579" s="55">
        <v>166.6</v>
      </c>
      <c r="E579" s="55">
        <v>11.6</v>
      </c>
      <c r="F579" s="55">
        <v>28.3</v>
      </c>
      <c r="G579" s="55"/>
      <c r="H579" s="55"/>
      <c r="I579" s="55"/>
      <c r="J579" s="55"/>
      <c r="K579" s="55"/>
      <c r="L579" s="55"/>
      <c r="M579" s="55"/>
      <c r="N579" s="55"/>
      <c r="O579" s="55"/>
    </row>
    <row r="580" spans="1:16" ht="18" customHeight="1">
      <c r="A580" s="47" t="s">
        <v>729</v>
      </c>
      <c r="B580" s="48" t="s">
        <v>825</v>
      </c>
      <c r="C580" s="54" t="s">
        <v>825</v>
      </c>
      <c r="D580" s="55">
        <v>519</v>
      </c>
      <c r="E580" s="55">
        <v>8.3000000000000007</v>
      </c>
      <c r="F580" s="55">
        <v>0</v>
      </c>
      <c r="G580" s="55">
        <v>32</v>
      </c>
      <c r="H580" s="55">
        <v>30</v>
      </c>
      <c r="I580" s="55">
        <v>2</v>
      </c>
      <c r="J580" s="55">
        <v>0</v>
      </c>
      <c r="K580" s="55">
        <v>0.38</v>
      </c>
      <c r="L580" s="55">
        <v>0.05</v>
      </c>
      <c r="M580" s="55">
        <v>3.8</v>
      </c>
      <c r="N580" s="55">
        <v>2</v>
      </c>
      <c r="O580" s="55">
        <v>0</v>
      </c>
      <c r="P580" s="47" t="s">
        <v>51</v>
      </c>
    </row>
    <row r="581" spans="1:16" ht="18" customHeight="1">
      <c r="A581" s="47" t="s">
        <v>729</v>
      </c>
      <c r="B581" s="48" t="s">
        <v>826</v>
      </c>
      <c r="C581" s="54" t="s">
        <v>826</v>
      </c>
      <c r="D581" s="55">
        <v>367</v>
      </c>
      <c r="E581" s="55">
        <v>21.5</v>
      </c>
      <c r="F581" s="55">
        <v>1.9</v>
      </c>
      <c r="G581" s="55">
        <v>18</v>
      </c>
      <c r="H581" s="55">
        <v>20</v>
      </c>
      <c r="I581" s="55">
        <v>2.2999999999999998</v>
      </c>
      <c r="J581" s="55">
        <v>0</v>
      </c>
      <c r="K581" s="55">
        <v>0.04</v>
      </c>
      <c r="L581" s="55">
        <v>0.1</v>
      </c>
      <c r="M581" s="55">
        <v>4.9000000000000004</v>
      </c>
      <c r="N581" s="55">
        <v>0</v>
      </c>
      <c r="O581" s="55">
        <v>40</v>
      </c>
      <c r="P581" s="47" t="s">
        <v>51</v>
      </c>
    </row>
    <row r="582" spans="1:16" ht="18" customHeight="1">
      <c r="A582" s="47" t="s">
        <v>729</v>
      </c>
      <c r="B582" s="48" t="s">
        <v>1674</v>
      </c>
      <c r="C582" s="54" t="s">
        <v>828</v>
      </c>
      <c r="D582" s="55">
        <v>83</v>
      </c>
      <c r="E582" s="55">
        <v>9.1</v>
      </c>
      <c r="F582" s="55">
        <v>1</v>
      </c>
      <c r="G582" s="55">
        <v>1.6</v>
      </c>
      <c r="H582" s="55">
        <v>50</v>
      </c>
      <c r="I582" s="55">
        <v>2</v>
      </c>
      <c r="J582" s="55">
        <v>6</v>
      </c>
      <c r="K582" s="55">
        <v>0.06</v>
      </c>
      <c r="L582" s="55">
        <v>0.18</v>
      </c>
      <c r="M582" s="55">
        <v>3.8</v>
      </c>
      <c r="N582" s="55">
        <v>0</v>
      </c>
      <c r="O582" s="55">
        <v>0</v>
      </c>
      <c r="P582" s="47" t="s">
        <v>51</v>
      </c>
    </row>
    <row r="583" spans="1:16" ht="18" customHeight="1">
      <c r="A583" s="47" t="s">
        <v>729</v>
      </c>
      <c r="B583" s="48" t="s">
        <v>827</v>
      </c>
      <c r="C583" s="54" t="s">
        <v>828</v>
      </c>
      <c r="D583" s="55">
        <v>83</v>
      </c>
      <c r="E583" s="55">
        <v>9.1</v>
      </c>
      <c r="F583" s="55">
        <v>1</v>
      </c>
      <c r="G583" s="55">
        <v>1.6</v>
      </c>
      <c r="H583" s="55">
        <v>50</v>
      </c>
      <c r="I583" s="55">
        <v>2</v>
      </c>
      <c r="J583" s="55">
        <v>6</v>
      </c>
      <c r="K583" s="55">
        <v>0.06</v>
      </c>
      <c r="L583" s="55">
        <v>0.18</v>
      </c>
      <c r="M583" s="55">
        <v>3.8</v>
      </c>
      <c r="N583" s="55">
        <v>0</v>
      </c>
      <c r="O583" s="55">
        <v>0</v>
      </c>
      <c r="P583" s="47" t="s">
        <v>51</v>
      </c>
    </row>
    <row r="584" spans="1:16" ht="18" customHeight="1">
      <c r="A584" s="47" t="s">
        <v>729</v>
      </c>
      <c r="B584" s="48" t="s">
        <v>817</v>
      </c>
      <c r="C584" s="54" t="s">
        <v>829</v>
      </c>
      <c r="D584" s="55">
        <v>106</v>
      </c>
      <c r="E584" s="55">
        <v>5</v>
      </c>
      <c r="F584" s="55">
        <v>0</v>
      </c>
      <c r="G584" s="55">
        <v>63.4</v>
      </c>
      <c r="H584" s="55">
        <v>11</v>
      </c>
      <c r="I584" s="55">
        <v>2</v>
      </c>
      <c r="J584" s="55">
        <v>6</v>
      </c>
      <c r="K584" s="55">
        <v>0.06</v>
      </c>
      <c r="L584" s="55">
        <v>0.16</v>
      </c>
      <c r="M584" s="55">
        <v>4.0999999999999996</v>
      </c>
      <c r="N584" s="55">
        <v>0</v>
      </c>
      <c r="O584" s="55">
        <v>0</v>
      </c>
      <c r="P584" s="47" t="s">
        <v>51</v>
      </c>
    </row>
    <row r="585" spans="1:16" ht="18" customHeight="1">
      <c r="A585" s="47" t="s">
        <v>729</v>
      </c>
      <c r="B585" s="48" t="s">
        <v>830</v>
      </c>
      <c r="C585" s="54" t="s">
        <v>830</v>
      </c>
      <c r="D585" s="55">
        <v>171</v>
      </c>
      <c r="E585" s="55">
        <v>17.600000000000001</v>
      </c>
      <c r="F585" s="55">
        <v>0.3</v>
      </c>
      <c r="G585" s="55">
        <v>10.1</v>
      </c>
      <c r="H585" s="55">
        <v>10</v>
      </c>
      <c r="I585" s="55">
        <v>2</v>
      </c>
      <c r="J585" s="55">
        <v>8</v>
      </c>
      <c r="K585" s="55">
        <v>0.06</v>
      </c>
      <c r="L585" s="55">
        <v>0.17</v>
      </c>
      <c r="M585" s="55">
        <v>3.6</v>
      </c>
      <c r="N585" s="55">
        <v>0</v>
      </c>
      <c r="O585" s="55">
        <v>0</v>
      </c>
      <c r="P585" s="47" t="s">
        <v>51</v>
      </c>
    </row>
    <row r="586" spans="1:16" ht="18" customHeight="1">
      <c r="A586" s="47" t="s">
        <v>729</v>
      </c>
      <c r="B586" s="48" t="s">
        <v>819</v>
      </c>
      <c r="C586" s="54" t="s">
        <v>819</v>
      </c>
      <c r="D586" s="55">
        <v>161</v>
      </c>
      <c r="E586" s="55">
        <v>20.7</v>
      </c>
      <c r="F586" s="55">
        <v>0.2</v>
      </c>
      <c r="G586" s="55">
        <v>8</v>
      </c>
      <c r="H586" s="55">
        <v>8</v>
      </c>
      <c r="I586" s="55">
        <v>2.5</v>
      </c>
      <c r="J586" s="55">
        <v>9</v>
      </c>
      <c r="K586" s="55">
        <v>0.1</v>
      </c>
      <c r="L586" s="55">
        <v>0.24</v>
      </c>
      <c r="M586" s="55">
        <v>5.3</v>
      </c>
      <c r="N586" s="55">
        <v>2</v>
      </c>
      <c r="O586" s="55">
        <v>0</v>
      </c>
      <c r="P586" s="47" t="s">
        <v>51</v>
      </c>
    </row>
    <row r="587" spans="1:16" ht="18" customHeight="1">
      <c r="A587" s="47" t="s">
        <v>729</v>
      </c>
      <c r="B587" s="48" t="s">
        <v>821</v>
      </c>
      <c r="C587" s="54" t="s">
        <v>821</v>
      </c>
      <c r="D587" s="55">
        <v>176</v>
      </c>
      <c r="E587" s="55">
        <v>21.6</v>
      </c>
      <c r="F587" s="55">
        <v>4.5999999999999996</v>
      </c>
      <c r="G587" s="55">
        <v>9.1999999999999993</v>
      </c>
      <c r="H587" s="55">
        <v>8</v>
      </c>
      <c r="I587" s="55">
        <v>2.2999999999999998</v>
      </c>
      <c r="J587" s="55">
        <v>17</v>
      </c>
      <c r="K587" s="55">
        <v>0.08</v>
      </c>
      <c r="L587" s="55">
        <v>0.18</v>
      </c>
      <c r="M587" s="55">
        <v>5.0999999999999996</v>
      </c>
      <c r="N587" s="55">
        <v>2</v>
      </c>
      <c r="O587" s="55">
        <v>0</v>
      </c>
      <c r="P587" s="47" t="s">
        <v>51</v>
      </c>
    </row>
    <row r="588" spans="1:16" ht="18" customHeight="1">
      <c r="A588" s="47" t="s">
        <v>729</v>
      </c>
      <c r="B588" s="48" t="s">
        <v>823</v>
      </c>
      <c r="C588" s="54" t="s">
        <v>823</v>
      </c>
      <c r="D588" s="55">
        <v>134</v>
      </c>
      <c r="E588" s="55">
        <v>21.3</v>
      </c>
      <c r="F588" s="55">
        <v>0.1</v>
      </c>
      <c r="G588" s="55">
        <v>4.7</v>
      </c>
      <c r="H588" s="55">
        <v>8</v>
      </c>
      <c r="I588" s="55">
        <v>2.8</v>
      </c>
      <c r="J588" s="55">
        <v>12</v>
      </c>
      <c r="K588" s="55">
        <v>0.09</v>
      </c>
      <c r="L588" s="55">
        <v>0.2</v>
      </c>
      <c r="M588" s="55">
        <v>6</v>
      </c>
      <c r="N588" s="55">
        <v>2</v>
      </c>
      <c r="O588" s="55">
        <v>0</v>
      </c>
      <c r="P588" s="47" t="s">
        <v>51</v>
      </c>
    </row>
    <row r="589" spans="1:16" ht="18" customHeight="1">
      <c r="A589" s="47" t="s">
        <v>729</v>
      </c>
      <c r="B589" s="48" t="s">
        <v>831</v>
      </c>
      <c r="C589" s="54" t="s">
        <v>831</v>
      </c>
      <c r="D589" s="55">
        <v>361</v>
      </c>
      <c r="E589" s="55">
        <v>49</v>
      </c>
      <c r="F589" s="55">
        <v>7.4</v>
      </c>
      <c r="G589" s="55">
        <v>8.1999999999999993</v>
      </c>
      <c r="H589" s="55">
        <v>13</v>
      </c>
      <c r="I589" s="55">
        <v>6.4</v>
      </c>
      <c r="J589" s="55">
        <v>0</v>
      </c>
      <c r="K589" s="55">
        <v>0.21</v>
      </c>
      <c r="L589" s="55">
        <v>0.25</v>
      </c>
      <c r="M589" s="55">
        <v>19.600000000000001</v>
      </c>
      <c r="N589" s="55">
        <v>0</v>
      </c>
      <c r="O589" s="55">
        <v>0</v>
      </c>
      <c r="P589" s="47" t="s">
        <v>51</v>
      </c>
    </row>
    <row r="590" spans="1:16" ht="18" customHeight="1">
      <c r="A590" s="47" t="s">
        <v>729</v>
      </c>
      <c r="B590" s="48" t="s">
        <v>832</v>
      </c>
      <c r="C590" s="54" t="s">
        <v>832</v>
      </c>
      <c r="D590" s="55">
        <v>83</v>
      </c>
      <c r="E590" s="55">
        <v>15.2</v>
      </c>
      <c r="F590" s="55">
        <v>0</v>
      </c>
      <c r="G590" s="55">
        <v>1.9</v>
      </c>
      <c r="H590" s="55">
        <v>10</v>
      </c>
      <c r="I590" s="55">
        <v>2.2999999999999998</v>
      </c>
      <c r="J590" s="55">
        <v>6</v>
      </c>
      <c r="K590" s="55">
        <v>0.06</v>
      </c>
      <c r="L590" s="55">
        <v>0.18</v>
      </c>
      <c r="M590" s="55">
        <v>3.8</v>
      </c>
      <c r="N590" s="55">
        <v>0</v>
      </c>
      <c r="O590" s="55">
        <v>0</v>
      </c>
      <c r="P590" s="47" t="s">
        <v>51</v>
      </c>
    </row>
    <row r="591" spans="1:16" ht="18" customHeight="1">
      <c r="A591" s="47" t="s">
        <v>729</v>
      </c>
      <c r="B591" s="48" t="s">
        <v>833</v>
      </c>
      <c r="C591" s="54" t="s">
        <v>833</v>
      </c>
      <c r="D591" s="55">
        <v>126</v>
      </c>
      <c r="E591" s="55">
        <v>17.100000000000001</v>
      </c>
      <c r="F591" s="55">
        <v>0</v>
      </c>
      <c r="G591" s="55">
        <v>9.1999999999999993</v>
      </c>
      <c r="H591" s="55">
        <v>11</v>
      </c>
      <c r="I591" s="55">
        <v>2.2000000000000002</v>
      </c>
      <c r="J591" s="55">
        <v>6</v>
      </c>
      <c r="K591" s="55">
        <v>7.0000000000000007E-2</v>
      </c>
      <c r="L591" s="55">
        <v>0.19</v>
      </c>
      <c r="M591" s="55">
        <v>4.2</v>
      </c>
      <c r="N591" s="55">
        <v>0</v>
      </c>
      <c r="O591" s="55">
        <v>0</v>
      </c>
      <c r="P591" s="47" t="s">
        <v>51</v>
      </c>
    </row>
    <row r="592" spans="1:16" ht="18" customHeight="1">
      <c r="A592" s="47" t="s">
        <v>834</v>
      </c>
      <c r="B592" s="48" t="s">
        <v>835</v>
      </c>
      <c r="C592" s="54" t="s">
        <v>835</v>
      </c>
      <c r="D592" s="55">
        <v>49</v>
      </c>
      <c r="E592" s="55">
        <v>0</v>
      </c>
      <c r="F592" s="55">
        <v>25.4</v>
      </c>
      <c r="G592" s="55">
        <v>0</v>
      </c>
      <c r="H592" s="55">
        <v>3</v>
      </c>
      <c r="I592" s="55">
        <v>0</v>
      </c>
      <c r="J592" s="55">
        <v>0</v>
      </c>
      <c r="K592" s="55">
        <v>0</v>
      </c>
      <c r="L592" s="55">
        <v>0</v>
      </c>
      <c r="M592" s="55">
        <v>0</v>
      </c>
      <c r="N592" s="55">
        <v>0</v>
      </c>
      <c r="O592" s="55">
        <v>0</v>
      </c>
      <c r="P592" s="47" t="s">
        <v>51</v>
      </c>
    </row>
    <row r="593" spans="1:16" ht="18" customHeight="1">
      <c r="A593" s="47"/>
      <c r="B593" s="48" t="s">
        <v>1805</v>
      </c>
      <c r="C593" s="54"/>
      <c r="D593" s="55">
        <v>49</v>
      </c>
      <c r="E593" s="55">
        <v>0</v>
      </c>
      <c r="F593" s="55">
        <v>25.4</v>
      </c>
      <c r="G593" s="55">
        <v>0</v>
      </c>
      <c r="H593" s="55">
        <v>3</v>
      </c>
      <c r="I593" s="55">
        <v>0</v>
      </c>
      <c r="J593" s="55">
        <v>0</v>
      </c>
      <c r="K593" s="55">
        <v>0</v>
      </c>
      <c r="L593" s="55">
        <v>0</v>
      </c>
      <c r="M593" s="55">
        <v>0</v>
      </c>
      <c r="N593" s="55">
        <v>0</v>
      </c>
      <c r="O593" s="55">
        <v>0</v>
      </c>
    </row>
    <row r="594" spans="1:16" ht="18" customHeight="1">
      <c r="A594" s="47"/>
      <c r="B594" s="48" t="s">
        <v>1777</v>
      </c>
      <c r="C594" s="54"/>
      <c r="D594" s="55">
        <v>49</v>
      </c>
      <c r="E594" s="55">
        <v>0</v>
      </c>
      <c r="F594" s="55">
        <v>25.4</v>
      </c>
      <c r="G594" s="55">
        <v>0</v>
      </c>
      <c r="H594" s="55">
        <v>3</v>
      </c>
      <c r="I594" s="55">
        <v>0</v>
      </c>
      <c r="J594" s="55">
        <v>0</v>
      </c>
      <c r="K594" s="55">
        <v>0</v>
      </c>
      <c r="L594" s="55">
        <v>0</v>
      </c>
      <c r="M594" s="55">
        <v>0</v>
      </c>
      <c r="N594" s="55">
        <v>0</v>
      </c>
      <c r="O594" s="55">
        <v>0</v>
      </c>
    </row>
    <row r="595" spans="1:16" ht="18" customHeight="1">
      <c r="A595" s="47" t="s">
        <v>834</v>
      </c>
      <c r="B595" s="48" t="s">
        <v>836</v>
      </c>
      <c r="C595" s="54" t="s">
        <v>836</v>
      </c>
      <c r="D595" s="55">
        <v>40</v>
      </c>
      <c r="E595" s="55">
        <v>1</v>
      </c>
      <c r="F595" s="55">
        <v>9.3000000000000007</v>
      </c>
      <c r="G595" s="55">
        <v>0.2</v>
      </c>
      <c r="H595" s="55">
        <v>24</v>
      </c>
      <c r="I595" s="55">
        <v>0.5</v>
      </c>
      <c r="J595" s="55">
        <v>2.2000000000000002</v>
      </c>
      <c r="K595" s="55">
        <v>0.09</v>
      </c>
      <c r="L595" s="55">
        <v>0.06</v>
      </c>
      <c r="M595" s="55">
        <v>0.4</v>
      </c>
      <c r="N595" s="55">
        <v>9</v>
      </c>
      <c r="O595" s="55">
        <v>0</v>
      </c>
      <c r="P595" s="47" t="s">
        <v>51</v>
      </c>
    </row>
    <row r="596" spans="1:16" ht="18" customHeight="1">
      <c r="A596" s="47" t="s">
        <v>834</v>
      </c>
      <c r="B596" s="48" t="s">
        <v>1676</v>
      </c>
      <c r="C596" s="54" t="s">
        <v>836</v>
      </c>
      <c r="D596" s="55">
        <v>40</v>
      </c>
      <c r="E596" s="55">
        <v>1</v>
      </c>
      <c r="F596" s="55">
        <v>9.3000000000000007</v>
      </c>
      <c r="G596" s="55">
        <v>0.2</v>
      </c>
      <c r="H596" s="55">
        <v>24</v>
      </c>
      <c r="I596" s="55">
        <v>0.5</v>
      </c>
      <c r="J596" s="55">
        <v>2.2000000000000002</v>
      </c>
      <c r="K596" s="55">
        <v>0.09</v>
      </c>
      <c r="L596" s="55">
        <v>0.06</v>
      </c>
      <c r="M596" s="55">
        <v>0.4</v>
      </c>
      <c r="N596" s="55">
        <v>9</v>
      </c>
      <c r="O596" s="55">
        <v>0</v>
      </c>
      <c r="P596" s="47" t="s">
        <v>51</v>
      </c>
    </row>
    <row r="597" spans="1:16" ht="18" customHeight="1">
      <c r="A597" s="47" t="s">
        <v>834</v>
      </c>
      <c r="B597" s="48" t="s">
        <v>837</v>
      </c>
      <c r="C597" s="54" t="s">
        <v>837</v>
      </c>
      <c r="D597" s="55">
        <v>41</v>
      </c>
      <c r="E597" s="55">
        <v>0</v>
      </c>
      <c r="F597" s="55">
        <v>17.2</v>
      </c>
      <c r="G597" s="55">
        <v>0</v>
      </c>
      <c r="H597" s="55">
        <v>1.9</v>
      </c>
      <c r="I597" s="55">
        <v>0.2</v>
      </c>
      <c r="J597" s="55">
        <v>0</v>
      </c>
      <c r="K597" s="55">
        <v>0</v>
      </c>
      <c r="L597" s="55">
        <v>0</v>
      </c>
      <c r="M597" s="55">
        <v>0</v>
      </c>
      <c r="N597" s="55">
        <v>0</v>
      </c>
      <c r="O597" s="55">
        <v>0</v>
      </c>
      <c r="P597" s="47" t="s">
        <v>51</v>
      </c>
    </row>
    <row r="598" spans="1:16" ht="18" customHeight="1">
      <c r="A598" s="47" t="s">
        <v>834</v>
      </c>
      <c r="B598" s="48" t="s">
        <v>838</v>
      </c>
      <c r="C598" s="54" t="s">
        <v>838</v>
      </c>
      <c r="D598" s="55">
        <v>40</v>
      </c>
      <c r="E598" s="55">
        <v>0</v>
      </c>
      <c r="F598" s="55">
        <v>10</v>
      </c>
      <c r="G598" s="55">
        <v>0</v>
      </c>
      <c r="H598" s="55">
        <v>2</v>
      </c>
      <c r="I598" s="55">
        <v>0</v>
      </c>
      <c r="J598" s="55">
        <v>0</v>
      </c>
      <c r="K598" s="55">
        <v>0</v>
      </c>
      <c r="L598" s="55">
        <v>0</v>
      </c>
      <c r="M598" s="55">
        <v>0</v>
      </c>
      <c r="N598" s="55">
        <v>0</v>
      </c>
      <c r="O598" s="55">
        <v>0</v>
      </c>
      <c r="P598" s="47" t="s">
        <v>51</v>
      </c>
    </row>
    <row r="599" spans="1:16" ht="18" customHeight="1">
      <c r="A599" s="47" t="s">
        <v>834</v>
      </c>
      <c r="B599" s="48" t="s">
        <v>839</v>
      </c>
      <c r="C599" s="54" t="s">
        <v>839</v>
      </c>
      <c r="D599" s="55">
        <v>104</v>
      </c>
      <c r="E599" s="55">
        <v>2.4</v>
      </c>
      <c r="F599" s="55">
        <v>11.1</v>
      </c>
      <c r="G599" s="55">
        <v>0.1</v>
      </c>
      <c r="H599" s="55">
        <v>75</v>
      </c>
      <c r="I599" s="55">
        <v>0.4</v>
      </c>
      <c r="J599" s="55">
        <v>0</v>
      </c>
      <c r="K599" s="55">
        <v>0.01</v>
      </c>
      <c r="L599" s="55">
        <v>0.03</v>
      </c>
      <c r="M599" s="55">
        <v>0.2</v>
      </c>
      <c r="N599" s="55">
        <v>0</v>
      </c>
      <c r="O599" s="55">
        <v>0</v>
      </c>
      <c r="P599" s="47" t="s">
        <v>51</v>
      </c>
    </row>
    <row r="600" spans="1:16" ht="18" customHeight="1">
      <c r="A600" s="47" t="s">
        <v>834</v>
      </c>
      <c r="B600" s="48" t="s">
        <v>840</v>
      </c>
      <c r="C600" s="54" t="s">
        <v>841</v>
      </c>
      <c r="D600" s="55">
        <v>52</v>
      </c>
      <c r="E600" s="55">
        <v>0.2</v>
      </c>
      <c r="F600" s="55">
        <v>7.91</v>
      </c>
      <c r="G600" s="55">
        <v>0.1</v>
      </c>
      <c r="H600" s="55">
        <v>0</v>
      </c>
      <c r="I600" s="55">
        <v>0</v>
      </c>
      <c r="J600" s="55">
        <v>0</v>
      </c>
      <c r="K600" s="55">
        <v>0</v>
      </c>
      <c r="L600" s="55">
        <v>0</v>
      </c>
      <c r="M600" s="55">
        <v>0</v>
      </c>
      <c r="N600" s="55">
        <v>5</v>
      </c>
      <c r="O600" s="55">
        <v>0</v>
      </c>
      <c r="P600" s="47" t="s">
        <v>51</v>
      </c>
    </row>
    <row r="601" spans="1:16" ht="18" customHeight="1">
      <c r="A601" s="47" t="s">
        <v>834</v>
      </c>
      <c r="B601" s="48" t="s">
        <v>842</v>
      </c>
      <c r="C601" s="54" t="s">
        <v>842</v>
      </c>
      <c r="D601" s="55">
        <v>48</v>
      </c>
      <c r="E601" s="55">
        <v>0</v>
      </c>
      <c r="F601" s="55">
        <v>12.3</v>
      </c>
      <c r="G601" s="55">
        <v>0</v>
      </c>
      <c r="H601" s="55">
        <v>5</v>
      </c>
      <c r="I601" s="55">
        <v>0.1</v>
      </c>
      <c r="J601" s="55">
        <v>0</v>
      </c>
      <c r="K601" s="55">
        <v>0</v>
      </c>
      <c r="L601" s="55">
        <v>0</v>
      </c>
      <c r="M601" s="55">
        <v>0</v>
      </c>
      <c r="N601" s="55">
        <v>0</v>
      </c>
      <c r="O601" s="55">
        <v>0</v>
      </c>
      <c r="P601" s="47" t="s">
        <v>51</v>
      </c>
    </row>
    <row r="602" spans="1:16" ht="18" customHeight="1">
      <c r="A602" s="47" t="s">
        <v>834</v>
      </c>
      <c r="B602" s="48" t="s">
        <v>843</v>
      </c>
      <c r="C602" s="54" t="s">
        <v>843</v>
      </c>
      <c r="D602" s="55">
        <v>107</v>
      </c>
      <c r="E602" s="55">
        <v>0.6</v>
      </c>
      <c r="F602" s="55">
        <v>4.2</v>
      </c>
      <c r="G602" s="55">
        <v>0</v>
      </c>
      <c r="H602" s="55">
        <v>2</v>
      </c>
      <c r="I602" s="55">
        <v>0</v>
      </c>
      <c r="J602" s="55">
        <v>0</v>
      </c>
      <c r="K602" s="55">
        <v>0</v>
      </c>
      <c r="L602" s="55">
        <v>0</v>
      </c>
      <c r="M602" s="55">
        <v>0</v>
      </c>
      <c r="N602" s="55">
        <v>0</v>
      </c>
      <c r="O602" s="55">
        <v>0</v>
      </c>
      <c r="P602" s="47" t="s">
        <v>51</v>
      </c>
    </row>
    <row r="603" spans="1:16" ht="18" customHeight="1">
      <c r="A603" s="47" t="s">
        <v>834</v>
      </c>
      <c r="B603" s="48" t="s">
        <v>844</v>
      </c>
      <c r="C603" s="54" t="s">
        <v>844</v>
      </c>
      <c r="D603" s="55">
        <v>277</v>
      </c>
      <c r="E603" s="55">
        <v>18.899999999999999</v>
      </c>
      <c r="F603" s="55">
        <v>80.400000000000006</v>
      </c>
      <c r="G603" s="55">
        <v>21.6</v>
      </c>
      <c r="H603" s="55">
        <v>140</v>
      </c>
      <c r="I603" s="55">
        <v>14</v>
      </c>
      <c r="J603" s="55">
        <v>5</v>
      </c>
      <c r="K603" s="55">
        <v>0.16</v>
      </c>
      <c r="L603" s="55">
        <v>0.22</v>
      </c>
      <c r="M603" s="55">
        <v>2.2999999999999998</v>
      </c>
      <c r="N603" s="55">
        <v>0</v>
      </c>
      <c r="O603" s="55">
        <v>0</v>
      </c>
      <c r="P603" s="47" t="s">
        <v>51</v>
      </c>
    </row>
    <row r="604" spans="1:16" ht="18" customHeight="1">
      <c r="A604" s="47"/>
      <c r="B604" s="48" t="s">
        <v>2062</v>
      </c>
      <c r="C604" s="54"/>
      <c r="D604" s="55">
        <v>416</v>
      </c>
      <c r="E604" s="55">
        <v>7.4</v>
      </c>
      <c r="F604" s="55">
        <v>67.099999999999994</v>
      </c>
      <c r="G604" s="55">
        <v>0.2</v>
      </c>
      <c r="H604" s="55">
        <v>180</v>
      </c>
      <c r="I604" s="55">
        <v>2.9</v>
      </c>
      <c r="J604" s="55">
        <v>8</v>
      </c>
      <c r="K604" s="55">
        <v>7.0000000000000007E-2</v>
      </c>
      <c r="L604" s="55">
        <v>0.42</v>
      </c>
      <c r="M604" s="55">
        <v>0.3</v>
      </c>
      <c r="N604" s="55">
        <v>0</v>
      </c>
      <c r="O604" s="55">
        <v>0</v>
      </c>
    </row>
    <row r="605" spans="1:16" ht="18" customHeight="1">
      <c r="A605" s="47"/>
      <c r="B605" s="48" t="s">
        <v>2002</v>
      </c>
      <c r="C605" s="54"/>
      <c r="D605" s="55">
        <v>416</v>
      </c>
      <c r="E605" s="55">
        <v>7.4</v>
      </c>
      <c r="F605" s="55">
        <v>67.099999999999994</v>
      </c>
      <c r="G605" s="55">
        <v>0.2</v>
      </c>
      <c r="H605" s="55">
        <v>180</v>
      </c>
      <c r="I605" s="55">
        <v>2.9</v>
      </c>
      <c r="J605" s="55">
        <v>8</v>
      </c>
      <c r="K605" s="55">
        <v>7.0000000000000007E-2</v>
      </c>
      <c r="L605" s="55">
        <v>0.42</v>
      </c>
      <c r="M605" s="55">
        <v>0.3</v>
      </c>
      <c r="N605" s="55">
        <v>0</v>
      </c>
      <c r="O605" s="55">
        <v>0</v>
      </c>
    </row>
    <row r="606" spans="1:16" ht="18" customHeight="1">
      <c r="A606" s="47" t="s">
        <v>845</v>
      </c>
      <c r="B606" s="48" t="s">
        <v>846</v>
      </c>
      <c r="C606" s="54" t="s">
        <v>847</v>
      </c>
      <c r="D606" s="55">
        <v>416</v>
      </c>
      <c r="E606" s="55">
        <v>7.4</v>
      </c>
      <c r="F606" s="55">
        <v>80.400000000000006</v>
      </c>
      <c r="G606" s="55">
        <v>6.8</v>
      </c>
      <c r="H606" s="55">
        <v>180</v>
      </c>
      <c r="I606" s="55">
        <v>2.9</v>
      </c>
      <c r="J606" s="55">
        <v>8</v>
      </c>
      <c r="K606" s="55">
        <v>7.0000000000000007E-2</v>
      </c>
      <c r="L606" s="55">
        <v>0.42</v>
      </c>
      <c r="M606" s="55">
        <v>0.3</v>
      </c>
      <c r="N606" s="55">
        <v>0</v>
      </c>
      <c r="O606" s="55">
        <v>0</v>
      </c>
    </row>
    <row r="607" spans="1:16" ht="18" customHeight="1">
      <c r="A607" s="47" t="s">
        <v>834</v>
      </c>
      <c r="B607" s="48" t="s">
        <v>848</v>
      </c>
      <c r="C607" s="54" t="s">
        <v>848</v>
      </c>
      <c r="D607" s="55">
        <v>40</v>
      </c>
      <c r="E607" s="55">
        <v>0</v>
      </c>
      <c r="F607" s="55">
        <v>26</v>
      </c>
      <c r="G607" s="55">
        <v>0</v>
      </c>
      <c r="H607" s="55">
        <v>2</v>
      </c>
      <c r="I607" s="55">
        <v>0</v>
      </c>
      <c r="J607" s="55">
        <v>0</v>
      </c>
      <c r="K607" s="55">
        <v>0</v>
      </c>
      <c r="L607" s="55">
        <v>0</v>
      </c>
      <c r="M607" s="55">
        <v>0</v>
      </c>
      <c r="N607" s="55">
        <v>0</v>
      </c>
      <c r="O607" s="55">
        <v>0</v>
      </c>
      <c r="P607" s="47" t="s">
        <v>51</v>
      </c>
    </row>
    <row r="608" spans="1:16" ht="18" customHeight="1">
      <c r="A608" s="47" t="s">
        <v>834</v>
      </c>
      <c r="B608" s="48" t="s">
        <v>849</v>
      </c>
      <c r="C608" s="54" t="s">
        <v>850</v>
      </c>
      <c r="D608" s="55">
        <v>123</v>
      </c>
      <c r="E608" s="55">
        <v>0.1</v>
      </c>
      <c r="F608" s="55">
        <v>7.93</v>
      </c>
      <c r="G608" s="55">
        <v>0</v>
      </c>
      <c r="H608" s="55">
        <v>4</v>
      </c>
      <c r="I608" s="55">
        <v>0.3</v>
      </c>
      <c r="J608" s="55">
        <v>0</v>
      </c>
      <c r="K608" s="55">
        <v>0</v>
      </c>
      <c r="L608" s="55">
        <v>0</v>
      </c>
      <c r="M608" s="55">
        <v>0</v>
      </c>
      <c r="N608" s="55">
        <v>0</v>
      </c>
      <c r="O608" s="55">
        <v>0</v>
      </c>
      <c r="P608" s="47" t="s">
        <v>51</v>
      </c>
    </row>
    <row r="609" spans="1:16" ht="18" customHeight="1">
      <c r="A609" s="47" t="s">
        <v>834</v>
      </c>
      <c r="B609" s="48" t="s">
        <v>851</v>
      </c>
      <c r="C609" s="54" t="s">
        <v>850</v>
      </c>
      <c r="D609" s="55">
        <v>47</v>
      </c>
      <c r="E609" s="55">
        <v>0.2</v>
      </c>
      <c r="F609" s="55">
        <v>2.4</v>
      </c>
      <c r="G609" s="55">
        <v>0</v>
      </c>
      <c r="H609" s="55">
        <v>9</v>
      </c>
      <c r="I609" s="55">
        <v>0.5</v>
      </c>
      <c r="J609" s="55">
        <v>0</v>
      </c>
      <c r="K609" s="55">
        <v>0</v>
      </c>
      <c r="L609" s="55">
        <v>0.01</v>
      </c>
      <c r="M609" s="55">
        <v>0.1</v>
      </c>
      <c r="N609" s="55">
        <v>0</v>
      </c>
      <c r="O609" s="55">
        <v>0</v>
      </c>
      <c r="P609" s="47" t="s">
        <v>51</v>
      </c>
    </row>
    <row r="610" spans="1:16" ht="18" customHeight="1">
      <c r="A610" s="47" t="s">
        <v>834</v>
      </c>
      <c r="B610" s="48" t="s">
        <v>852</v>
      </c>
      <c r="C610" s="54" t="s">
        <v>850</v>
      </c>
      <c r="D610" s="55">
        <v>70</v>
      </c>
      <c r="E610" s="55">
        <v>0.2</v>
      </c>
      <c r="F610" s="55">
        <v>4.8</v>
      </c>
      <c r="G610" s="55">
        <v>0</v>
      </c>
      <c r="H610" s="55">
        <v>7</v>
      </c>
      <c r="I610" s="55">
        <v>0.5</v>
      </c>
      <c r="J610" s="55">
        <v>0</v>
      </c>
      <c r="K610" s="55">
        <v>0</v>
      </c>
      <c r="L610" s="55">
        <v>0.01</v>
      </c>
      <c r="M610" s="55">
        <v>0.1</v>
      </c>
      <c r="N610" s="55">
        <v>0</v>
      </c>
      <c r="O610" s="55">
        <v>0</v>
      </c>
      <c r="P610" s="47" t="s">
        <v>51</v>
      </c>
    </row>
    <row r="611" spans="1:16" ht="18" customHeight="1">
      <c r="A611" s="47" t="s">
        <v>853</v>
      </c>
      <c r="B611" s="48" t="s">
        <v>1713</v>
      </c>
      <c r="C611" s="54" t="s">
        <v>854</v>
      </c>
      <c r="D611" s="55">
        <v>130</v>
      </c>
      <c r="E611" s="55">
        <v>2</v>
      </c>
      <c r="F611" s="55">
        <v>52.5</v>
      </c>
      <c r="G611" s="55">
        <v>6.5</v>
      </c>
      <c r="H611" s="55">
        <v>5</v>
      </c>
      <c r="I611" s="55">
        <v>0.6</v>
      </c>
      <c r="J611" s="55">
        <v>0</v>
      </c>
      <c r="K611" s="55">
        <v>0.09</v>
      </c>
      <c r="L611" s="55">
        <v>0.03</v>
      </c>
      <c r="M611" s="55">
        <v>1.6</v>
      </c>
      <c r="N611" s="55">
        <v>7</v>
      </c>
      <c r="O611" s="55">
        <v>0</v>
      </c>
    </row>
    <row r="612" spans="1:16" ht="18" customHeight="1">
      <c r="A612" s="47" t="s">
        <v>853</v>
      </c>
      <c r="B612" s="48" t="s">
        <v>1698</v>
      </c>
      <c r="C612" s="54" t="s">
        <v>854</v>
      </c>
      <c r="D612" s="55">
        <v>130</v>
      </c>
      <c r="E612" s="55">
        <v>2</v>
      </c>
      <c r="F612" s="55">
        <v>52.5</v>
      </c>
      <c r="G612" s="55">
        <v>6.5</v>
      </c>
      <c r="H612" s="55">
        <v>5</v>
      </c>
      <c r="I612" s="55">
        <v>0.6</v>
      </c>
      <c r="J612" s="55">
        <v>0</v>
      </c>
      <c r="K612" s="55">
        <v>0.09</v>
      </c>
      <c r="L612" s="55">
        <v>0.03</v>
      </c>
      <c r="M612" s="55">
        <v>1.6</v>
      </c>
      <c r="N612" s="55">
        <v>7</v>
      </c>
      <c r="O612" s="55">
        <v>0</v>
      </c>
    </row>
    <row r="613" spans="1:16" ht="18" customHeight="1">
      <c r="A613" s="47" t="s">
        <v>853</v>
      </c>
      <c r="B613" s="48" t="s">
        <v>855</v>
      </c>
      <c r="C613" s="54" t="s">
        <v>854</v>
      </c>
      <c r="D613" s="55">
        <v>130</v>
      </c>
      <c r="E613" s="55">
        <v>2</v>
      </c>
      <c r="F613" s="55">
        <v>52.5</v>
      </c>
      <c r="G613" s="55">
        <v>4.4000000000000004</v>
      </c>
      <c r="H613" s="55">
        <v>5</v>
      </c>
      <c r="I613" s="55">
        <v>0.6</v>
      </c>
      <c r="J613" s="55">
        <v>0</v>
      </c>
      <c r="K613" s="55">
        <v>0.09</v>
      </c>
      <c r="L613" s="55">
        <v>0.03</v>
      </c>
      <c r="M613" s="55">
        <v>1.6</v>
      </c>
      <c r="N613" s="55">
        <v>7</v>
      </c>
      <c r="O613" s="55">
        <v>0</v>
      </c>
      <c r="P613" s="47" t="s">
        <v>51</v>
      </c>
    </row>
    <row r="614" spans="1:16" ht="18" customHeight="1">
      <c r="A614" s="47" t="s">
        <v>853</v>
      </c>
      <c r="B614" s="48" t="s">
        <v>1649</v>
      </c>
      <c r="C614" s="54" t="s">
        <v>854</v>
      </c>
      <c r="D614" s="55">
        <v>130</v>
      </c>
      <c r="E614" s="55">
        <v>2</v>
      </c>
      <c r="F614" s="55">
        <v>52.5</v>
      </c>
      <c r="G614" s="55">
        <v>4.4000000000000004</v>
      </c>
      <c r="H614" s="55">
        <v>5</v>
      </c>
      <c r="I614" s="55">
        <v>0.6</v>
      </c>
      <c r="J614" s="55">
        <v>0</v>
      </c>
      <c r="K614" s="55">
        <v>0.09</v>
      </c>
      <c r="L614" s="55">
        <v>0.03</v>
      </c>
      <c r="M614" s="55">
        <v>1.6</v>
      </c>
      <c r="N614" s="55">
        <v>7</v>
      </c>
      <c r="O614" s="55">
        <v>0</v>
      </c>
      <c r="P614" s="47" t="s">
        <v>51</v>
      </c>
    </row>
    <row r="615" spans="1:16" ht="18" customHeight="1">
      <c r="A615" s="47"/>
      <c r="B615" s="48" t="s">
        <v>58</v>
      </c>
      <c r="C615" s="54"/>
      <c r="D615" s="55">
        <v>130</v>
      </c>
      <c r="E615" s="55">
        <v>2</v>
      </c>
      <c r="F615" s="55">
        <v>13.9</v>
      </c>
      <c r="G615" s="55">
        <v>6.2</v>
      </c>
      <c r="H615" s="55">
        <v>5</v>
      </c>
      <c r="I615" s="55">
        <v>0.6</v>
      </c>
      <c r="J615" s="55">
        <v>0</v>
      </c>
      <c r="K615" s="55">
        <v>0.09</v>
      </c>
      <c r="L615" s="55">
        <v>0.03</v>
      </c>
      <c r="M615" s="55">
        <v>1.6</v>
      </c>
      <c r="N615" s="55">
        <v>7</v>
      </c>
      <c r="O615" s="55">
        <v>0</v>
      </c>
    </row>
    <row r="616" spans="1:16" ht="18" customHeight="1">
      <c r="A616" s="47" t="s">
        <v>853</v>
      </c>
      <c r="B616" s="48" t="s">
        <v>856</v>
      </c>
      <c r="C616" s="54" t="s">
        <v>857</v>
      </c>
      <c r="D616" s="55">
        <v>200</v>
      </c>
      <c r="E616" s="55">
        <v>12</v>
      </c>
      <c r="F616" s="55">
        <v>21</v>
      </c>
      <c r="G616" s="55">
        <v>12.1</v>
      </c>
      <c r="H616" s="55">
        <v>7</v>
      </c>
      <c r="I616" s="55">
        <v>1.3</v>
      </c>
      <c r="J616" s="55">
        <v>0</v>
      </c>
      <c r="K616" s="55">
        <v>0</v>
      </c>
      <c r="L616" s="55">
        <v>0</v>
      </c>
      <c r="M616" s="55">
        <v>0</v>
      </c>
      <c r="N616" s="55">
        <v>0</v>
      </c>
      <c r="O616" s="55">
        <v>0</v>
      </c>
      <c r="P616" s="47" t="s">
        <v>51</v>
      </c>
    </row>
    <row r="617" spans="1:16" ht="18" customHeight="1">
      <c r="A617" s="47" t="s">
        <v>853</v>
      </c>
      <c r="B617" s="48" t="s">
        <v>1763</v>
      </c>
      <c r="C617" s="54" t="s">
        <v>857</v>
      </c>
      <c r="D617" s="55">
        <v>135</v>
      </c>
      <c r="E617" s="55">
        <v>12</v>
      </c>
      <c r="F617" s="55">
        <v>21</v>
      </c>
      <c r="G617" s="55">
        <v>12.1</v>
      </c>
      <c r="H617" s="55">
        <v>7</v>
      </c>
      <c r="I617" s="55">
        <v>1.3</v>
      </c>
      <c r="J617" s="55">
        <v>0</v>
      </c>
      <c r="K617" s="55">
        <v>0</v>
      </c>
      <c r="L617" s="55">
        <v>0</v>
      </c>
      <c r="M617" s="55">
        <v>0</v>
      </c>
      <c r="N617" s="55">
        <v>0</v>
      </c>
      <c r="O617" s="55">
        <v>0</v>
      </c>
      <c r="P617" s="47" t="s">
        <v>51</v>
      </c>
    </row>
    <row r="618" spans="1:16" ht="18" customHeight="1">
      <c r="A618" s="47" t="s">
        <v>853</v>
      </c>
      <c r="B618" s="48" t="s">
        <v>1913</v>
      </c>
      <c r="C618" s="54" t="s">
        <v>857</v>
      </c>
      <c r="D618" s="55">
        <v>135</v>
      </c>
      <c r="E618" s="55">
        <v>12</v>
      </c>
      <c r="F618" s="55">
        <v>21</v>
      </c>
      <c r="G618" s="55">
        <v>12.1</v>
      </c>
      <c r="H618" s="55">
        <v>7</v>
      </c>
      <c r="I618" s="55">
        <v>1.3</v>
      </c>
      <c r="J618" s="55">
        <v>0</v>
      </c>
      <c r="K618" s="55">
        <v>0</v>
      </c>
      <c r="L618" s="55">
        <v>0</v>
      </c>
      <c r="M618" s="55">
        <v>0</v>
      </c>
      <c r="N618" s="55">
        <v>0</v>
      </c>
      <c r="O618" s="55">
        <v>0</v>
      </c>
      <c r="P618" s="47" t="s">
        <v>51</v>
      </c>
    </row>
    <row r="619" spans="1:16" ht="18" customHeight="1">
      <c r="A619" s="47" t="s">
        <v>853</v>
      </c>
      <c r="B619" s="48" t="s">
        <v>1622</v>
      </c>
      <c r="C619" s="54" t="s">
        <v>857</v>
      </c>
      <c r="D619" s="55">
        <v>240</v>
      </c>
      <c r="E619" s="55">
        <v>12</v>
      </c>
      <c r="F619" s="55">
        <v>21</v>
      </c>
      <c r="G619" s="55">
        <v>12.1</v>
      </c>
      <c r="H619" s="55">
        <v>7</v>
      </c>
      <c r="I619" s="55">
        <v>1.3</v>
      </c>
      <c r="J619" s="55">
        <v>0</v>
      </c>
      <c r="K619" s="55">
        <v>0</v>
      </c>
      <c r="L619" s="55">
        <v>0</v>
      </c>
      <c r="M619" s="55">
        <v>0</v>
      </c>
      <c r="N619" s="55">
        <v>0</v>
      </c>
      <c r="O619" s="55">
        <v>0</v>
      </c>
      <c r="P619" s="47" t="s">
        <v>51</v>
      </c>
    </row>
    <row r="620" spans="1:16" ht="18" customHeight="1">
      <c r="A620" s="47" t="s">
        <v>853</v>
      </c>
      <c r="B620" s="48" t="s">
        <v>858</v>
      </c>
      <c r="C620" s="54" t="s">
        <v>857</v>
      </c>
      <c r="D620" s="55">
        <v>244</v>
      </c>
      <c r="E620" s="55">
        <v>11.7</v>
      </c>
      <c r="F620" s="55">
        <v>12.5</v>
      </c>
      <c r="G620" s="55">
        <v>16.399999999999999</v>
      </c>
      <c r="H620" s="55">
        <v>18</v>
      </c>
      <c r="I620" s="55">
        <v>1.3</v>
      </c>
      <c r="J620" s="55">
        <v>10</v>
      </c>
      <c r="K620" s="55">
        <v>0.1</v>
      </c>
      <c r="L620" s="55">
        <v>0.17</v>
      </c>
      <c r="M620" s="55">
        <v>2.2999999999999998</v>
      </c>
      <c r="N620" s="55">
        <v>1</v>
      </c>
      <c r="O620" s="55">
        <v>0</v>
      </c>
      <c r="P620" s="47" t="s">
        <v>51</v>
      </c>
    </row>
    <row r="621" spans="1:16" ht="18" customHeight="1">
      <c r="A621" s="47"/>
      <c r="B621" s="48" t="s">
        <v>859</v>
      </c>
      <c r="C621" s="54" t="s">
        <v>857</v>
      </c>
      <c r="D621" s="55">
        <v>244</v>
      </c>
      <c r="E621" s="55">
        <v>11.7</v>
      </c>
      <c r="F621" s="55">
        <v>12.5</v>
      </c>
      <c r="G621" s="55">
        <v>11.2</v>
      </c>
      <c r="H621" s="55">
        <v>18</v>
      </c>
      <c r="I621" s="55">
        <v>1.3</v>
      </c>
      <c r="J621" s="55">
        <v>10</v>
      </c>
      <c r="K621" s="55">
        <v>0.1</v>
      </c>
      <c r="L621" s="55">
        <v>0.17</v>
      </c>
      <c r="M621" s="55">
        <v>2.2999999999999998</v>
      </c>
      <c r="N621" s="55">
        <v>1</v>
      </c>
      <c r="O621" s="55">
        <v>0</v>
      </c>
    </row>
    <row r="622" spans="1:16" ht="18" customHeight="1">
      <c r="A622" s="47" t="s">
        <v>853</v>
      </c>
      <c r="B622" s="48" t="s">
        <v>860</v>
      </c>
      <c r="C622" s="54" t="s">
        <v>857</v>
      </c>
      <c r="D622" s="55">
        <v>194.1</v>
      </c>
      <c r="E622" s="55">
        <v>11.7</v>
      </c>
      <c r="F622" s="55">
        <v>25.8</v>
      </c>
      <c r="G622" s="55">
        <v>8.3000000000000007</v>
      </c>
      <c r="H622" s="55">
        <v>35.799999999999997</v>
      </c>
      <c r="I622" s="55">
        <v>0.75</v>
      </c>
      <c r="J622" s="55">
        <v>139</v>
      </c>
      <c r="K622" s="55">
        <v>0.09</v>
      </c>
      <c r="L622" s="55">
        <v>0.09</v>
      </c>
      <c r="M622" s="55">
        <v>2.9</v>
      </c>
      <c r="N622" s="55">
        <v>0</v>
      </c>
      <c r="O622" s="55">
        <v>0</v>
      </c>
      <c r="P622" s="47" t="s">
        <v>51</v>
      </c>
    </row>
    <row r="623" spans="1:16" ht="18" customHeight="1">
      <c r="A623" s="47" t="s">
        <v>853</v>
      </c>
      <c r="B623" s="48" t="s">
        <v>861</v>
      </c>
      <c r="C623" s="54" t="s">
        <v>857</v>
      </c>
      <c r="D623" s="55">
        <v>165</v>
      </c>
      <c r="E623" s="55">
        <v>5.5</v>
      </c>
      <c r="F623" s="55">
        <v>25.3</v>
      </c>
      <c r="G623" s="55">
        <v>6.8</v>
      </c>
      <c r="H623" s="55">
        <v>70</v>
      </c>
      <c r="I623" s="55">
        <v>0.4</v>
      </c>
      <c r="J623" s="55">
        <v>15</v>
      </c>
      <c r="K623" s="55">
        <v>0.06</v>
      </c>
      <c r="L623" s="55">
        <v>0.18</v>
      </c>
      <c r="M623" s="55">
        <v>0.5</v>
      </c>
      <c r="N623" s="55">
        <v>0</v>
      </c>
      <c r="O623" s="55">
        <v>0</v>
      </c>
      <c r="P623" s="47" t="s">
        <v>51</v>
      </c>
    </row>
    <row r="624" spans="1:16" ht="18" customHeight="1">
      <c r="A624" s="47" t="s">
        <v>853</v>
      </c>
      <c r="B624" s="48" t="s">
        <v>862</v>
      </c>
      <c r="C624" s="54" t="s">
        <v>863</v>
      </c>
      <c r="D624" s="55">
        <v>170</v>
      </c>
      <c r="E624" s="55">
        <v>13.3</v>
      </c>
      <c r="F624" s="55">
        <v>14.1</v>
      </c>
      <c r="G624" s="55">
        <v>4.7</v>
      </c>
      <c r="H624" s="55">
        <v>36</v>
      </c>
      <c r="I624" s="55">
        <v>2.1</v>
      </c>
      <c r="J624" s="55">
        <v>208</v>
      </c>
      <c r="K624" s="55">
        <v>0.45</v>
      </c>
      <c r="L624" s="55">
        <v>0.09</v>
      </c>
      <c r="M624" s="55">
        <v>2.7</v>
      </c>
      <c r="N624" s="55">
        <v>2</v>
      </c>
      <c r="O624" s="55">
        <v>0</v>
      </c>
      <c r="P624" s="47" t="s">
        <v>51</v>
      </c>
    </row>
    <row r="625" spans="1:16" ht="18" customHeight="1">
      <c r="A625" s="47" t="s">
        <v>853</v>
      </c>
      <c r="B625" s="48" t="s">
        <v>1934</v>
      </c>
      <c r="C625" s="54" t="s">
        <v>863</v>
      </c>
      <c r="D625" s="55">
        <v>170</v>
      </c>
      <c r="E625" s="55">
        <v>13.3</v>
      </c>
      <c r="F625" s="55">
        <v>14.1</v>
      </c>
      <c r="G625" s="55">
        <v>4.7</v>
      </c>
      <c r="H625" s="55">
        <v>36</v>
      </c>
      <c r="I625" s="55">
        <v>2.1</v>
      </c>
      <c r="J625" s="55">
        <v>208</v>
      </c>
      <c r="K625" s="55">
        <v>0.45</v>
      </c>
      <c r="L625" s="55">
        <v>0.09</v>
      </c>
      <c r="M625" s="55">
        <v>2.7</v>
      </c>
      <c r="N625" s="55">
        <v>2</v>
      </c>
      <c r="O625" s="55">
        <v>0</v>
      </c>
      <c r="P625" s="47" t="s">
        <v>51</v>
      </c>
    </row>
    <row r="626" spans="1:16" ht="18" customHeight="1">
      <c r="A626" s="47"/>
      <c r="B626" s="48" t="s">
        <v>864</v>
      </c>
      <c r="C626" s="54"/>
      <c r="D626" s="55">
        <v>148</v>
      </c>
      <c r="E626" s="55">
        <v>10</v>
      </c>
      <c r="F626" s="55">
        <v>14.1</v>
      </c>
      <c r="G626" s="55">
        <v>3.7</v>
      </c>
      <c r="H626" s="55">
        <v>36</v>
      </c>
      <c r="I626" s="55">
        <v>2.1</v>
      </c>
      <c r="J626" s="55">
        <v>208</v>
      </c>
      <c r="K626" s="55">
        <v>0.45</v>
      </c>
      <c r="L626" s="55">
        <v>0.09</v>
      </c>
      <c r="M626" s="55">
        <v>2.7</v>
      </c>
      <c r="N626" s="55">
        <v>2</v>
      </c>
      <c r="O626" s="55">
        <v>0</v>
      </c>
    </row>
    <row r="627" spans="1:16" ht="18" customHeight="1">
      <c r="A627" s="47" t="s">
        <v>853</v>
      </c>
      <c r="B627" s="48" t="s">
        <v>2003</v>
      </c>
      <c r="C627" s="54" t="s">
        <v>865</v>
      </c>
      <c r="D627" s="55">
        <v>580</v>
      </c>
      <c r="E627" s="55">
        <v>32</v>
      </c>
      <c r="F627" s="55">
        <v>21</v>
      </c>
      <c r="G627" s="55">
        <v>6</v>
      </c>
      <c r="H627" s="55">
        <v>7</v>
      </c>
      <c r="I627" s="55">
        <v>1.7</v>
      </c>
      <c r="J627" s="55">
        <v>0</v>
      </c>
      <c r="K627" s="55">
        <v>0</v>
      </c>
      <c r="L627" s="55">
        <v>200</v>
      </c>
      <c r="M627" s="55">
        <v>0</v>
      </c>
      <c r="N627" s="55">
        <v>0</v>
      </c>
      <c r="O627" s="55">
        <v>0</v>
      </c>
      <c r="P627" s="47" t="s">
        <v>51</v>
      </c>
    </row>
    <row r="628" spans="1:16" ht="18" customHeight="1">
      <c r="A628" s="47" t="s">
        <v>853</v>
      </c>
      <c r="B628" s="48" t="s">
        <v>1783</v>
      </c>
      <c r="C628" s="54" t="s">
        <v>865</v>
      </c>
      <c r="D628" s="55">
        <v>580</v>
      </c>
      <c r="E628" s="55">
        <v>32</v>
      </c>
      <c r="F628" s="55">
        <v>21</v>
      </c>
      <c r="G628" s="55">
        <v>6</v>
      </c>
      <c r="H628" s="55">
        <v>7</v>
      </c>
      <c r="I628" s="55">
        <v>1.7</v>
      </c>
      <c r="J628" s="55">
        <v>0</v>
      </c>
      <c r="K628" s="55">
        <v>0</v>
      </c>
      <c r="L628" s="55">
        <v>200</v>
      </c>
      <c r="M628" s="55">
        <v>0</v>
      </c>
      <c r="N628" s="55">
        <v>0</v>
      </c>
      <c r="O628" s="55">
        <v>0</v>
      </c>
      <c r="P628" s="47" t="s">
        <v>59</v>
      </c>
    </row>
    <row r="629" spans="1:16" ht="18" customHeight="1">
      <c r="A629" s="47" t="s">
        <v>853</v>
      </c>
      <c r="B629" s="48" t="s">
        <v>866</v>
      </c>
      <c r="C629" s="54" t="s">
        <v>867</v>
      </c>
      <c r="D629" s="55">
        <v>284</v>
      </c>
      <c r="E629" s="55">
        <v>7.6</v>
      </c>
      <c r="F629" s="55">
        <v>40.200000000000003</v>
      </c>
      <c r="G629" s="55">
        <v>10.3</v>
      </c>
      <c r="H629" s="55">
        <v>26</v>
      </c>
      <c r="I629" s="55">
        <v>1.2</v>
      </c>
      <c r="J629" s="55">
        <v>0</v>
      </c>
      <c r="K629" s="55">
        <v>7.0000000000000007E-2</v>
      </c>
      <c r="L629" s="55">
        <v>7.0000000000000007E-2</v>
      </c>
      <c r="M629" s="55">
        <v>1.1000000000000001</v>
      </c>
      <c r="N629" s="55">
        <v>0</v>
      </c>
      <c r="O629" s="55">
        <v>0</v>
      </c>
      <c r="P629" s="47" t="s">
        <v>51</v>
      </c>
    </row>
    <row r="630" spans="1:16" ht="18" customHeight="1">
      <c r="A630" s="47" t="s">
        <v>853</v>
      </c>
      <c r="B630" s="48" t="s">
        <v>868</v>
      </c>
      <c r="C630" s="54" t="s">
        <v>868</v>
      </c>
      <c r="D630" s="55">
        <v>161</v>
      </c>
      <c r="E630" s="55">
        <v>11.9</v>
      </c>
      <c r="F630" s="55">
        <v>15</v>
      </c>
      <c r="G630" s="55">
        <v>4.7</v>
      </c>
      <c r="H630" s="55">
        <v>53</v>
      </c>
      <c r="I630" s="55">
        <v>1.3</v>
      </c>
      <c r="J630" s="55">
        <v>0</v>
      </c>
      <c r="K630" s="55">
        <v>0.03</v>
      </c>
      <c r="L630" s="55">
        <v>0.1</v>
      </c>
      <c r="M630" s="55">
        <v>1.6</v>
      </c>
      <c r="N630" s="55">
        <v>0</v>
      </c>
      <c r="O630" s="55">
        <v>0</v>
      </c>
      <c r="P630" s="47" t="s">
        <v>51</v>
      </c>
    </row>
    <row r="631" spans="1:16" ht="18" customHeight="1">
      <c r="A631" s="47"/>
      <c r="B631" s="48" t="s">
        <v>869</v>
      </c>
      <c r="C631" s="54"/>
      <c r="D631" s="55">
        <v>161</v>
      </c>
      <c r="E631" s="55">
        <v>11.9</v>
      </c>
      <c r="F631" s="55">
        <v>14.5</v>
      </c>
      <c r="G631" s="55">
        <v>10.5</v>
      </c>
      <c r="H631" s="55">
        <v>53</v>
      </c>
      <c r="I631" s="55">
        <v>1.3</v>
      </c>
      <c r="J631" s="55">
        <v>0</v>
      </c>
      <c r="K631" s="55">
        <v>0.03</v>
      </c>
      <c r="L631" s="55">
        <v>0.1</v>
      </c>
      <c r="M631" s="55">
        <v>1.6</v>
      </c>
      <c r="N631" s="55">
        <v>0</v>
      </c>
      <c r="O631" s="55">
        <v>0</v>
      </c>
    </row>
    <row r="632" spans="1:16" ht="18" customHeight="1">
      <c r="A632" s="47" t="s">
        <v>853</v>
      </c>
      <c r="B632" s="48" t="s">
        <v>870</v>
      </c>
      <c r="C632" s="54" t="s">
        <v>871</v>
      </c>
      <c r="D632" s="55">
        <v>47</v>
      </c>
      <c r="E632" s="55">
        <v>5.6</v>
      </c>
      <c r="F632" s="55">
        <v>0.7</v>
      </c>
      <c r="G632" s="55">
        <v>2.2999999999999998</v>
      </c>
      <c r="H632" s="55">
        <v>48</v>
      </c>
      <c r="I632" s="55">
        <v>0.8</v>
      </c>
      <c r="J632" s="55">
        <v>0</v>
      </c>
      <c r="K632" s="55">
        <v>0.02</v>
      </c>
      <c r="L632" s="55">
        <v>0.02</v>
      </c>
      <c r="M632" s="55">
        <v>0.2</v>
      </c>
      <c r="N632" s="55">
        <v>0</v>
      </c>
      <c r="O632" s="55">
        <v>0</v>
      </c>
      <c r="P632" s="47" t="s">
        <v>51</v>
      </c>
    </row>
    <row r="633" spans="1:16" ht="18" customHeight="1">
      <c r="A633" s="47" t="s">
        <v>853</v>
      </c>
      <c r="B633" s="48" t="s">
        <v>872</v>
      </c>
      <c r="C633" s="54" t="s">
        <v>873</v>
      </c>
      <c r="D633" s="55">
        <v>50</v>
      </c>
      <c r="E633" s="55">
        <v>4.9000000000000004</v>
      </c>
      <c r="F633" s="55">
        <v>4.7</v>
      </c>
      <c r="G633" s="55">
        <v>2.5</v>
      </c>
      <c r="H633" s="55">
        <v>62</v>
      </c>
      <c r="I633" s="55">
        <v>1.4</v>
      </c>
      <c r="J633" s="55">
        <v>0</v>
      </c>
      <c r="K633" s="55">
        <v>0.02</v>
      </c>
      <c r="L633" s="55">
        <v>0.03</v>
      </c>
      <c r="M633" s="55">
        <v>0.3</v>
      </c>
      <c r="N633" s="55">
        <v>0</v>
      </c>
      <c r="O633" s="55">
        <v>0</v>
      </c>
      <c r="P633" s="47" t="s">
        <v>51</v>
      </c>
    </row>
    <row r="634" spans="1:16" ht="18" customHeight="1">
      <c r="A634" s="47" t="s">
        <v>853</v>
      </c>
      <c r="B634" s="48" t="s">
        <v>874</v>
      </c>
      <c r="C634" s="54" t="s">
        <v>875</v>
      </c>
      <c r="D634" s="55">
        <v>225.6</v>
      </c>
      <c r="E634" s="55">
        <v>7.6</v>
      </c>
      <c r="F634" s="55">
        <v>15.6</v>
      </c>
      <c r="G634" s="55">
        <v>19.100000000000001</v>
      </c>
      <c r="H634" s="55">
        <v>35.369999999999997</v>
      </c>
      <c r="I634" s="55">
        <v>0</v>
      </c>
      <c r="J634" s="55">
        <v>19.98</v>
      </c>
      <c r="K634" s="55">
        <v>0.09</v>
      </c>
      <c r="L634" s="55">
        <v>0.06</v>
      </c>
      <c r="M634" s="55">
        <v>0</v>
      </c>
      <c r="N634" s="55">
        <v>0</v>
      </c>
      <c r="O634" s="55">
        <v>0</v>
      </c>
      <c r="P634" s="47" t="s">
        <v>401</v>
      </c>
    </row>
    <row r="635" spans="1:16" ht="18" customHeight="1">
      <c r="A635" s="47" t="s">
        <v>853</v>
      </c>
      <c r="B635" s="48" t="s">
        <v>1957</v>
      </c>
      <c r="C635" s="54" t="s">
        <v>875</v>
      </c>
      <c r="D635" s="55">
        <v>225.6</v>
      </c>
      <c r="E635" s="55">
        <v>7.6</v>
      </c>
      <c r="F635" s="55">
        <v>15.6</v>
      </c>
      <c r="G635" s="55">
        <v>19.100000000000001</v>
      </c>
      <c r="H635" s="55">
        <v>35.369999999999997</v>
      </c>
      <c r="I635" s="55">
        <v>0</v>
      </c>
      <c r="J635" s="55">
        <v>19.98</v>
      </c>
      <c r="K635" s="55">
        <v>0.09</v>
      </c>
      <c r="L635" s="55">
        <v>0.06</v>
      </c>
      <c r="M635" s="55">
        <v>0</v>
      </c>
      <c r="N635" s="55">
        <v>0</v>
      </c>
      <c r="O635" s="55">
        <v>0</v>
      </c>
      <c r="P635" s="47" t="s">
        <v>401</v>
      </c>
    </row>
    <row r="636" spans="1:16" ht="18" customHeight="1">
      <c r="A636" s="47" t="s">
        <v>853</v>
      </c>
      <c r="B636" s="48" t="s">
        <v>1928</v>
      </c>
      <c r="C636" s="54" t="s">
        <v>875</v>
      </c>
      <c r="D636" s="55">
        <v>211</v>
      </c>
      <c r="E636" s="55">
        <v>7.6</v>
      </c>
      <c r="F636" s="55">
        <v>15.6</v>
      </c>
      <c r="G636" s="55">
        <v>19.100000000000001</v>
      </c>
      <c r="H636" s="55">
        <v>35.369999999999997</v>
      </c>
      <c r="I636" s="55">
        <v>0</v>
      </c>
      <c r="J636" s="55">
        <v>19.98</v>
      </c>
      <c r="K636" s="55">
        <v>0.09</v>
      </c>
      <c r="L636" s="55">
        <v>0.06</v>
      </c>
      <c r="M636" s="55">
        <v>0</v>
      </c>
      <c r="N636" s="55">
        <v>0</v>
      </c>
      <c r="O636" s="55">
        <v>0</v>
      </c>
      <c r="P636" s="47" t="s">
        <v>401</v>
      </c>
    </row>
    <row r="637" spans="1:16" ht="18" customHeight="1">
      <c r="A637" s="47" t="s">
        <v>853</v>
      </c>
      <c r="B637" s="48" t="s">
        <v>2094</v>
      </c>
      <c r="C637" s="54" t="s">
        <v>875</v>
      </c>
      <c r="D637" s="55">
        <v>211</v>
      </c>
      <c r="E637" s="55">
        <v>7.6</v>
      </c>
      <c r="F637" s="55">
        <v>15.6</v>
      </c>
      <c r="G637" s="55">
        <v>19.100000000000001</v>
      </c>
      <c r="H637" s="55">
        <v>35.369999999999997</v>
      </c>
      <c r="I637" s="55">
        <v>0</v>
      </c>
      <c r="J637" s="55">
        <v>19.98</v>
      </c>
      <c r="K637" s="55">
        <v>0.09</v>
      </c>
      <c r="L637" s="55">
        <v>0.06</v>
      </c>
      <c r="M637" s="55">
        <v>0</v>
      </c>
      <c r="N637" s="55">
        <v>0</v>
      </c>
      <c r="O637" s="55">
        <v>0</v>
      </c>
      <c r="P637" s="47" t="s">
        <v>401</v>
      </c>
    </row>
    <row r="638" spans="1:16" ht="18" customHeight="1">
      <c r="A638" s="47"/>
      <c r="B638" s="48" t="s">
        <v>2362</v>
      </c>
      <c r="C638" s="54"/>
      <c r="D638" s="55">
        <v>74.5</v>
      </c>
      <c r="E638" s="55">
        <v>0</v>
      </c>
      <c r="F638" s="55">
        <v>18.600000000000001</v>
      </c>
      <c r="G638" s="55">
        <v>0</v>
      </c>
      <c r="H638" s="55"/>
      <c r="I638" s="55"/>
      <c r="J638" s="55"/>
      <c r="K638" s="55"/>
      <c r="L638" s="55"/>
      <c r="M638" s="55"/>
      <c r="N638" s="55"/>
      <c r="O638" s="55"/>
    </row>
    <row r="639" spans="1:16" ht="18" customHeight="1">
      <c r="A639" s="47"/>
      <c r="B639" s="48" t="s">
        <v>2095</v>
      </c>
      <c r="C639" s="54"/>
      <c r="D639" s="55">
        <v>93.33</v>
      </c>
      <c r="E639" s="55">
        <v>0</v>
      </c>
      <c r="F639" s="55">
        <v>21.33</v>
      </c>
      <c r="G639" s="55">
        <v>0.8</v>
      </c>
      <c r="H639" s="55"/>
      <c r="I639" s="55"/>
      <c r="J639" s="55"/>
      <c r="K639" s="55"/>
      <c r="L639" s="55"/>
      <c r="M639" s="55"/>
      <c r="N639" s="55"/>
      <c r="O639" s="55"/>
    </row>
    <row r="640" spans="1:16" ht="18" customHeight="1">
      <c r="A640" s="47" t="s">
        <v>853</v>
      </c>
      <c r="B640" s="48" t="s">
        <v>876</v>
      </c>
      <c r="C640" s="54" t="s">
        <v>875</v>
      </c>
      <c r="D640" s="55">
        <v>227.96</v>
      </c>
      <c r="E640" s="55">
        <v>7.58</v>
      </c>
      <c r="F640" s="55">
        <v>19.5</v>
      </c>
      <c r="G640" s="55">
        <v>18.3</v>
      </c>
      <c r="H640" s="55">
        <v>41.97</v>
      </c>
      <c r="I640" s="55">
        <v>0</v>
      </c>
      <c r="J640" s="55">
        <v>18.8</v>
      </c>
      <c r="K640" s="55">
        <v>0.08</v>
      </c>
      <c r="L640" s="55">
        <v>0.06</v>
      </c>
      <c r="M640" s="55">
        <v>0</v>
      </c>
      <c r="N640" s="55">
        <v>0</v>
      </c>
      <c r="O640" s="55">
        <v>0</v>
      </c>
      <c r="P640" s="47" t="s">
        <v>401</v>
      </c>
    </row>
    <row r="641" spans="1:16" ht="18" customHeight="1">
      <c r="A641" s="47" t="s">
        <v>853</v>
      </c>
      <c r="B641" s="48" t="s">
        <v>877</v>
      </c>
      <c r="C641" s="54" t="s">
        <v>878</v>
      </c>
      <c r="D641" s="55">
        <v>214</v>
      </c>
      <c r="E641" s="55">
        <v>9.6</v>
      </c>
      <c r="F641" s="55">
        <v>0.3</v>
      </c>
      <c r="G641" s="55">
        <v>10.4</v>
      </c>
      <c r="H641" s="55">
        <v>31</v>
      </c>
      <c r="I641" s="55">
        <v>1.3</v>
      </c>
      <c r="J641" s="55">
        <v>36</v>
      </c>
      <c r="K641" s="55">
        <v>0.21</v>
      </c>
      <c r="L641" s="55">
        <v>0.09</v>
      </c>
      <c r="M641" s="55">
        <v>0.9</v>
      </c>
      <c r="N641" s="55">
        <v>1</v>
      </c>
      <c r="O641" s="55">
        <v>0</v>
      </c>
      <c r="P641" s="47" t="s">
        <v>51</v>
      </c>
    </row>
    <row r="642" spans="1:16" ht="18" customHeight="1">
      <c r="A642" s="47" t="s">
        <v>853</v>
      </c>
      <c r="B642" s="48" t="s">
        <v>1770</v>
      </c>
      <c r="C642" s="54" t="s">
        <v>878</v>
      </c>
      <c r="D642" s="55">
        <v>175</v>
      </c>
      <c r="E642" s="55">
        <v>10</v>
      </c>
      <c r="F642" s="55">
        <v>23</v>
      </c>
      <c r="G642" s="55">
        <v>6</v>
      </c>
      <c r="H642" s="55">
        <v>0</v>
      </c>
      <c r="I642" s="55">
        <v>0</v>
      </c>
      <c r="J642" s="55">
        <v>0</v>
      </c>
      <c r="K642" s="55">
        <v>0</v>
      </c>
      <c r="L642" s="55">
        <v>0</v>
      </c>
      <c r="M642" s="55">
        <v>0</v>
      </c>
      <c r="N642" s="55">
        <v>0</v>
      </c>
      <c r="O642" s="55">
        <v>0</v>
      </c>
      <c r="P642" s="47" t="s">
        <v>51</v>
      </c>
    </row>
    <row r="643" spans="1:16" ht="18" customHeight="1">
      <c r="A643" s="47"/>
      <c r="B643" s="48" t="s">
        <v>2032</v>
      </c>
      <c r="C643" s="54"/>
      <c r="D643" s="55">
        <v>210</v>
      </c>
      <c r="E643" s="55">
        <v>8</v>
      </c>
      <c r="F643" s="55">
        <v>22</v>
      </c>
      <c r="G643" s="55">
        <v>10</v>
      </c>
      <c r="H643" s="55">
        <v>35.369999999999997</v>
      </c>
      <c r="I643" s="55">
        <v>1.5</v>
      </c>
      <c r="J643" s="55">
        <v>0</v>
      </c>
      <c r="K643" s="55">
        <v>0</v>
      </c>
      <c r="L643" s="55">
        <v>0</v>
      </c>
      <c r="M643" s="55">
        <v>0</v>
      </c>
      <c r="N643" s="55">
        <v>0</v>
      </c>
      <c r="O643" s="55">
        <v>0</v>
      </c>
    </row>
    <row r="644" spans="1:16" ht="18" customHeight="1">
      <c r="A644" s="47" t="s">
        <v>853</v>
      </c>
      <c r="B644" s="48" t="s">
        <v>879</v>
      </c>
      <c r="C644" s="54"/>
      <c r="D644" s="55">
        <v>214</v>
      </c>
      <c r="E644" s="55">
        <v>9.6</v>
      </c>
      <c r="F644" s="55">
        <v>0.3</v>
      </c>
      <c r="G644" s="55">
        <v>10.4</v>
      </c>
      <c r="H644" s="55">
        <v>31</v>
      </c>
      <c r="I644" s="55">
        <v>1.3</v>
      </c>
      <c r="J644" s="55">
        <v>36</v>
      </c>
      <c r="K644" s="55">
        <v>0.21</v>
      </c>
      <c r="L644" s="55">
        <v>0.09</v>
      </c>
      <c r="M644" s="55">
        <v>0.9</v>
      </c>
      <c r="N644" s="55">
        <v>1</v>
      </c>
      <c r="O644" s="55">
        <v>0</v>
      </c>
    </row>
    <row r="645" spans="1:16" ht="18" customHeight="1">
      <c r="A645" s="47"/>
      <c r="B645" s="48" t="s">
        <v>880</v>
      </c>
      <c r="C645" s="54" t="s">
        <v>881</v>
      </c>
      <c r="D645" s="55">
        <v>214</v>
      </c>
      <c r="E645" s="55">
        <v>9.6</v>
      </c>
      <c r="F645" s="55">
        <v>0.3</v>
      </c>
      <c r="G645" s="55">
        <v>10.4</v>
      </c>
      <c r="H645" s="55">
        <v>31</v>
      </c>
      <c r="I645" s="55">
        <v>1.3</v>
      </c>
      <c r="J645" s="55">
        <v>36</v>
      </c>
      <c r="K645" s="55">
        <v>0.21</v>
      </c>
      <c r="L645" s="55">
        <v>0.09</v>
      </c>
      <c r="M645" s="55">
        <v>0.9</v>
      </c>
      <c r="N645" s="55">
        <v>1</v>
      </c>
      <c r="O645" s="55">
        <v>0</v>
      </c>
    </row>
    <row r="646" spans="1:16" ht="18" customHeight="1">
      <c r="A646" s="47" t="s">
        <v>853</v>
      </c>
      <c r="B646" s="48" t="s">
        <v>1705</v>
      </c>
      <c r="C646" s="54" t="s">
        <v>883</v>
      </c>
      <c r="D646" s="55">
        <v>196.83</v>
      </c>
      <c r="E646" s="55">
        <v>7.46</v>
      </c>
      <c r="F646" s="55">
        <v>0.3</v>
      </c>
      <c r="G646" s="55">
        <v>11.3</v>
      </c>
      <c r="H646" s="55">
        <v>32.53</v>
      </c>
      <c r="I646" s="55">
        <v>0</v>
      </c>
      <c r="J646" s="55">
        <v>18.899999999999999</v>
      </c>
      <c r="K646" s="55">
        <v>0.12</v>
      </c>
      <c r="L646" s="55">
        <v>0.06</v>
      </c>
      <c r="M646" s="55">
        <v>0</v>
      </c>
      <c r="N646" s="55">
        <v>0</v>
      </c>
      <c r="O646" s="55">
        <v>0</v>
      </c>
      <c r="P646" s="47" t="s">
        <v>401</v>
      </c>
    </row>
    <row r="647" spans="1:16" ht="18" customHeight="1">
      <c r="A647" s="47"/>
      <c r="B647" s="48" t="s">
        <v>1792</v>
      </c>
      <c r="C647" s="54" t="s">
        <v>881</v>
      </c>
      <c r="D647" s="55">
        <v>196.83</v>
      </c>
      <c r="E647" s="55">
        <v>7.46</v>
      </c>
      <c r="F647" s="55">
        <v>0.3</v>
      </c>
      <c r="G647" s="55">
        <v>11.3</v>
      </c>
      <c r="H647" s="55">
        <v>32.53</v>
      </c>
      <c r="I647" s="55">
        <v>0</v>
      </c>
      <c r="J647" s="55">
        <v>18.899999999999999</v>
      </c>
      <c r="K647" s="55">
        <v>0.12</v>
      </c>
      <c r="L647" s="55">
        <v>0.06</v>
      </c>
      <c r="M647" s="55">
        <v>0</v>
      </c>
      <c r="N647" s="55">
        <v>0</v>
      </c>
      <c r="O647" s="55">
        <v>0</v>
      </c>
    </row>
    <row r="648" spans="1:16" ht="18" customHeight="1">
      <c r="A648" s="47" t="s">
        <v>853</v>
      </c>
      <c r="B648" s="48" t="s">
        <v>882</v>
      </c>
      <c r="C648" s="54" t="s">
        <v>883</v>
      </c>
      <c r="D648" s="55">
        <v>196.83</v>
      </c>
      <c r="E648" s="55">
        <v>7.46</v>
      </c>
      <c r="F648" s="55">
        <v>0.3</v>
      </c>
      <c r="G648" s="55">
        <v>11.3</v>
      </c>
      <c r="H648" s="55">
        <v>32.53</v>
      </c>
      <c r="I648" s="55">
        <v>0</v>
      </c>
      <c r="J648" s="55">
        <v>18.899999999999999</v>
      </c>
      <c r="K648" s="55">
        <v>0.12</v>
      </c>
      <c r="L648" s="55">
        <v>0.06</v>
      </c>
      <c r="M648" s="55">
        <v>0</v>
      </c>
      <c r="N648" s="55">
        <v>0</v>
      </c>
      <c r="O648" s="55">
        <v>0</v>
      </c>
      <c r="P648" s="47" t="s">
        <v>401</v>
      </c>
    </row>
    <row r="649" spans="1:16" ht="18" customHeight="1">
      <c r="A649" s="47" t="s">
        <v>853</v>
      </c>
      <c r="B649" s="48" t="s">
        <v>884</v>
      </c>
      <c r="C649" s="54" t="s">
        <v>885</v>
      </c>
      <c r="D649" s="55">
        <v>186</v>
      </c>
      <c r="E649" s="55">
        <v>8.5</v>
      </c>
      <c r="F649" s="55">
        <v>0.3</v>
      </c>
      <c r="G649" s="55">
        <v>7.6</v>
      </c>
      <c r="H649" s="55">
        <v>31</v>
      </c>
      <c r="I649" s="55">
        <v>1.3</v>
      </c>
      <c r="J649" s="55">
        <v>36</v>
      </c>
      <c r="K649" s="55">
        <v>0.21</v>
      </c>
      <c r="L649" s="55">
        <v>0.09</v>
      </c>
      <c r="M649" s="55">
        <v>0.9</v>
      </c>
      <c r="N649" s="55">
        <v>0</v>
      </c>
      <c r="O649" s="55">
        <v>0</v>
      </c>
      <c r="P649" s="47" t="s">
        <v>51</v>
      </c>
    </row>
    <row r="650" spans="1:16" ht="18" customHeight="1">
      <c r="A650" s="47" t="s">
        <v>853</v>
      </c>
      <c r="B650" s="48" t="s">
        <v>886</v>
      </c>
      <c r="C650" s="54" t="s">
        <v>887</v>
      </c>
      <c r="D650" s="55">
        <v>420</v>
      </c>
      <c r="E650" s="55">
        <v>9.9</v>
      </c>
      <c r="F650" s="55">
        <v>61</v>
      </c>
      <c r="G650" s="55">
        <v>13.6</v>
      </c>
      <c r="H650" s="55">
        <v>92</v>
      </c>
      <c r="I650" s="55">
        <v>0.9</v>
      </c>
      <c r="J650" s="55">
        <v>39</v>
      </c>
      <c r="K650" s="55">
        <v>4.1900000000000004</v>
      </c>
      <c r="L650" s="55">
        <v>0.1</v>
      </c>
      <c r="M650" s="55">
        <v>1.7</v>
      </c>
      <c r="N650" s="55">
        <v>0</v>
      </c>
      <c r="O650" s="55">
        <v>0</v>
      </c>
      <c r="P650" s="47" t="s">
        <v>51</v>
      </c>
    </row>
    <row r="651" spans="1:16" ht="18" customHeight="1">
      <c r="A651" s="47" t="s">
        <v>853</v>
      </c>
      <c r="B651" s="48" t="s">
        <v>888</v>
      </c>
      <c r="C651" s="54" t="s">
        <v>887</v>
      </c>
      <c r="D651" s="55">
        <v>347</v>
      </c>
      <c r="E651" s="55">
        <v>18.899999999999999</v>
      </c>
      <c r="F651" s="55">
        <v>61</v>
      </c>
      <c r="G651" s="55">
        <v>7.2</v>
      </c>
      <c r="H651" s="55">
        <v>61</v>
      </c>
      <c r="I651" s="55">
        <v>5.5</v>
      </c>
      <c r="J651" s="55">
        <v>115</v>
      </c>
      <c r="K651" s="55">
        <v>0.19</v>
      </c>
      <c r="L651" s="55">
        <v>0.23</v>
      </c>
      <c r="M651" s="55">
        <v>3</v>
      </c>
      <c r="N651" s="55">
        <v>0</v>
      </c>
      <c r="O651" s="55">
        <v>0</v>
      </c>
      <c r="P651" s="47" t="s">
        <v>51</v>
      </c>
    </row>
    <row r="652" spans="1:16" ht="18" customHeight="1">
      <c r="A652" s="47" t="s">
        <v>853</v>
      </c>
      <c r="B652" s="48" t="s">
        <v>889</v>
      </c>
      <c r="C652" s="54" t="s">
        <v>887</v>
      </c>
      <c r="D652" s="55">
        <v>432</v>
      </c>
      <c r="E652" s="55">
        <v>7.3</v>
      </c>
      <c r="F652" s="55">
        <v>59</v>
      </c>
      <c r="G652" s="55">
        <v>14.4</v>
      </c>
      <c r="H652" s="55">
        <v>26</v>
      </c>
      <c r="I652" s="55">
        <v>0.8</v>
      </c>
      <c r="J652" s="55">
        <v>12</v>
      </c>
      <c r="K652" s="55">
        <v>1.61</v>
      </c>
      <c r="L652" s="55">
        <v>0.17</v>
      </c>
      <c r="M652" s="55">
        <v>1.9</v>
      </c>
      <c r="N652" s="55">
        <v>0</v>
      </c>
      <c r="O652" s="55">
        <v>0</v>
      </c>
      <c r="P652" s="47" t="s">
        <v>51</v>
      </c>
    </row>
    <row r="653" spans="1:16" ht="18" customHeight="1">
      <c r="A653" s="47"/>
      <c r="B653" s="48" t="s">
        <v>890</v>
      </c>
      <c r="C653" s="54" t="s">
        <v>887</v>
      </c>
      <c r="D653" s="55">
        <v>465</v>
      </c>
      <c r="E653" s="55">
        <v>8.3000000000000007</v>
      </c>
      <c r="F653" s="55">
        <v>63</v>
      </c>
      <c r="G653" s="55">
        <v>10</v>
      </c>
      <c r="H653" s="55">
        <v>96</v>
      </c>
      <c r="I653" s="55">
        <v>0.5</v>
      </c>
      <c r="J653" s="55">
        <v>76</v>
      </c>
      <c r="K653" s="55">
        <v>4.59</v>
      </c>
      <c r="L653" s="55">
        <v>0.05</v>
      </c>
      <c r="M653" s="55">
        <v>1.3</v>
      </c>
      <c r="N653" s="56">
        <v>0</v>
      </c>
      <c r="O653" s="56">
        <v>0</v>
      </c>
    </row>
    <row r="654" spans="1:16" ht="18" customHeight="1">
      <c r="A654" s="47"/>
      <c r="B654" s="48" t="s">
        <v>2055</v>
      </c>
      <c r="C654" s="54" t="s">
        <v>887</v>
      </c>
      <c r="D654" s="55">
        <v>371.43</v>
      </c>
      <c r="E654" s="55">
        <v>5.71</v>
      </c>
      <c r="F654" s="55">
        <v>71.430000000000007</v>
      </c>
      <c r="G654" s="55">
        <v>7.43</v>
      </c>
      <c r="H654" s="55">
        <v>0</v>
      </c>
      <c r="I654" s="55">
        <v>0</v>
      </c>
      <c r="J654" s="55">
        <v>0</v>
      </c>
      <c r="K654" s="55">
        <v>0</v>
      </c>
      <c r="L654" s="55">
        <v>0</v>
      </c>
      <c r="M654" s="55">
        <v>0</v>
      </c>
      <c r="N654" s="56">
        <v>0</v>
      </c>
      <c r="O654" s="56">
        <v>0</v>
      </c>
    </row>
    <row r="655" spans="1:16" ht="18" customHeight="1">
      <c r="A655" s="47" t="s">
        <v>853</v>
      </c>
      <c r="B655" s="48" t="s">
        <v>1673</v>
      </c>
      <c r="C655" s="54" t="s">
        <v>887</v>
      </c>
      <c r="D655" s="55">
        <v>245</v>
      </c>
      <c r="E655" s="55">
        <v>7.3</v>
      </c>
      <c r="F655" s="55">
        <v>64</v>
      </c>
      <c r="G655" s="55">
        <v>18.7</v>
      </c>
      <c r="H655" s="55">
        <v>89</v>
      </c>
      <c r="I655" s="55">
        <v>0.5</v>
      </c>
      <c r="J655" s="55">
        <v>76</v>
      </c>
      <c r="K655" s="55">
        <v>4.59</v>
      </c>
      <c r="L655" s="55">
        <v>0.05</v>
      </c>
      <c r="M655" s="55">
        <v>1.3</v>
      </c>
      <c r="N655" s="56">
        <v>0</v>
      </c>
      <c r="O655" s="56">
        <v>0</v>
      </c>
      <c r="P655" s="47" t="s">
        <v>51</v>
      </c>
    </row>
    <row r="656" spans="1:16" ht="18" customHeight="1">
      <c r="A656" s="47"/>
      <c r="B656" s="48" t="s">
        <v>1809</v>
      </c>
      <c r="C656" s="54"/>
      <c r="D656" s="55">
        <v>350.03</v>
      </c>
      <c r="E656" s="55">
        <v>11.99</v>
      </c>
      <c r="F656" s="55">
        <v>31.95</v>
      </c>
      <c r="G656" s="55">
        <v>6.63</v>
      </c>
      <c r="H656" s="55">
        <v>0</v>
      </c>
      <c r="I656" s="55">
        <v>0</v>
      </c>
      <c r="J656" s="55">
        <v>0</v>
      </c>
      <c r="K656" s="55">
        <v>0</v>
      </c>
      <c r="L656" s="55">
        <v>0</v>
      </c>
      <c r="M656" s="55">
        <v>0</v>
      </c>
      <c r="N656" s="56">
        <v>0</v>
      </c>
      <c r="O656" s="56">
        <v>0</v>
      </c>
    </row>
    <row r="657" spans="1:16" ht="18" customHeight="1">
      <c r="A657" s="47" t="s">
        <v>853</v>
      </c>
      <c r="B657" s="48" t="s">
        <v>891</v>
      </c>
      <c r="C657" s="54" t="s">
        <v>887</v>
      </c>
      <c r="D657" s="55">
        <v>454</v>
      </c>
      <c r="E657" s="55">
        <v>7.3</v>
      </c>
      <c r="F657" s="55">
        <v>64</v>
      </c>
      <c r="G657" s="55">
        <v>18.7</v>
      </c>
      <c r="H657" s="55">
        <v>89</v>
      </c>
      <c r="I657" s="55">
        <v>0.5</v>
      </c>
      <c r="J657" s="55">
        <v>76</v>
      </c>
      <c r="K657" s="55">
        <v>4.59</v>
      </c>
      <c r="L657" s="55">
        <v>0.05</v>
      </c>
      <c r="M657" s="55">
        <v>1.3</v>
      </c>
      <c r="N657" s="56">
        <v>0</v>
      </c>
      <c r="O657" s="56">
        <v>0</v>
      </c>
      <c r="P657" s="47" t="s">
        <v>51</v>
      </c>
    </row>
    <row r="658" spans="1:16" ht="18" customHeight="1">
      <c r="A658" s="47" t="s">
        <v>853</v>
      </c>
      <c r="B658" s="48" t="s">
        <v>892</v>
      </c>
      <c r="C658" s="54" t="s">
        <v>893</v>
      </c>
      <c r="D658" s="55">
        <v>120.8</v>
      </c>
      <c r="E658" s="55">
        <v>4.0999999999999996</v>
      </c>
      <c r="F658" s="55">
        <v>30.4</v>
      </c>
      <c r="G658" s="55">
        <v>2.4</v>
      </c>
      <c r="H658" s="55">
        <v>67.900000000000006</v>
      </c>
      <c r="I658" s="55">
        <v>4.2</v>
      </c>
      <c r="J658" s="55">
        <v>53</v>
      </c>
      <c r="K658" s="55">
        <v>0.2</v>
      </c>
      <c r="L658" s="55">
        <v>0.2</v>
      </c>
      <c r="M658" s="55">
        <v>1.7</v>
      </c>
      <c r="N658" s="55">
        <v>6.8</v>
      </c>
      <c r="O658" s="55">
        <v>0</v>
      </c>
      <c r="P658" s="47" t="s">
        <v>51</v>
      </c>
    </row>
    <row r="659" spans="1:16" ht="18" customHeight="1">
      <c r="A659" s="47"/>
      <c r="B659" s="48" t="s">
        <v>894</v>
      </c>
      <c r="C659" s="54" t="s">
        <v>895</v>
      </c>
      <c r="D659" s="55">
        <v>229</v>
      </c>
      <c r="E659" s="55">
        <v>11.3</v>
      </c>
      <c r="F659" s="55">
        <v>40.200000000000003</v>
      </c>
      <c r="G659" s="55">
        <v>14.8</v>
      </c>
      <c r="H659" s="55">
        <v>17</v>
      </c>
      <c r="I659" s="55">
        <v>4.0999999999999996</v>
      </c>
      <c r="J659" s="55">
        <v>21</v>
      </c>
      <c r="K659" s="55">
        <v>0.11</v>
      </c>
      <c r="L659" s="55">
        <v>0.06</v>
      </c>
      <c r="M659" s="55">
        <v>1.8</v>
      </c>
      <c r="N659" s="55">
        <v>2</v>
      </c>
      <c r="O659" s="55">
        <v>0</v>
      </c>
    </row>
    <row r="660" spans="1:16" ht="18" customHeight="1">
      <c r="A660" s="47" t="s">
        <v>853</v>
      </c>
      <c r="B660" s="48" t="s">
        <v>896</v>
      </c>
      <c r="C660" s="54" t="s">
        <v>895</v>
      </c>
      <c r="D660" s="55">
        <v>229</v>
      </c>
      <c r="E660" s="55">
        <v>11.3</v>
      </c>
      <c r="F660" s="55">
        <v>25.4</v>
      </c>
      <c r="G660" s="55">
        <v>9.8000000000000007</v>
      </c>
      <c r="H660" s="55">
        <v>17</v>
      </c>
      <c r="I660" s="55">
        <v>4.0999999999999996</v>
      </c>
      <c r="J660" s="55">
        <v>21</v>
      </c>
      <c r="K660" s="55">
        <v>0.11</v>
      </c>
      <c r="L660" s="55">
        <v>0.06</v>
      </c>
      <c r="M660" s="55">
        <v>1.8</v>
      </c>
      <c r="N660" s="55">
        <v>2</v>
      </c>
      <c r="O660" s="55">
        <v>0</v>
      </c>
      <c r="P660" s="47" t="s">
        <v>51</v>
      </c>
    </row>
    <row r="661" spans="1:16" ht="18" customHeight="1">
      <c r="A661" s="47" t="s">
        <v>853</v>
      </c>
      <c r="B661" s="48" t="s">
        <v>897</v>
      </c>
      <c r="C661" s="54" t="s">
        <v>898</v>
      </c>
      <c r="D661" s="55">
        <v>270.42</v>
      </c>
      <c r="E661" s="55">
        <v>17.12</v>
      </c>
      <c r="F661" s="55">
        <v>45.15</v>
      </c>
      <c r="G661" s="55">
        <v>11.9</v>
      </c>
      <c r="H661" s="55">
        <v>126.33</v>
      </c>
      <c r="I661" s="55">
        <v>1.6</v>
      </c>
      <c r="J661" s="55">
        <v>153.18</v>
      </c>
      <c r="K661" s="55">
        <v>0.28000000000000003</v>
      </c>
      <c r="L661" s="55">
        <v>0.21</v>
      </c>
      <c r="M661" s="55">
        <v>2.2000000000000002</v>
      </c>
      <c r="N661" s="55">
        <v>2</v>
      </c>
      <c r="O661" s="55">
        <v>0</v>
      </c>
      <c r="P661" s="47" t="s">
        <v>51</v>
      </c>
    </row>
    <row r="662" spans="1:16" ht="18" customHeight="1">
      <c r="A662" s="47" t="s">
        <v>853</v>
      </c>
      <c r="B662" s="48" t="s">
        <v>899</v>
      </c>
      <c r="C662" s="54" t="s">
        <v>900</v>
      </c>
      <c r="D662" s="55">
        <v>132</v>
      </c>
      <c r="E662" s="55">
        <v>10.199999999999999</v>
      </c>
      <c r="F662" s="55">
        <v>11.5</v>
      </c>
      <c r="G662" s="55">
        <v>0.38</v>
      </c>
      <c r="H662" s="55">
        <v>42</v>
      </c>
      <c r="I662" s="55">
        <v>1.5</v>
      </c>
      <c r="J662" s="55">
        <v>0</v>
      </c>
      <c r="K662" s="55">
        <v>0.04</v>
      </c>
      <c r="L662" s="55">
        <v>7.0000000000000007E-2</v>
      </c>
      <c r="M662" s="55">
        <v>0.7</v>
      </c>
      <c r="N662" s="55">
        <v>0</v>
      </c>
      <c r="O662" s="55">
        <v>5</v>
      </c>
      <c r="P662" s="47" t="s">
        <v>51</v>
      </c>
    </row>
    <row r="663" spans="1:16" ht="18" customHeight="1">
      <c r="A663" s="47" t="s">
        <v>853</v>
      </c>
      <c r="B663" s="48" t="s">
        <v>1947</v>
      </c>
      <c r="C663" s="54" t="s">
        <v>1948</v>
      </c>
      <c r="D663" s="55">
        <v>178.5</v>
      </c>
      <c r="E663" s="55">
        <v>2.2000000000000002</v>
      </c>
      <c r="F663" s="55">
        <v>27.1</v>
      </c>
      <c r="G663" s="55">
        <v>6.8</v>
      </c>
      <c r="H663" s="55">
        <v>42</v>
      </c>
      <c r="I663" s="55">
        <v>1.5</v>
      </c>
      <c r="J663" s="55">
        <v>0</v>
      </c>
      <c r="K663" s="55">
        <v>0.04</v>
      </c>
      <c r="L663" s="55">
        <v>7.0000000000000007E-2</v>
      </c>
      <c r="M663" s="55">
        <v>0.7</v>
      </c>
      <c r="N663" s="55">
        <v>0</v>
      </c>
      <c r="O663" s="55">
        <v>5</v>
      </c>
      <c r="P663" s="47" t="s">
        <v>51</v>
      </c>
    </row>
    <row r="664" spans="1:16" ht="18" customHeight="1">
      <c r="A664" s="47" t="s">
        <v>853</v>
      </c>
      <c r="B664" s="48" t="s">
        <v>1949</v>
      </c>
      <c r="C664" s="54" t="s">
        <v>1950</v>
      </c>
      <c r="D664" s="55">
        <v>82.8</v>
      </c>
      <c r="E664" s="55">
        <v>2.2000000000000002</v>
      </c>
      <c r="F664" s="55">
        <v>27.1</v>
      </c>
      <c r="G664" s="55">
        <v>6.8</v>
      </c>
      <c r="H664" s="55">
        <v>42</v>
      </c>
      <c r="I664" s="55">
        <v>1.5</v>
      </c>
      <c r="J664" s="55">
        <v>0</v>
      </c>
      <c r="K664" s="55">
        <v>0.04</v>
      </c>
      <c r="L664" s="55">
        <v>7.0000000000000007E-2</v>
      </c>
      <c r="M664" s="55">
        <v>0.7</v>
      </c>
      <c r="N664" s="55">
        <v>0</v>
      </c>
      <c r="O664" s="55">
        <v>5</v>
      </c>
      <c r="P664" s="47" t="s">
        <v>51</v>
      </c>
    </row>
    <row r="665" spans="1:16" ht="18" customHeight="1">
      <c r="A665" s="47"/>
      <c r="B665" s="48" t="s">
        <v>901</v>
      </c>
      <c r="C665" s="54" t="s">
        <v>900</v>
      </c>
      <c r="D665" s="55">
        <v>142</v>
      </c>
      <c r="E665" s="55">
        <v>11.2</v>
      </c>
      <c r="F665" s="55">
        <v>11.5</v>
      </c>
      <c r="G665" s="55">
        <v>0.84</v>
      </c>
      <c r="H665" s="55">
        <v>45</v>
      </c>
      <c r="I665" s="55">
        <v>1.5</v>
      </c>
      <c r="J665" s="55">
        <v>0</v>
      </c>
      <c r="K665" s="55">
        <v>0.04</v>
      </c>
      <c r="L665" s="55">
        <v>7.0000000000000007E-2</v>
      </c>
      <c r="M665" s="55">
        <v>0.7</v>
      </c>
      <c r="N665" s="55">
        <v>0</v>
      </c>
      <c r="O665" s="55">
        <v>6</v>
      </c>
    </row>
    <row r="666" spans="1:16" ht="18" customHeight="1">
      <c r="A666" s="47" t="s">
        <v>853</v>
      </c>
      <c r="B666" s="48" t="s">
        <v>902</v>
      </c>
      <c r="C666" s="54" t="s">
        <v>900</v>
      </c>
      <c r="D666" s="55">
        <v>132</v>
      </c>
      <c r="E666" s="55">
        <v>10.199999999999999</v>
      </c>
      <c r="F666" s="55">
        <v>11.5</v>
      </c>
      <c r="G666" s="55">
        <v>1.5</v>
      </c>
      <c r="H666" s="55">
        <v>42</v>
      </c>
      <c r="I666" s="55">
        <v>1.5</v>
      </c>
      <c r="J666" s="55">
        <v>0</v>
      </c>
      <c r="K666" s="55">
        <v>0.04</v>
      </c>
      <c r="L666" s="55">
        <v>7.0000000000000007E-2</v>
      </c>
      <c r="M666" s="55">
        <v>0.7</v>
      </c>
      <c r="N666" s="55">
        <v>0</v>
      </c>
      <c r="O666" s="55">
        <v>5</v>
      </c>
      <c r="P666" s="47" t="s">
        <v>51</v>
      </c>
    </row>
    <row r="667" spans="1:16" ht="18" customHeight="1">
      <c r="A667" s="47" t="s">
        <v>853</v>
      </c>
      <c r="B667" s="48" t="s">
        <v>95</v>
      </c>
      <c r="C667" s="54" t="s">
        <v>903</v>
      </c>
      <c r="D667" s="55">
        <v>368</v>
      </c>
      <c r="E667" s="55">
        <v>11.7</v>
      </c>
      <c r="F667" s="55">
        <v>78.400000000000006</v>
      </c>
      <c r="G667" s="55">
        <v>0.5</v>
      </c>
      <c r="H667" s="55">
        <v>39</v>
      </c>
      <c r="I667" s="55">
        <v>2.1</v>
      </c>
      <c r="J667" s="55">
        <v>0</v>
      </c>
      <c r="K667" s="55">
        <v>0.17</v>
      </c>
      <c r="L667" s="55">
        <v>0.31</v>
      </c>
      <c r="M667" s="55">
        <v>1.4</v>
      </c>
      <c r="N667" s="55">
        <v>0</v>
      </c>
      <c r="O667" s="55">
        <v>0</v>
      </c>
      <c r="P667" s="47" t="s">
        <v>51</v>
      </c>
    </row>
    <row r="668" spans="1:16" ht="18" customHeight="1">
      <c r="A668" s="47" t="s">
        <v>853</v>
      </c>
      <c r="B668" s="48" t="s">
        <v>904</v>
      </c>
      <c r="C668" s="54" t="s">
        <v>905</v>
      </c>
      <c r="D668" s="55">
        <v>149.30000000000001</v>
      </c>
      <c r="E668" s="55">
        <v>10.3</v>
      </c>
      <c r="F668" s="55">
        <v>14.8</v>
      </c>
      <c r="G668" s="55">
        <v>1.56</v>
      </c>
      <c r="H668" s="55">
        <v>2</v>
      </c>
      <c r="I668" s="55">
        <v>1</v>
      </c>
      <c r="J668" s="55">
        <v>0</v>
      </c>
      <c r="K668" s="55">
        <v>1.6E-2</v>
      </c>
      <c r="L668" s="55">
        <v>0.01</v>
      </c>
      <c r="M668" s="55">
        <v>0.2</v>
      </c>
      <c r="N668" s="55">
        <v>0</v>
      </c>
      <c r="O668" s="55">
        <v>0</v>
      </c>
      <c r="P668" s="47" t="s">
        <v>51</v>
      </c>
    </row>
    <row r="669" spans="1:16" ht="18" customHeight="1">
      <c r="A669" s="47" t="s">
        <v>853</v>
      </c>
      <c r="B669" s="48" t="s">
        <v>1939</v>
      </c>
      <c r="C669" s="54" t="s">
        <v>905</v>
      </c>
      <c r="D669" s="55">
        <v>149.30000000000001</v>
      </c>
      <c r="E669" s="55">
        <v>10.3</v>
      </c>
      <c r="F669" s="55">
        <v>14.8</v>
      </c>
      <c r="G669" s="55">
        <v>1.56</v>
      </c>
      <c r="H669" s="55">
        <v>2</v>
      </c>
      <c r="I669" s="55">
        <v>1</v>
      </c>
      <c r="J669" s="55">
        <v>0</v>
      </c>
      <c r="K669" s="55">
        <v>1.6E-2</v>
      </c>
      <c r="L669" s="55">
        <v>0.01</v>
      </c>
      <c r="M669" s="55">
        <v>0.2</v>
      </c>
      <c r="N669" s="55">
        <v>0</v>
      </c>
      <c r="O669" s="55">
        <v>0</v>
      </c>
      <c r="P669" s="47" t="s">
        <v>51</v>
      </c>
    </row>
    <row r="670" spans="1:16" ht="18" customHeight="1">
      <c r="A670" s="47"/>
      <c r="B670" s="48" t="s">
        <v>906</v>
      </c>
      <c r="C670" s="54" t="s">
        <v>907</v>
      </c>
      <c r="D670" s="55">
        <v>201.7</v>
      </c>
      <c r="E670" s="55">
        <v>17.3</v>
      </c>
      <c r="F670" s="55">
        <v>8.9</v>
      </c>
      <c r="G670" s="55">
        <v>7.7</v>
      </c>
      <c r="H670" s="55">
        <v>32.4</v>
      </c>
      <c r="I670" s="55">
        <v>2.69</v>
      </c>
      <c r="J670" s="55">
        <v>0.2</v>
      </c>
      <c r="K670" s="55">
        <v>0.19</v>
      </c>
      <c r="L670" s="55">
        <v>0.1</v>
      </c>
      <c r="M670" s="55">
        <v>1.6</v>
      </c>
      <c r="N670" s="55">
        <v>2</v>
      </c>
      <c r="O670" s="55">
        <v>0</v>
      </c>
    </row>
    <row r="671" spans="1:16" ht="18" customHeight="1">
      <c r="A671" s="47" t="s">
        <v>853</v>
      </c>
      <c r="B671" s="48" t="s">
        <v>908</v>
      </c>
      <c r="C671" s="54" t="s">
        <v>907</v>
      </c>
      <c r="D671" s="55">
        <v>153.69999999999999</v>
      </c>
      <c r="E671" s="55">
        <v>16.7</v>
      </c>
      <c r="F671" s="55">
        <v>8.9</v>
      </c>
      <c r="G671" s="55">
        <v>7.7</v>
      </c>
      <c r="H671" s="55">
        <v>29.5</v>
      </c>
      <c r="I671" s="55">
        <v>2.69</v>
      </c>
      <c r="J671" s="55">
        <v>0.2</v>
      </c>
      <c r="K671" s="55">
        <v>0.19</v>
      </c>
      <c r="L671" s="55">
        <v>0.1</v>
      </c>
      <c r="M671" s="55">
        <v>1.6</v>
      </c>
      <c r="N671" s="55">
        <v>2</v>
      </c>
      <c r="O671" s="55">
        <v>0</v>
      </c>
      <c r="P671" s="47" t="s">
        <v>51</v>
      </c>
    </row>
    <row r="672" spans="1:16" ht="18" customHeight="1">
      <c r="A672" s="47" t="s">
        <v>853</v>
      </c>
      <c r="B672" s="48" t="s">
        <v>909</v>
      </c>
      <c r="C672" s="54" t="s">
        <v>909</v>
      </c>
      <c r="D672" s="55">
        <v>205.7</v>
      </c>
      <c r="E672" s="55">
        <v>7.4</v>
      </c>
      <c r="F672" s="55">
        <v>74</v>
      </c>
      <c r="G672" s="55">
        <v>1.4</v>
      </c>
      <c r="H672" s="55">
        <v>22.6</v>
      </c>
      <c r="I672" s="55">
        <v>0.9</v>
      </c>
      <c r="J672" s="55">
        <v>105.8</v>
      </c>
      <c r="K672" s="55">
        <v>0.11</v>
      </c>
      <c r="L672" s="55">
        <v>0.03</v>
      </c>
      <c r="M672" s="55">
        <v>0.7</v>
      </c>
      <c r="N672" s="55">
        <v>0.7</v>
      </c>
      <c r="O672" s="55">
        <v>0</v>
      </c>
      <c r="P672" s="47" t="s">
        <v>51</v>
      </c>
    </row>
    <row r="673" spans="1:16" ht="18" customHeight="1">
      <c r="A673" s="47"/>
      <c r="B673" s="48" t="s">
        <v>910</v>
      </c>
      <c r="C673" s="54" t="s">
        <v>911</v>
      </c>
      <c r="D673" s="55">
        <v>224</v>
      </c>
      <c r="E673" s="55">
        <v>12.3</v>
      </c>
      <c r="F673" s="55">
        <v>3.4</v>
      </c>
      <c r="G673" s="55">
        <v>11.1</v>
      </c>
      <c r="H673" s="55">
        <v>13</v>
      </c>
      <c r="I673" s="55">
        <v>1.2</v>
      </c>
      <c r="J673" s="55">
        <v>0</v>
      </c>
      <c r="K673" s="55">
        <v>0.25</v>
      </c>
      <c r="L673" s="55">
        <v>0.12</v>
      </c>
      <c r="M673" s="55">
        <v>3.6</v>
      </c>
      <c r="N673" s="55">
        <v>6</v>
      </c>
      <c r="O673" s="55">
        <v>0</v>
      </c>
      <c r="P673" s="47" t="s">
        <v>51</v>
      </c>
    </row>
    <row r="674" spans="1:16" ht="18" customHeight="1">
      <c r="A674" s="47" t="s">
        <v>853</v>
      </c>
      <c r="B674" s="48" t="s">
        <v>1712</v>
      </c>
      <c r="C674" s="54" t="s">
        <v>911</v>
      </c>
      <c r="D674" s="55">
        <v>218</v>
      </c>
      <c r="E674" s="55">
        <v>12.3</v>
      </c>
      <c r="F674" s="55">
        <v>3.8</v>
      </c>
      <c r="G674" s="55">
        <v>8.6999999999999993</v>
      </c>
      <c r="H674" s="55">
        <v>13</v>
      </c>
      <c r="I674" s="55">
        <v>1.2</v>
      </c>
      <c r="J674" s="55">
        <v>0</v>
      </c>
      <c r="K674" s="55">
        <v>0.25</v>
      </c>
      <c r="L674" s="55">
        <v>0.12</v>
      </c>
      <c r="M674" s="55">
        <v>3.6</v>
      </c>
      <c r="N674" s="55">
        <v>6</v>
      </c>
      <c r="O674" s="55">
        <v>0</v>
      </c>
      <c r="P674" s="47" t="s">
        <v>51</v>
      </c>
    </row>
    <row r="675" spans="1:16" ht="18" customHeight="1">
      <c r="A675" s="47" t="s">
        <v>853</v>
      </c>
      <c r="B675" s="48" t="s">
        <v>1663</v>
      </c>
      <c r="C675" s="54" t="s">
        <v>911</v>
      </c>
      <c r="D675" s="55">
        <v>218</v>
      </c>
      <c r="E675" s="55">
        <v>12.3</v>
      </c>
      <c r="F675" s="55">
        <v>3.8</v>
      </c>
      <c r="G675" s="55">
        <v>8.6999999999999993</v>
      </c>
      <c r="H675" s="55">
        <v>13</v>
      </c>
      <c r="I675" s="55">
        <v>1.2</v>
      </c>
      <c r="J675" s="55">
        <v>0</v>
      </c>
      <c r="K675" s="55">
        <v>0.25</v>
      </c>
      <c r="L675" s="55">
        <v>0.12</v>
      </c>
      <c r="M675" s="55">
        <v>3.6</v>
      </c>
      <c r="N675" s="55">
        <v>6</v>
      </c>
      <c r="O675" s="55">
        <v>0</v>
      </c>
      <c r="P675" s="47" t="s">
        <v>51</v>
      </c>
    </row>
    <row r="676" spans="1:16" ht="18" customHeight="1">
      <c r="A676" s="47" t="s">
        <v>853</v>
      </c>
      <c r="B676" s="48" t="s">
        <v>912</v>
      </c>
      <c r="C676" s="54" t="s">
        <v>913</v>
      </c>
      <c r="D676" s="55">
        <v>156</v>
      </c>
      <c r="E676" s="55">
        <v>9.1999999999999993</v>
      </c>
      <c r="F676" s="55">
        <v>4</v>
      </c>
      <c r="G676" s="55">
        <v>8.5</v>
      </c>
      <c r="H676" s="55">
        <v>21</v>
      </c>
      <c r="I676" s="55">
        <v>1.3</v>
      </c>
      <c r="J676" s="55">
        <v>0</v>
      </c>
      <c r="K676" s="55">
        <v>0.24</v>
      </c>
      <c r="L676" s="55">
        <v>0.13</v>
      </c>
      <c r="M676" s="55">
        <v>3.5</v>
      </c>
      <c r="N676" s="55">
        <v>7</v>
      </c>
      <c r="O676" s="55">
        <v>0</v>
      </c>
      <c r="P676" s="47" t="s">
        <v>51</v>
      </c>
    </row>
    <row r="677" spans="1:16" ht="18" customHeight="1">
      <c r="A677" s="47" t="s">
        <v>853</v>
      </c>
      <c r="B677" s="48" t="s">
        <v>914</v>
      </c>
      <c r="C677" s="54" t="s">
        <v>915</v>
      </c>
      <c r="D677" s="55">
        <v>112</v>
      </c>
      <c r="E677" s="55">
        <v>10.8</v>
      </c>
      <c r="F677" s="55">
        <v>18.600000000000001</v>
      </c>
      <c r="G677" s="55">
        <v>0.1</v>
      </c>
      <c r="H677" s="55">
        <v>218</v>
      </c>
      <c r="I677" s="55">
        <v>0.8</v>
      </c>
      <c r="J677" s="55">
        <v>0</v>
      </c>
      <c r="K677" s="55">
        <v>0.03</v>
      </c>
      <c r="L677" s="55">
        <v>0.12</v>
      </c>
      <c r="M677" s="55">
        <v>1.2</v>
      </c>
      <c r="N677" s="55">
        <v>0</v>
      </c>
      <c r="O677" s="55">
        <v>0</v>
      </c>
      <c r="P677" s="47" t="s">
        <v>51</v>
      </c>
    </row>
    <row r="678" spans="1:16" ht="18" customHeight="1">
      <c r="A678" s="47" t="s">
        <v>853</v>
      </c>
      <c r="B678" s="48" t="s">
        <v>916</v>
      </c>
      <c r="C678" s="54" t="s">
        <v>917</v>
      </c>
      <c r="D678" s="55">
        <v>532</v>
      </c>
      <c r="E678" s="55">
        <v>24.4</v>
      </c>
      <c r="F678" s="55">
        <v>26.5</v>
      </c>
      <c r="G678" s="55">
        <v>45.2</v>
      </c>
      <c r="H678" s="55">
        <v>52</v>
      </c>
      <c r="I678" s="55">
        <v>1.6</v>
      </c>
      <c r="J678" s="55">
        <v>14</v>
      </c>
      <c r="K678" s="55">
        <v>0.5</v>
      </c>
      <c r="L678" s="55">
        <v>0.1</v>
      </c>
      <c r="M678" s="55">
        <v>20.7</v>
      </c>
      <c r="N678" s="55">
        <v>0</v>
      </c>
      <c r="O678" s="55">
        <v>0</v>
      </c>
      <c r="P678" s="47" t="s">
        <v>51</v>
      </c>
    </row>
    <row r="679" spans="1:16" ht="18" customHeight="1">
      <c r="A679" s="47"/>
      <c r="B679" s="48" t="s">
        <v>918</v>
      </c>
      <c r="C679" s="54" t="s">
        <v>919</v>
      </c>
      <c r="D679" s="55">
        <v>162.6</v>
      </c>
      <c r="E679" s="55">
        <v>8.1999999999999993</v>
      </c>
      <c r="F679" s="55">
        <v>18.2</v>
      </c>
      <c r="G679" s="55">
        <v>6.3</v>
      </c>
      <c r="H679" s="55">
        <v>10.7</v>
      </c>
      <c r="I679" s="55">
        <v>1.62</v>
      </c>
      <c r="J679" s="55">
        <v>137.80000000000001</v>
      </c>
      <c r="K679" s="55">
        <v>0.27</v>
      </c>
      <c r="L679" s="55">
        <v>0.06</v>
      </c>
      <c r="M679" s="55">
        <v>1.5</v>
      </c>
      <c r="N679" s="55">
        <v>2.6</v>
      </c>
      <c r="O679" s="55">
        <v>0</v>
      </c>
    </row>
    <row r="680" spans="1:16" ht="18" customHeight="1">
      <c r="A680" s="47"/>
      <c r="B680" s="48" t="s">
        <v>1922</v>
      </c>
      <c r="C680" s="54" t="s">
        <v>919</v>
      </c>
      <c r="D680" s="55">
        <v>162.6</v>
      </c>
      <c r="E680" s="55">
        <v>8.1999999999999993</v>
      </c>
      <c r="F680" s="55">
        <v>18.2</v>
      </c>
      <c r="G680" s="55">
        <v>6.3</v>
      </c>
      <c r="H680" s="55">
        <v>10.7</v>
      </c>
      <c r="I680" s="55">
        <v>1.62</v>
      </c>
      <c r="J680" s="55">
        <v>137.80000000000001</v>
      </c>
      <c r="K680" s="55">
        <v>0.27</v>
      </c>
      <c r="L680" s="55">
        <v>0.06</v>
      </c>
      <c r="M680" s="55">
        <v>1.5</v>
      </c>
      <c r="N680" s="55">
        <v>2.6</v>
      </c>
      <c r="O680" s="55">
        <v>0</v>
      </c>
    </row>
    <row r="681" spans="1:16" ht="18" customHeight="1">
      <c r="A681" s="47"/>
      <c r="B681" s="48" t="s">
        <v>1921</v>
      </c>
      <c r="C681" s="54" t="s">
        <v>919</v>
      </c>
      <c r="D681" s="55">
        <v>162.6</v>
      </c>
      <c r="E681" s="55">
        <v>8.1999999999999993</v>
      </c>
      <c r="F681" s="55">
        <v>18.2</v>
      </c>
      <c r="G681" s="55">
        <v>6.3</v>
      </c>
      <c r="H681" s="55">
        <v>10.7</v>
      </c>
      <c r="I681" s="55">
        <v>1.62</v>
      </c>
      <c r="J681" s="55">
        <v>137.80000000000001</v>
      </c>
      <c r="K681" s="55">
        <v>0.27</v>
      </c>
      <c r="L681" s="55">
        <v>0.06</v>
      </c>
      <c r="M681" s="55">
        <v>1.5</v>
      </c>
      <c r="N681" s="55">
        <v>2.6</v>
      </c>
      <c r="O681" s="55">
        <v>0</v>
      </c>
    </row>
    <row r="682" spans="1:16" ht="18" customHeight="1">
      <c r="A682" s="47"/>
      <c r="B682" s="48" t="s">
        <v>1810</v>
      </c>
      <c r="C682" s="54" t="s">
        <v>919</v>
      </c>
      <c r="D682" s="55">
        <v>260</v>
      </c>
      <c r="E682" s="55">
        <v>8.1999999999999993</v>
      </c>
      <c r="F682" s="55">
        <v>18.2</v>
      </c>
      <c r="G682" s="55">
        <v>6.3</v>
      </c>
      <c r="H682" s="55">
        <v>10.7</v>
      </c>
      <c r="I682" s="55">
        <v>1.62</v>
      </c>
      <c r="J682" s="55">
        <v>137.80000000000001</v>
      </c>
      <c r="K682" s="55">
        <v>0.27</v>
      </c>
      <c r="L682" s="55">
        <v>0.06</v>
      </c>
      <c r="M682" s="55">
        <v>1.5</v>
      </c>
      <c r="N682" s="55">
        <v>2.6</v>
      </c>
      <c r="O682" s="55">
        <v>0</v>
      </c>
    </row>
    <row r="683" spans="1:16" ht="18" customHeight="1">
      <c r="A683" s="47"/>
      <c r="B683" s="48" t="s">
        <v>920</v>
      </c>
      <c r="C683" s="54" t="s">
        <v>919</v>
      </c>
      <c r="D683" s="55">
        <v>162.6</v>
      </c>
      <c r="E683" s="55">
        <v>8.1999999999999993</v>
      </c>
      <c r="F683" s="55">
        <v>18.2</v>
      </c>
      <c r="G683" s="55">
        <v>6.3</v>
      </c>
      <c r="H683" s="55">
        <v>10.7</v>
      </c>
      <c r="I683" s="55">
        <v>1.62</v>
      </c>
      <c r="J683" s="55">
        <v>137.80000000000001</v>
      </c>
      <c r="K683" s="55">
        <v>0.27</v>
      </c>
      <c r="L683" s="55">
        <v>0.06</v>
      </c>
      <c r="M683" s="55">
        <v>1.5</v>
      </c>
      <c r="N683" s="55">
        <v>2.6</v>
      </c>
      <c r="O683" s="55">
        <v>0</v>
      </c>
    </row>
    <row r="684" spans="1:16" ht="18" customHeight="1">
      <c r="A684" s="47" t="s">
        <v>853</v>
      </c>
      <c r="B684" s="48" t="s">
        <v>921</v>
      </c>
      <c r="C684" s="54" t="s">
        <v>922</v>
      </c>
      <c r="D684" s="55">
        <v>263</v>
      </c>
      <c r="E684" s="55">
        <v>3.3</v>
      </c>
      <c r="F684" s="55">
        <v>37.700000000000003</v>
      </c>
      <c r="G684" s="55">
        <v>14.1</v>
      </c>
      <c r="H684" s="55">
        <v>46</v>
      </c>
      <c r="I684" s="55">
        <v>0.9</v>
      </c>
      <c r="J684" s="55">
        <v>13</v>
      </c>
      <c r="K684" s="55">
        <v>0.1</v>
      </c>
      <c r="L684" s="55">
        <v>0.08</v>
      </c>
      <c r="M684" s="55">
        <v>0.7</v>
      </c>
      <c r="N684" s="55">
        <v>5</v>
      </c>
      <c r="O684" s="55">
        <v>0</v>
      </c>
      <c r="P684" s="47" t="s">
        <v>51</v>
      </c>
    </row>
    <row r="685" spans="1:16" ht="18" customHeight="1">
      <c r="A685" s="47" t="s">
        <v>853</v>
      </c>
      <c r="B685" s="48" t="s">
        <v>923</v>
      </c>
      <c r="C685" s="54" t="s">
        <v>924</v>
      </c>
      <c r="D685" s="55">
        <v>314</v>
      </c>
      <c r="E685" s="55">
        <v>11.6</v>
      </c>
      <c r="F685" s="55">
        <v>2.8</v>
      </c>
      <c r="G685" s="55">
        <v>6</v>
      </c>
      <c r="H685" s="55">
        <v>141</v>
      </c>
      <c r="I685" s="55">
        <v>1.5</v>
      </c>
      <c r="J685" s="55">
        <v>2</v>
      </c>
      <c r="K685" s="55">
        <v>0.28000000000000003</v>
      </c>
      <c r="L685" s="55">
        <v>0.61</v>
      </c>
      <c r="M685" s="55">
        <v>5.0999999999999996</v>
      </c>
      <c r="N685" s="55">
        <v>2</v>
      </c>
      <c r="O685" s="55">
        <v>0</v>
      </c>
      <c r="P685" s="47" t="s">
        <v>51</v>
      </c>
    </row>
    <row r="686" spans="1:16" ht="18" customHeight="1">
      <c r="A686" s="47" t="s">
        <v>853</v>
      </c>
      <c r="B686" s="48" t="s">
        <v>925</v>
      </c>
      <c r="C686" s="54" t="s">
        <v>926</v>
      </c>
      <c r="D686" s="55">
        <v>109</v>
      </c>
      <c r="E686" s="55">
        <v>2.8</v>
      </c>
      <c r="F686" s="55">
        <v>14.9</v>
      </c>
      <c r="G686" s="55">
        <v>0.3</v>
      </c>
      <c r="H686" s="55">
        <v>14</v>
      </c>
      <c r="I686" s="55">
        <v>0.9</v>
      </c>
      <c r="J686" s="55">
        <v>58</v>
      </c>
      <c r="K686" s="55">
        <v>0.09</v>
      </c>
      <c r="L686" s="55">
        <v>0.06</v>
      </c>
      <c r="M686" s="55">
        <v>0.9</v>
      </c>
      <c r="N686" s="55">
        <v>8</v>
      </c>
      <c r="O686" s="55">
        <v>0</v>
      </c>
      <c r="P686" s="47" t="s">
        <v>51</v>
      </c>
    </row>
    <row r="687" spans="1:16" ht="18" customHeight="1">
      <c r="A687" s="47" t="s">
        <v>853</v>
      </c>
      <c r="B687" s="48" t="s">
        <v>927</v>
      </c>
      <c r="C687" s="54" t="s">
        <v>928</v>
      </c>
      <c r="D687" s="55">
        <v>285.39999999999998</v>
      </c>
      <c r="E687" s="55">
        <v>14.3</v>
      </c>
      <c r="F687" s="55">
        <v>12.4</v>
      </c>
      <c r="G687" s="55">
        <v>112.1</v>
      </c>
      <c r="H687" s="55">
        <v>104.8</v>
      </c>
      <c r="I687" s="55">
        <v>3</v>
      </c>
      <c r="J687" s="55">
        <v>912.1</v>
      </c>
      <c r="K687" s="55">
        <v>0</v>
      </c>
      <c r="L687" s="55">
        <v>0</v>
      </c>
      <c r="M687" s="55">
        <v>0</v>
      </c>
      <c r="N687" s="55">
        <v>0</v>
      </c>
      <c r="O687" s="55">
        <v>0</v>
      </c>
      <c r="P687" s="47" t="s">
        <v>51</v>
      </c>
    </row>
    <row r="688" spans="1:16" ht="18" customHeight="1">
      <c r="A688" s="47" t="s">
        <v>853</v>
      </c>
      <c r="B688" s="48" t="s">
        <v>929</v>
      </c>
      <c r="C688" s="54" t="s">
        <v>930</v>
      </c>
      <c r="D688" s="55">
        <v>162.6</v>
      </c>
      <c r="E688" s="55">
        <v>8.1999999999999993</v>
      </c>
      <c r="F688" s="55">
        <v>8.1999999999999993</v>
      </c>
      <c r="G688" s="55">
        <v>6.3</v>
      </c>
      <c r="H688" s="55">
        <v>10.7</v>
      </c>
      <c r="I688" s="55">
        <v>1.62</v>
      </c>
      <c r="J688" s="55">
        <v>137.80000000000001</v>
      </c>
      <c r="K688" s="55">
        <v>0.27</v>
      </c>
      <c r="L688" s="55">
        <v>0.06</v>
      </c>
      <c r="M688" s="55">
        <v>1.5</v>
      </c>
      <c r="N688" s="55">
        <v>2.6</v>
      </c>
      <c r="O688" s="55">
        <v>0</v>
      </c>
      <c r="P688" s="47" t="s">
        <v>51</v>
      </c>
    </row>
    <row r="689" spans="1:16" ht="18" customHeight="1">
      <c r="A689" s="47" t="s">
        <v>853</v>
      </c>
      <c r="B689" s="48" t="s">
        <v>1685</v>
      </c>
      <c r="C689" s="54" t="s">
        <v>931</v>
      </c>
      <c r="D689" s="55">
        <v>127</v>
      </c>
      <c r="E689" s="55">
        <v>2.2000000000000002</v>
      </c>
      <c r="F689" s="55">
        <v>32</v>
      </c>
      <c r="G689" s="55">
        <v>0.2</v>
      </c>
      <c r="H689" s="55">
        <v>16</v>
      </c>
      <c r="I689" s="55">
        <v>0.9</v>
      </c>
      <c r="J689" s="55">
        <v>34</v>
      </c>
      <c r="K689" s="55">
        <v>0.13</v>
      </c>
      <c r="L689" s="55">
        <v>0.05</v>
      </c>
      <c r="M689" s="55">
        <v>1.2</v>
      </c>
      <c r="N689" s="55">
        <v>19</v>
      </c>
      <c r="O689" s="55">
        <v>0</v>
      </c>
      <c r="P689" s="47" t="s">
        <v>51</v>
      </c>
    </row>
    <row r="690" spans="1:16" ht="18" customHeight="1">
      <c r="A690" s="47" t="s">
        <v>932</v>
      </c>
      <c r="B690" s="48" t="s">
        <v>1684</v>
      </c>
      <c r="C690" s="54" t="s">
        <v>933</v>
      </c>
      <c r="D690" s="55">
        <v>394</v>
      </c>
      <c r="E690" s="55">
        <v>9.6</v>
      </c>
      <c r="F690" s="55">
        <v>58.3</v>
      </c>
      <c r="G690" s="55">
        <v>12.6</v>
      </c>
      <c r="H690" s="55">
        <v>65</v>
      </c>
      <c r="I690" s="55">
        <v>5.0999999999999996</v>
      </c>
      <c r="J690" s="55">
        <v>31</v>
      </c>
      <c r="K690" s="55">
        <v>0.12</v>
      </c>
      <c r="L690" s="55">
        <v>0.1</v>
      </c>
      <c r="M690" s="55">
        <v>1.2</v>
      </c>
      <c r="N690" s="55">
        <v>0</v>
      </c>
      <c r="O690" s="55">
        <v>0</v>
      </c>
      <c r="P690" s="47" t="s">
        <v>51</v>
      </c>
    </row>
    <row r="691" spans="1:16" ht="18" customHeight="1">
      <c r="A691" s="47" t="s">
        <v>932</v>
      </c>
      <c r="B691" s="48" t="s">
        <v>934</v>
      </c>
      <c r="C691" s="54" t="s">
        <v>935</v>
      </c>
      <c r="D691" s="55">
        <v>60.66</v>
      </c>
      <c r="E691" s="55">
        <v>4.33</v>
      </c>
      <c r="F691" s="55">
        <v>4.9000000000000004</v>
      </c>
      <c r="G691" s="55">
        <v>0.3</v>
      </c>
      <c r="H691" s="55">
        <v>58.82</v>
      </c>
      <c r="I691" s="55">
        <v>0</v>
      </c>
      <c r="J691" s="55">
        <v>0</v>
      </c>
      <c r="K691" s="55">
        <v>0.03</v>
      </c>
      <c r="L691" s="55">
        <v>0.1</v>
      </c>
      <c r="M691" s="55">
        <v>1.2</v>
      </c>
      <c r="N691" s="55">
        <v>0</v>
      </c>
      <c r="O691" s="55">
        <v>0</v>
      </c>
      <c r="P691" s="47" t="s">
        <v>401</v>
      </c>
    </row>
    <row r="692" spans="1:16" ht="18" customHeight="1">
      <c r="A692" s="47" t="s">
        <v>932</v>
      </c>
      <c r="B692" s="48" t="s">
        <v>936</v>
      </c>
      <c r="C692" s="54" t="s">
        <v>937</v>
      </c>
      <c r="D692" s="55">
        <v>50</v>
      </c>
      <c r="E692" s="55">
        <v>8.4</v>
      </c>
      <c r="F692" s="55">
        <v>9.3000000000000007</v>
      </c>
      <c r="G692" s="55">
        <v>0.3</v>
      </c>
      <c r="H692" s="55">
        <v>39</v>
      </c>
      <c r="I692" s="55">
        <v>2.1</v>
      </c>
      <c r="J692" s="55">
        <v>0</v>
      </c>
      <c r="K692" s="55">
        <v>0.03</v>
      </c>
      <c r="L692" s="55">
        <v>0.08</v>
      </c>
      <c r="M692" s="55">
        <v>1.2</v>
      </c>
      <c r="N692" s="55">
        <v>0</v>
      </c>
      <c r="O692" s="55">
        <v>0</v>
      </c>
      <c r="P692" s="47" t="s">
        <v>51</v>
      </c>
    </row>
    <row r="693" spans="1:16" ht="18" customHeight="1">
      <c r="A693" s="47" t="s">
        <v>932</v>
      </c>
      <c r="B693" s="48" t="s">
        <v>938</v>
      </c>
      <c r="C693" s="54" t="s">
        <v>939</v>
      </c>
      <c r="D693" s="55">
        <v>53</v>
      </c>
      <c r="E693" s="55">
        <v>7.7</v>
      </c>
      <c r="F693" s="55">
        <v>4.9000000000000004</v>
      </c>
      <c r="G693" s="55">
        <v>0.3</v>
      </c>
      <c r="H693" s="55">
        <v>39</v>
      </c>
      <c r="I693" s="55">
        <v>2.1</v>
      </c>
      <c r="J693" s="55">
        <v>0</v>
      </c>
      <c r="K693" s="55">
        <v>0.03</v>
      </c>
      <c r="L693" s="55">
        <v>0.08</v>
      </c>
      <c r="M693" s="55">
        <v>1.2</v>
      </c>
      <c r="N693" s="55">
        <v>0</v>
      </c>
      <c r="O693" s="55">
        <v>0</v>
      </c>
      <c r="P693" s="47" t="s">
        <v>51</v>
      </c>
    </row>
    <row r="694" spans="1:16" ht="18" customHeight="1">
      <c r="A694" s="47" t="s">
        <v>932</v>
      </c>
      <c r="B694" s="48" t="s">
        <v>940</v>
      </c>
      <c r="C694" s="54" t="s">
        <v>941</v>
      </c>
      <c r="D694" s="55">
        <v>53</v>
      </c>
      <c r="E694" s="55">
        <v>7.7</v>
      </c>
      <c r="F694" s="55">
        <v>4.9000000000000004</v>
      </c>
      <c r="G694" s="55">
        <v>0.3</v>
      </c>
      <c r="H694" s="55">
        <v>38</v>
      </c>
      <c r="I694" s="55">
        <v>0.9</v>
      </c>
      <c r="J694" s="55">
        <v>0</v>
      </c>
      <c r="K694" s="55">
        <v>0.02</v>
      </c>
      <c r="L694" s="55">
        <v>0.08</v>
      </c>
      <c r="M694" s="55">
        <v>1.2</v>
      </c>
      <c r="N694" s="55">
        <v>0</v>
      </c>
      <c r="O694" s="55">
        <v>0</v>
      </c>
      <c r="P694" s="47" t="s">
        <v>51</v>
      </c>
    </row>
    <row r="695" spans="1:16" ht="18" customHeight="1">
      <c r="A695" s="47" t="s">
        <v>932</v>
      </c>
      <c r="B695" s="48" t="s">
        <v>942</v>
      </c>
      <c r="C695" s="54" t="s">
        <v>943</v>
      </c>
      <c r="D695" s="55">
        <v>50</v>
      </c>
      <c r="E695" s="55">
        <v>6.3</v>
      </c>
      <c r="F695" s="55">
        <v>4.9000000000000004</v>
      </c>
      <c r="G695" s="55">
        <v>0.3</v>
      </c>
      <c r="H695" s="55">
        <v>39</v>
      </c>
      <c r="I695" s="55">
        <v>2.1</v>
      </c>
      <c r="J695" s="55">
        <v>0</v>
      </c>
      <c r="K695" s="55">
        <v>0.03</v>
      </c>
      <c r="L695" s="55">
        <v>0.08</v>
      </c>
      <c r="M695" s="55">
        <v>1.2</v>
      </c>
      <c r="N695" s="55">
        <v>0</v>
      </c>
      <c r="O695" s="55">
        <v>0</v>
      </c>
      <c r="P695" s="47" t="s">
        <v>51</v>
      </c>
    </row>
    <row r="696" spans="1:16" ht="18" customHeight="1">
      <c r="A696" s="47"/>
      <c r="B696" s="48" t="s">
        <v>2235</v>
      </c>
      <c r="C696" s="54"/>
      <c r="D696" s="55">
        <v>55</v>
      </c>
      <c r="E696" s="55">
        <v>0</v>
      </c>
      <c r="F696" s="55">
        <v>14</v>
      </c>
      <c r="G696" s="55">
        <v>0</v>
      </c>
      <c r="H696" s="55"/>
      <c r="I696" s="55"/>
      <c r="J696" s="55"/>
      <c r="K696" s="55"/>
      <c r="L696" s="55"/>
      <c r="M696" s="55"/>
      <c r="N696" s="55"/>
      <c r="O696" s="55"/>
    </row>
    <row r="697" spans="1:16" ht="18" customHeight="1">
      <c r="A697" s="47" t="s">
        <v>932</v>
      </c>
      <c r="B697" s="48" t="s">
        <v>944</v>
      </c>
      <c r="C697" s="54" t="s">
        <v>944</v>
      </c>
      <c r="D697" s="55">
        <v>438</v>
      </c>
      <c r="E697" s="55">
        <v>31</v>
      </c>
      <c r="F697" s="55">
        <v>33.6</v>
      </c>
      <c r="G697" s="55">
        <v>22.5</v>
      </c>
      <c r="H697" s="55">
        <v>353</v>
      </c>
      <c r="I697" s="55">
        <v>8.3000000000000007</v>
      </c>
      <c r="J697" s="55">
        <v>7</v>
      </c>
      <c r="K697" s="55">
        <v>0.52</v>
      </c>
      <c r="L697" s="55">
        <v>0.22</v>
      </c>
      <c r="M697" s="55">
        <v>10.3</v>
      </c>
      <c r="N697" s="55">
        <v>10</v>
      </c>
      <c r="O697" s="55">
        <v>0</v>
      </c>
      <c r="P697" s="47" t="s">
        <v>51</v>
      </c>
    </row>
    <row r="698" spans="1:16" ht="18" customHeight="1">
      <c r="A698" s="47" t="s">
        <v>932</v>
      </c>
      <c r="B698" s="48" t="s">
        <v>945</v>
      </c>
      <c r="C698" s="54" t="s">
        <v>945</v>
      </c>
      <c r="D698" s="55">
        <v>272</v>
      </c>
      <c r="E698" s="55">
        <v>15.8</v>
      </c>
      <c r="F698" s="55">
        <v>57.2</v>
      </c>
      <c r="G698" s="55">
        <v>12.5</v>
      </c>
      <c r="H698" s="55">
        <v>72</v>
      </c>
      <c r="I698" s="55">
        <v>8.1</v>
      </c>
      <c r="J698" s="55">
        <v>3360</v>
      </c>
      <c r="K698" s="55">
        <v>0.42</v>
      </c>
      <c r="L698" s="55">
        <v>1.2</v>
      </c>
      <c r="M698" s="55">
        <v>14.1</v>
      </c>
      <c r="N698" s="55">
        <v>20</v>
      </c>
      <c r="O698" s="55">
        <v>0</v>
      </c>
      <c r="P698" s="47" t="s">
        <v>51</v>
      </c>
    </row>
    <row r="699" spans="1:16" ht="18" customHeight="1">
      <c r="A699" s="47" t="s">
        <v>932</v>
      </c>
      <c r="B699" s="48" t="s">
        <v>946</v>
      </c>
      <c r="C699" s="54" t="s">
        <v>947</v>
      </c>
      <c r="D699" s="55">
        <v>403.66</v>
      </c>
      <c r="E699" s="55">
        <v>15.72</v>
      </c>
      <c r="F699" s="55">
        <v>57.2</v>
      </c>
      <c r="G699" s="55">
        <v>12.5</v>
      </c>
      <c r="H699" s="55">
        <v>144.36000000000001</v>
      </c>
      <c r="I699" s="55">
        <v>0</v>
      </c>
      <c r="J699" s="55">
        <v>1205</v>
      </c>
      <c r="K699" s="55">
        <v>0.43</v>
      </c>
      <c r="L699" s="55">
        <v>1.1499999999999999</v>
      </c>
      <c r="M699" s="55">
        <v>11.33</v>
      </c>
      <c r="N699" s="55">
        <v>20.399999999999999</v>
      </c>
      <c r="O699" s="55">
        <v>0</v>
      </c>
      <c r="P699" s="47" t="s">
        <v>948</v>
      </c>
    </row>
    <row r="700" spans="1:16" ht="18" customHeight="1">
      <c r="A700" s="47" t="s">
        <v>932</v>
      </c>
      <c r="B700" s="48" t="s">
        <v>949</v>
      </c>
      <c r="C700" s="54" t="s">
        <v>947</v>
      </c>
      <c r="D700" s="55">
        <v>403.66</v>
      </c>
      <c r="E700" s="55">
        <v>15.72</v>
      </c>
      <c r="F700" s="55">
        <v>57.2</v>
      </c>
      <c r="G700" s="55">
        <v>12.5</v>
      </c>
      <c r="H700" s="55">
        <v>144.36000000000001</v>
      </c>
      <c r="I700" s="55">
        <v>0</v>
      </c>
      <c r="J700" s="55">
        <v>1205</v>
      </c>
      <c r="K700" s="55">
        <v>0.43</v>
      </c>
      <c r="L700" s="55">
        <v>1.1499999999999999</v>
      </c>
      <c r="M700" s="55">
        <v>11.33</v>
      </c>
      <c r="N700" s="55">
        <v>20.399999999999999</v>
      </c>
      <c r="O700" s="55">
        <v>0</v>
      </c>
      <c r="P700" s="47" t="s">
        <v>147</v>
      </c>
    </row>
    <row r="701" spans="1:16" ht="18" customHeight="1">
      <c r="A701" s="47" t="s">
        <v>932</v>
      </c>
      <c r="B701" s="48" t="s">
        <v>950</v>
      </c>
      <c r="C701" s="54" t="s">
        <v>947</v>
      </c>
      <c r="D701" s="55">
        <v>403.66</v>
      </c>
      <c r="E701" s="55">
        <v>15.72</v>
      </c>
      <c r="F701" s="55">
        <v>57.2</v>
      </c>
      <c r="G701" s="55">
        <v>12.5</v>
      </c>
      <c r="H701" s="55">
        <v>144.36000000000001</v>
      </c>
      <c r="I701" s="55">
        <v>0</v>
      </c>
      <c r="J701" s="55">
        <v>1205</v>
      </c>
      <c r="K701" s="55">
        <v>0.43</v>
      </c>
      <c r="L701" s="55">
        <v>1.1499999999999999</v>
      </c>
      <c r="M701" s="55">
        <v>11.33</v>
      </c>
      <c r="N701" s="55">
        <v>20.399999999999999</v>
      </c>
      <c r="O701" s="55">
        <v>0</v>
      </c>
      <c r="P701" s="47" t="s">
        <v>198</v>
      </c>
    </row>
    <row r="702" spans="1:16" ht="18" customHeight="1">
      <c r="A702" s="47" t="s">
        <v>932</v>
      </c>
      <c r="B702" s="48" t="s">
        <v>951</v>
      </c>
      <c r="C702" s="54" t="s">
        <v>951</v>
      </c>
      <c r="D702" s="55">
        <v>217</v>
      </c>
      <c r="E702" s="55">
        <v>5.9</v>
      </c>
      <c r="F702" s="55">
        <v>47.3</v>
      </c>
      <c r="G702" s="55">
        <v>2.4</v>
      </c>
      <c r="H702" s="55">
        <v>106</v>
      </c>
      <c r="I702" s="55">
        <v>1.9</v>
      </c>
      <c r="J702" s="55">
        <v>389</v>
      </c>
      <c r="K702" s="55">
        <v>0.21</v>
      </c>
      <c r="L702" s="55">
        <v>0.25</v>
      </c>
      <c r="M702" s="55">
        <v>2.7</v>
      </c>
      <c r="N702" s="55">
        <v>0</v>
      </c>
      <c r="O702" s="55">
        <v>0</v>
      </c>
      <c r="P702" s="47" t="s">
        <v>51</v>
      </c>
    </row>
    <row r="703" spans="1:16" ht="18" customHeight="1">
      <c r="A703" s="47" t="s">
        <v>932</v>
      </c>
      <c r="B703" s="48" t="s">
        <v>952</v>
      </c>
      <c r="C703" s="54" t="s">
        <v>952</v>
      </c>
      <c r="D703" s="55">
        <v>593</v>
      </c>
      <c r="E703" s="55">
        <v>18.100000000000001</v>
      </c>
      <c r="F703" s="55">
        <v>13.7</v>
      </c>
      <c r="G703" s="55">
        <v>56.7</v>
      </c>
      <c r="H703" s="55">
        <v>1223</v>
      </c>
      <c r="I703" s="55">
        <v>19</v>
      </c>
      <c r="J703" s="55">
        <v>0</v>
      </c>
      <c r="K703" s="55">
        <v>0.51</v>
      </c>
      <c r="L703" s="55">
        <v>0.14000000000000001</v>
      </c>
      <c r="M703" s="55">
        <v>5</v>
      </c>
      <c r="N703" s="55">
        <v>0</v>
      </c>
      <c r="O703" s="55">
        <v>0</v>
      </c>
      <c r="P703" s="47" t="s">
        <v>51</v>
      </c>
    </row>
    <row r="704" spans="1:16" ht="18" customHeight="1">
      <c r="A704" s="47"/>
      <c r="B704" s="63" t="s">
        <v>1755</v>
      </c>
      <c r="C704" s="54"/>
      <c r="D704" s="55">
        <v>119</v>
      </c>
      <c r="E704" s="55">
        <v>1.1000000000000001</v>
      </c>
      <c r="F704" s="55">
        <v>28.5</v>
      </c>
      <c r="G704" s="55">
        <v>6.4</v>
      </c>
      <c r="H704" s="55">
        <v>0</v>
      </c>
      <c r="I704" s="55">
        <v>0</v>
      </c>
      <c r="J704" s="55">
        <v>0</v>
      </c>
      <c r="K704" s="55">
        <v>0</v>
      </c>
      <c r="L704" s="55">
        <v>0</v>
      </c>
      <c r="M704" s="55">
        <v>0</v>
      </c>
      <c r="N704" s="55">
        <v>0</v>
      </c>
      <c r="O704" s="55">
        <v>0</v>
      </c>
    </row>
    <row r="705" spans="1:16" ht="18" customHeight="1">
      <c r="A705" s="47"/>
      <c r="B705" s="63" t="s">
        <v>1959</v>
      </c>
      <c r="C705" s="54"/>
      <c r="D705" s="55">
        <v>119</v>
      </c>
      <c r="E705" s="55">
        <v>1.1000000000000001</v>
      </c>
      <c r="F705" s="55">
        <v>28.5</v>
      </c>
      <c r="G705" s="55">
        <v>6.4</v>
      </c>
      <c r="H705" s="55">
        <v>0</v>
      </c>
      <c r="I705" s="55">
        <v>0</v>
      </c>
      <c r="J705" s="55">
        <v>0</v>
      </c>
      <c r="K705" s="55">
        <v>0</v>
      </c>
      <c r="L705" s="55">
        <v>0</v>
      </c>
      <c r="M705" s="55">
        <v>0</v>
      </c>
      <c r="N705" s="55">
        <v>0</v>
      </c>
      <c r="O705" s="55">
        <v>0</v>
      </c>
    </row>
    <row r="706" spans="1:16" ht="18" customHeight="1">
      <c r="A706" s="47"/>
      <c r="B706" s="63" t="s">
        <v>1886</v>
      </c>
      <c r="C706" s="54"/>
      <c r="D706" s="55">
        <v>119</v>
      </c>
      <c r="E706" s="55">
        <v>1.1000000000000001</v>
      </c>
      <c r="F706" s="55">
        <v>28.5</v>
      </c>
      <c r="G706" s="55">
        <v>6.4</v>
      </c>
      <c r="H706" s="55">
        <v>0</v>
      </c>
      <c r="I706" s="55">
        <v>0</v>
      </c>
      <c r="J706" s="55">
        <v>0</v>
      </c>
      <c r="K706" s="55">
        <v>0</v>
      </c>
      <c r="L706" s="55">
        <v>0</v>
      </c>
      <c r="M706" s="55">
        <v>0</v>
      </c>
      <c r="N706" s="55">
        <v>0</v>
      </c>
      <c r="O706" s="55">
        <v>0</v>
      </c>
    </row>
    <row r="707" spans="1:16" ht="18" customHeight="1">
      <c r="A707" s="47"/>
      <c r="B707" s="48" t="s">
        <v>1966</v>
      </c>
      <c r="C707" s="54"/>
      <c r="D707" s="55">
        <v>119</v>
      </c>
      <c r="E707" s="55">
        <v>1.1000000000000001</v>
      </c>
      <c r="F707" s="55">
        <v>28.5</v>
      </c>
      <c r="G707" s="55">
        <v>6.4</v>
      </c>
      <c r="H707" s="55">
        <v>0</v>
      </c>
      <c r="I707" s="55">
        <v>0</v>
      </c>
      <c r="J707" s="55">
        <v>0</v>
      </c>
      <c r="K707" s="55">
        <v>0</v>
      </c>
      <c r="L707" s="55">
        <v>0</v>
      </c>
      <c r="M707" s="55">
        <v>0</v>
      </c>
      <c r="N707" s="55">
        <v>0</v>
      </c>
      <c r="O707" s="55">
        <v>0</v>
      </c>
    </row>
    <row r="708" spans="1:16" ht="18" customHeight="1">
      <c r="A708" s="47"/>
      <c r="B708" s="48" t="s">
        <v>2096</v>
      </c>
      <c r="C708" s="54"/>
      <c r="D708" s="55">
        <v>119</v>
      </c>
      <c r="E708" s="55">
        <v>1.1000000000000001</v>
      </c>
      <c r="F708" s="55">
        <v>28.5</v>
      </c>
      <c r="G708" s="55">
        <v>6.4</v>
      </c>
      <c r="H708" s="55">
        <v>0</v>
      </c>
      <c r="I708" s="55">
        <v>0</v>
      </c>
      <c r="J708" s="55">
        <v>0</v>
      </c>
      <c r="K708" s="55">
        <v>0</v>
      </c>
      <c r="L708" s="55">
        <v>0</v>
      </c>
      <c r="M708" s="55">
        <v>0</v>
      </c>
      <c r="N708" s="55">
        <v>0</v>
      </c>
      <c r="O708" s="55">
        <v>0</v>
      </c>
    </row>
    <row r="709" spans="1:16" ht="18" customHeight="1">
      <c r="A709" s="47"/>
      <c r="B709" s="48" t="s">
        <v>1719</v>
      </c>
      <c r="C709" s="54"/>
      <c r="D709" s="55">
        <v>119</v>
      </c>
      <c r="E709" s="55">
        <v>1.1000000000000001</v>
      </c>
      <c r="F709" s="55">
        <v>28.5</v>
      </c>
      <c r="G709" s="55">
        <v>6.4</v>
      </c>
      <c r="H709" s="55">
        <v>0</v>
      </c>
      <c r="I709" s="55">
        <v>0</v>
      </c>
      <c r="J709" s="55">
        <v>0</v>
      </c>
      <c r="K709" s="55">
        <v>0</v>
      </c>
      <c r="L709" s="55">
        <v>0</v>
      </c>
      <c r="M709" s="55">
        <v>0</v>
      </c>
      <c r="N709" s="55">
        <v>0</v>
      </c>
      <c r="O709" s="55">
        <v>0</v>
      </c>
    </row>
    <row r="710" spans="1:16" ht="18" customHeight="1">
      <c r="A710" s="47"/>
      <c r="B710" s="48" t="s">
        <v>1667</v>
      </c>
      <c r="C710" s="54" t="s">
        <v>954</v>
      </c>
      <c r="D710" s="55">
        <v>119</v>
      </c>
      <c r="E710" s="55">
        <v>1.1000000000000001</v>
      </c>
      <c r="F710" s="55">
        <v>28.5</v>
      </c>
      <c r="G710" s="55">
        <v>6.4</v>
      </c>
      <c r="H710" s="55">
        <v>0</v>
      </c>
      <c r="I710" s="55">
        <v>0</v>
      </c>
      <c r="J710" s="55">
        <v>0</v>
      </c>
      <c r="K710" s="55">
        <v>0</v>
      </c>
      <c r="L710" s="55">
        <v>0</v>
      </c>
      <c r="M710" s="55">
        <v>0</v>
      </c>
      <c r="N710" s="55">
        <v>0</v>
      </c>
      <c r="O710" s="55">
        <v>0</v>
      </c>
    </row>
    <row r="711" spans="1:16" ht="18" customHeight="1">
      <c r="A711" s="47"/>
      <c r="B711" s="48" t="s">
        <v>953</v>
      </c>
      <c r="C711" s="54" t="s">
        <v>954</v>
      </c>
      <c r="D711" s="55">
        <v>119</v>
      </c>
      <c r="E711" s="55">
        <v>1.1000000000000001</v>
      </c>
      <c r="F711" s="55">
        <v>28.5</v>
      </c>
      <c r="G711" s="55">
        <v>6.4</v>
      </c>
      <c r="H711" s="55">
        <v>0</v>
      </c>
      <c r="I711" s="55">
        <v>0</v>
      </c>
      <c r="J711" s="55">
        <v>0</v>
      </c>
      <c r="K711" s="55">
        <v>0</v>
      </c>
      <c r="L711" s="55">
        <v>0</v>
      </c>
      <c r="M711" s="55">
        <v>0</v>
      </c>
      <c r="N711" s="55">
        <v>0</v>
      </c>
      <c r="O711" s="55">
        <v>0</v>
      </c>
    </row>
    <row r="712" spans="1:16" ht="18" customHeight="1">
      <c r="A712" s="47" t="s">
        <v>932</v>
      </c>
      <c r="B712" s="48" t="s">
        <v>954</v>
      </c>
      <c r="C712" s="54" t="s">
        <v>954</v>
      </c>
      <c r="D712" s="55">
        <v>119</v>
      </c>
      <c r="E712" s="55">
        <v>1.1000000000000001</v>
      </c>
      <c r="F712" s="55">
        <v>28.5</v>
      </c>
      <c r="G712" s="55">
        <v>0.1</v>
      </c>
      <c r="H712" s="55">
        <v>0</v>
      </c>
      <c r="I712" s="55">
        <v>0</v>
      </c>
      <c r="J712" s="55">
        <v>0</v>
      </c>
      <c r="K712" s="55">
        <v>0</v>
      </c>
      <c r="L712" s="55">
        <v>0</v>
      </c>
      <c r="M712" s="55">
        <v>0</v>
      </c>
      <c r="N712" s="55">
        <v>0</v>
      </c>
      <c r="O712" s="55">
        <v>0</v>
      </c>
      <c r="P712" s="47" t="s">
        <v>51</v>
      </c>
    </row>
    <row r="713" spans="1:16" ht="18" customHeight="1">
      <c r="A713" s="47" t="s">
        <v>932</v>
      </c>
      <c r="B713" s="48" t="s">
        <v>955</v>
      </c>
      <c r="C713" s="54" t="s">
        <v>955</v>
      </c>
      <c r="D713" s="55">
        <v>161</v>
      </c>
      <c r="E713" s="55">
        <v>11.9</v>
      </c>
      <c r="F713" s="55">
        <v>15</v>
      </c>
      <c r="G713" s="55">
        <v>4.7</v>
      </c>
      <c r="H713" s="55">
        <v>53</v>
      </c>
      <c r="I713" s="55">
        <v>1.3</v>
      </c>
      <c r="J713" s="55">
        <v>0</v>
      </c>
      <c r="K713" s="55">
        <v>0.03</v>
      </c>
      <c r="L713" s="55">
        <v>0.1</v>
      </c>
      <c r="M713" s="55">
        <v>1.6</v>
      </c>
      <c r="N713" s="55">
        <v>0</v>
      </c>
      <c r="O713" s="55">
        <v>0</v>
      </c>
      <c r="P713" s="47" t="s">
        <v>51</v>
      </c>
    </row>
    <row r="714" spans="1:16" ht="18" customHeight="1">
      <c r="A714" s="47" t="s">
        <v>932</v>
      </c>
      <c r="B714" s="48" t="s">
        <v>956</v>
      </c>
      <c r="C714" s="54" t="s">
        <v>955</v>
      </c>
      <c r="D714" s="55">
        <v>157</v>
      </c>
      <c r="E714" s="55">
        <v>10.9</v>
      </c>
      <c r="F714" s="55">
        <v>25.3</v>
      </c>
      <c r="G714" s="55">
        <v>2.1</v>
      </c>
      <c r="H714" s="55">
        <v>39</v>
      </c>
      <c r="I714" s="55">
        <v>1.2</v>
      </c>
      <c r="J714" s="55">
        <v>0</v>
      </c>
      <c r="K714" s="55">
        <v>0.15</v>
      </c>
      <c r="L714" s="55">
        <v>0.25</v>
      </c>
      <c r="M714" s="55">
        <v>0.6</v>
      </c>
      <c r="N714" s="55">
        <v>12</v>
      </c>
      <c r="O714" s="55">
        <v>0</v>
      </c>
      <c r="P714" s="47" t="s">
        <v>51</v>
      </c>
    </row>
    <row r="715" spans="1:16" ht="18" customHeight="1">
      <c r="A715" s="47" t="s">
        <v>932</v>
      </c>
      <c r="B715" s="48" t="s">
        <v>957</v>
      </c>
      <c r="C715" s="54" t="s">
        <v>955</v>
      </c>
      <c r="D715" s="55">
        <v>142</v>
      </c>
      <c r="E715" s="55">
        <v>12</v>
      </c>
      <c r="F715" s="55">
        <v>29.6</v>
      </c>
      <c r="G715" s="55">
        <v>4.5999999999999996</v>
      </c>
      <c r="H715" s="55">
        <v>122</v>
      </c>
      <c r="I715" s="55">
        <v>5.0999999999999996</v>
      </c>
      <c r="J715" s="55">
        <v>0</v>
      </c>
      <c r="K715" s="55">
        <v>0.04</v>
      </c>
      <c r="L715" s="55">
        <v>0.2</v>
      </c>
      <c r="M715" s="55">
        <v>1.7</v>
      </c>
      <c r="N715" s="55">
        <v>0</v>
      </c>
      <c r="O715" s="55">
        <v>0</v>
      </c>
      <c r="P715" s="47" t="s">
        <v>51</v>
      </c>
    </row>
    <row r="716" spans="1:16" ht="18" customHeight="1">
      <c r="A716" s="47" t="s">
        <v>932</v>
      </c>
      <c r="B716" s="48" t="s">
        <v>958</v>
      </c>
      <c r="C716" s="54" t="s">
        <v>959</v>
      </c>
      <c r="D716" s="55">
        <v>178</v>
      </c>
      <c r="E716" s="55">
        <v>18.600000000000001</v>
      </c>
      <c r="F716" s="55">
        <v>14.9</v>
      </c>
      <c r="G716" s="55">
        <v>8.6999999999999993</v>
      </c>
      <c r="H716" s="55">
        <v>118</v>
      </c>
      <c r="I716" s="55">
        <v>3.3</v>
      </c>
      <c r="J716" s="55">
        <v>0</v>
      </c>
      <c r="K716" s="55">
        <v>0.06</v>
      </c>
      <c r="L716" s="55">
        <v>0.22</v>
      </c>
      <c r="M716" s="55">
        <v>1.1000000000000001</v>
      </c>
      <c r="N716" s="55">
        <v>0</v>
      </c>
      <c r="O716" s="55">
        <v>0</v>
      </c>
      <c r="P716" s="47" t="s">
        <v>147</v>
      </c>
    </row>
    <row r="717" spans="1:16" ht="18" customHeight="1">
      <c r="A717" s="47" t="s">
        <v>932</v>
      </c>
      <c r="B717" s="48" t="s">
        <v>960</v>
      </c>
      <c r="C717" s="54" t="s">
        <v>961</v>
      </c>
      <c r="D717" s="55">
        <v>181.87</v>
      </c>
      <c r="E717" s="55">
        <v>11.03</v>
      </c>
      <c r="F717" s="55">
        <v>11.7</v>
      </c>
      <c r="G717" s="55">
        <v>8.1999999999999993</v>
      </c>
      <c r="H717" s="55">
        <v>81.540000000000006</v>
      </c>
      <c r="I717" s="55">
        <v>0</v>
      </c>
      <c r="J717" s="55">
        <v>0</v>
      </c>
      <c r="K717" s="55">
        <v>0.03</v>
      </c>
      <c r="L717" s="55">
        <v>0.2</v>
      </c>
      <c r="M717" s="55">
        <v>0</v>
      </c>
      <c r="N717" s="55">
        <v>0</v>
      </c>
      <c r="O717" s="55">
        <v>0</v>
      </c>
      <c r="P717" s="47" t="s">
        <v>147</v>
      </c>
    </row>
    <row r="718" spans="1:16" ht="18" customHeight="1">
      <c r="A718" s="47" t="s">
        <v>932</v>
      </c>
      <c r="B718" s="48" t="s">
        <v>962</v>
      </c>
      <c r="C718" s="54" t="s">
        <v>963</v>
      </c>
      <c r="D718" s="55">
        <v>707</v>
      </c>
      <c r="E718" s="55">
        <v>0.6</v>
      </c>
      <c r="F718" s="55">
        <v>4.2</v>
      </c>
      <c r="G718" s="55">
        <v>70.900000000000006</v>
      </c>
      <c r="H718" s="55">
        <v>21</v>
      </c>
      <c r="I718" s="55">
        <v>0.08</v>
      </c>
      <c r="J718" s="55">
        <v>15</v>
      </c>
      <c r="K718" s="55">
        <v>0.02</v>
      </c>
      <c r="L718" s="55">
        <v>0.03</v>
      </c>
      <c r="M718" s="55">
        <v>0.1</v>
      </c>
      <c r="N718" s="56">
        <v>0</v>
      </c>
      <c r="O718" s="55">
        <v>0</v>
      </c>
      <c r="P718" s="47" t="s">
        <v>51</v>
      </c>
    </row>
    <row r="719" spans="1:16" ht="18" customHeight="1">
      <c r="A719" s="47" t="s">
        <v>932</v>
      </c>
      <c r="B719" s="48" t="s">
        <v>964</v>
      </c>
      <c r="C719" s="54" t="s">
        <v>964</v>
      </c>
      <c r="D719" s="55">
        <v>213</v>
      </c>
      <c r="E719" s="55">
        <v>10</v>
      </c>
      <c r="F719" s="55">
        <v>0.3</v>
      </c>
      <c r="G719" s="55">
        <v>0.6</v>
      </c>
      <c r="H719" s="55">
        <v>412</v>
      </c>
      <c r="I719" s="55">
        <v>4.5999999999999996</v>
      </c>
      <c r="J719" s="55">
        <v>40</v>
      </c>
      <c r="K719" s="55">
        <v>0.38</v>
      </c>
      <c r="L719" s="55">
        <v>0.34</v>
      </c>
      <c r="M719" s="55">
        <v>29</v>
      </c>
      <c r="N719" s="55">
        <v>2</v>
      </c>
      <c r="O719" s="55">
        <v>0</v>
      </c>
      <c r="P719" s="47" t="s">
        <v>51</v>
      </c>
    </row>
    <row r="720" spans="1:16" ht="18" customHeight="1">
      <c r="A720" s="47" t="s">
        <v>932</v>
      </c>
      <c r="B720" s="48" t="s">
        <v>965</v>
      </c>
      <c r="C720" s="54" t="s">
        <v>965</v>
      </c>
      <c r="D720" s="55">
        <v>169</v>
      </c>
      <c r="E720" s="55">
        <v>0.4</v>
      </c>
      <c r="F720" s="55">
        <v>35.5</v>
      </c>
      <c r="G720" s="55">
        <v>0</v>
      </c>
      <c r="H720" s="55">
        <v>2</v>
      </c>
      <c r="I720" s="55">
        <v>0.1</v>
      </c>
      <c r="J720" s="55">
        <v>0</v>
      </c>
      <c r="K720" s="55">
        <v>0.22</v>
      </c>
      <c r="L720" s="55">
        <v>7.0000000000000007E-2</v>
      </c>
      <c r="M720" s="55">
        <v>1.5</v>
      </c>
      <c r="N720" s="55">
        <v>0</v>
      </c>
      <c r="O720" s="55">
        <v>0</v>
      </c>
      <c r="P720" s="47" t="s">
        <v>51</v>
      </c>
    </row>
    <row r="721" spans="1:16" ht="18" customHeight="1">
      <c r="A721" s="47" t="s">
        <v>932</v>
      </c>
      <c r="B721" s="48" t="s">
        <v>966</v>
      </c>
      <c r="C721" s="54" t="s">
        <v>966</v>
      </c>
      <c r="D721" s="55">
        <v>218</v>
      </c>
      <c r="E721" s="55">
        <v>15.1</v>
      </c>
      <c r="F721" s="55">
        <v>34.200000000000003</v>
      </c>
      <c r="G721" s="55">
        <v>10.9</v>
      </c>
      <c r="H721" s="55">
        <v>20</v>
      </c>
      <c r="I721" s="55">
        <v>8.3000000000000007</v>
      </c>
      <c r="J721" s="55">
        <v>19</v>
      </c>
      <c r="K721" s="55">
        <v>0.59</v>
      </c>
      <c r="L721" s="55">
        <v>0.19</v>
      </c>
      <c r="M721" s="55">
        <v>14.9</v>
      </c>
      <c r="N721" s="55">
        <v>5</v>
      </c>
      <c r="O721" s="55">
        <v>0</v>
      </c>
      <c r="P721" s="47" t="s">
        <v>51</v>
      </c>
    </row>
    <row r="722" spans="1:16" ht="18" customHeight="1">
      <c r="A722" s="47" t="s">
        <v>932</v>
      </c>
      <c r="B722" s="48" t="s">
        <v>967</v>
      </c>
      <c r="C722" s="54" t="s">
        <v>968</v>
      </c>
      <c r="D722" s="55">
        <v>27</v>
      </c>
      <c r="E722" s="55">
        <v>0</v>
      </c>
      <c r="F722" s="55">
        <v>3.5</v>
      </c>
      <c r="G722" s="55">
        <v>0</v>
      </c>
      <c r="H722" s="55">
        <v>5</v>
      </c>
      <c r="I722" s="55">
        <v>0.1</v>
      </c>
      <c r="J722" s="55">
        <v>0</v>
      </c>
      <c r="K722" s="55">
        <v>0.01</v>
      </c>
      <c r="L722" s="55">
        <v>0.01</v>
      </c>
      <c r="M722" s="55">
        <v>0.1</v>
      </c>
      <c r="N722" s="55">
        <v>0</v>
      </c>
      <c r="O722" s="55">
        <v>0</v>
      </c>
      <c r="P722" s="47" t="s">
        <v>51</v>
      </c>
    </row>
    <row r="723" spans="1:16" ht="18" customHeight="1">
      <c r="A723" s="47" t="s">
        <v>932</v>
      </c>
      <c r="B723" s="48" t="s">
        <v>968</v>
      </c>
      <c r="C723" s="54" t="s">
        <v>968</v>
      </c>
      <c r="D723" s="55">
        <v>11</v>
      </c>
      <c r="E723" s="55">
        <v>0.2</v>
      </c>
      <c r="F723" s="55">
        <v>2.8</v>
      </c>
      <c r="G723" s="55">
        <v>0</v>
      </c>
      <c r="H723" s="55">
        <v>3</v>
      </c>
      <c r="I723" s="55">
        <v>0.1</v>
      </c>
      <c r="J723" s="55">
        <v>0</v>
      </c>
      <c r="K723" s="55">
        <v>0</v>
      </c>
      <c r="L723" s="55">
        <v>0</v>
      </c>
      <c r="M723" s="55">
        <v>0</v>
      </c>
      <c r="N723" s="55">
        <v>0</v>
      </c>
      <c r="O723" s="55">
        <v>0</v>
      </c>
      <c r="P723" s="47" t="s">
        <v>51</v>
      </c>
    </row>
    <row r="724" spans="1:16" ht="18" customHeight="1">
      <c r="A724" s="47" t="s">
        <v>932</v>
      </c>
      <c r="B724" s="48" t="s">
        <v>969</v>
      </c>
      <c r="C724" s="54" t="s">
        <v>968</v>
      </c>
      <c r="D724" s="55">
        <v>32</v>
      </c>
      <c r="E724" s="55">
        <v>0.2</v>
      </c>
      <c r="F724" s="55">
        <v>0.34</v>
      </c>
      <c r="G724" s="55">
        <v>0</v>
      </c>
      <c r="H724" s="55">
        <v>2</v>
      </c>
      <c r="I724" s="55">
        <v>0.1</v>
      </c>
      <c r="J724" s="55">
        <v>0</v>
      </c>
      <c r="K724" s="55">
        <v>0.01</v>
      </c>
      <c r="L724" s="55">
        <v>0.02</v>
      </c>
      <c r="M724" s="55">
        <v>0.1</v>
      </c>
      <c r="N724" s="55">
        <v>0</v>
      </c>
      <c r="O724" s="55">
        <v>0</v>
      </c>
      <c r="P724" s="47" t="s">
        <v>51</v>
      </c>
    </row>
    <row r="725" spans="1:16" ht="18" customHeight="1">
      <c r="A725" s="47" t="s">
        <v>932</v>
      </c>
      <c r="B725" s="48" t="s">
        <v>970</v>
      </c>
      <c r="C725" s="54" t="s">
        <v>968</v>
      </c>
      <c r="D725" s="55">
        <v>30</v>
      </c>
      <c r="E725" s="55">
        <v>0</v>
      </c>
      <c r="F725" s="55">
        <v>2.8</v>
      </c>
      <c r="G725" s="55">
        <v>0</v>
      </c>
      <c r="H725" s="55">
        <v>2</v>
      </c>
      <c r="I725" s="55">
        <v>0.1</v>
      </c>
      <c r="J725" s="55">
        <v>0</v>
      </c>
      <c r="K725" s="55">
        <v>0</v>
      </c>
      <c r="L725" s="55">
        <v>0</v>
      </c>
      <c r="M725" s="55">
        <v>0</v>
      </c>
      <c r="N725" s="55">
        <v>0</v>
      </c>
      <c r="O725" s="55">
        <v>0</v>
      </c>
      <c r="P725" s="47" t="s">
        <v>51</v>
      </c>
    </row>
    <row r="726" spans="1:16" ht="18" customHeight="1">
      <c r="A726" s="47" t="s">
        <v>932</v>
      </c>
      <c r="B726" s="48" t="s">
        <v>971</v>
      </c>
      <c r="C726" s="54" t="s">
        <v>968</v>
      </c>
      <c r="D726" s="55">
        <v>22</v>
      </c>
      <c r="E726" s="55">
        <v>0</v>
      </c>
      <c r="F726" s="55">
        <v>4.7</v>
      </c>
      <c r="G726" s="55">
        <v>0</v>
      </c>
      <c r="H726" s="55">
        <v>3</v>
      </c>
      <c r="I726" s="55">
        <v>0.2</v>
      </c>
      <c r="J726" s="55">
        <v>0</v>
      </c>
      <c r="K726" s="55">
        <v>0</v>
      </c>
      <c r="L726" s="55">
        <v>0</v>
      </c>
      <c r="M726" s="55">
        <v>0.1</v>
      </c>
      <c r="N726" s="55">
        <v>0</v>
      </c>
      <c r="O726" s="55">
        <v>0</v>
      </c>
      <c r="P726" s="47" t="s">
        <v>51</v>
      </c>
    </row>
    <row r="727" spans="1:16" ht="18" customHeight="1">
      <c r="A727" s="47"/>
      <c r="B727" s="48" t="s">
        <v>2249</v>
      </c>
      <c r="C727" s="54"/>
      <c r="D727" s="55">
        <v>105</v>
      </c>
      <c r="E727" s="55"/>
      <c r="F727" s="55">
        <v>22</v>
      </c>
      <c r="G727" s="55">
        <v>1.7</v>
      </c>
      <c r="H727" s="55"/>
      <c r="I727" s="55"/>
      <c r="J727" s="55"/>
      <c r="K727" s="55"/>
      <c r="L727" s="55"/>
      <c r="M727" s="55"/>
      <c r="N727" s="55"/>
      <c r="O727" s="55"/>
    </row>
    <row r="728" spans="1:16" ht="18" customHeight="1">
      <c r="A728" s="47"/>
      <c r="B728" s="48" t="s">
        <v>2250</v>
      </c>
      <c r="C728" s="54"/>
      <c r="D728" s="55">
        <v>28.9</v>
      </c>
      <c r="E728" s="55">
        <v>0</v>
      </c>
      <c r="F728" s="55">
        <v>7.3</v>
      </c>
      <c r="G728" s="55">
        <v>0</v>
      </c>
      <c r="H728" s="55"/>
      <c r="I728" s="55"/>
      <c r="J728" s="55"/>
      <c r="K728" s="55"/>
      <c r="L728" s="55"/>
      <c r="M728" s="55"/>
      <c r="N728" s="55"/>
      <c r="O728" s="55"/>
    </row>
    <row r="729" spans="1:16" ht="18" customHeight="1">
      <c r="A729" s="47"/>
      <c r="B729" s="48" t="s">
        <v>972</v>
      </c>
      <c r="C729" s="54"/>
      <c r="D729" s="55">
        <v>481</v>
      </c>
      <c r="E729" s="55">
        <v>0.9</v>
      </c>
      <c r="F729" s="55">
        <v>16.100000000000001</v>
      </c>
      <c r="G729" s="55">
        <v>37.4</v>
      </c>
      <c r="H729" s="55">
        <v>14</v>
      </c>
      <c r="I729" s="55">
        <v>0.3</v>
      </c>
      <c r="J729" s="55">
        <v>17</v>
      </c>
      <c r="K729" s="55">
        <v>0.04</v>
      </c>
      <c r="L729" s="55">
        <v>0.02</v>
      </c>
      <c r="M729" s="55">
        <v>0.2</v>
      </c>
      <c r="N729" s="55">
        <v>0</v>
      </c>
      <c r="O729" s="55">
        <v>0</v>
      </c>
    </row>
    <row r="730" spans="1:16" ht="18" customHeight="1">
      <c r="A730" s="47" t="s">
        <v>932</v>
      </c>
      <c r="B730" s="48" t="s">
        <v>1703</v>
      </c>
      <c r="C730" s="54"/>
      <c r="D730" s="55">
        <v>481</v>
      </c>
      <c r="E730" s="55">
        <v>0.9</v>
      </c>
      <c r="F730" s="55">
        <v>11.1</v>
      </c>
      <c r="G730" s="55">
        <v>48.4</v>
      </c>
      <c r="H730" s="55">
        <v>14</v>
      </c>
      <c r="I730" s="55">
        <v>0.3</v>
      </c>
      <c r="J730" s="55">
        <v>17</v>
      </c>
      <c r="K730" s="55">
        <v>0.04</v>
      </c>
      <c r="L730" s="55">
        <v>0.02</v>
      </c>
      <c r="M730" s="55">
        <v>0.2</v>
      </c>
      <c r="N730" s="55">
        <v>0</v>
      </c>
      <c r="O730" s="55">
        <v>0</v>
      </c>
      <c r="P730" s="47" t="s">
        <v>51</v>
      </c>
    </row>
    <row r="731" spans="1:16" ht="18" customHeight="1">
      <c r="A731" s="47" t="s">
        <v>932</v>
      </c>
      <c r="B731" s="48" t="s">
        <v>1971</v>
      </c>
      <c r="C731" s="54"/>
      <c r="D731" s="55">
        <v>90</v>
      </c>
      <c r="E731" s="55">
        <v>0.9</v>
      </c>
      <c r="F731" s="55">
        <v>11.1</v>
      </c>
      <c r="G731" s="55">
        <v>48.4</v>
      </c>
      <c r="H731" s="55">
        <v>14</v>
      </c>
      <c r="I731" s="55">
        <v>0.3</v>
      </c>
      <c r="J731" s="55">
        <v>17</v>
      </c>
      <c r="K731" s="55">
        <v>0.04</v>
      </c>
      <c r="L731" s="55">
        <v>0.02</v>
      </c>
      <c r="M731" s="55">
        <v>0.2</v>
      </c>
      <c r="N731" s="55">
        <v>0</v>
      </c>
      <c r="O731" s="55">
        <v>0</v>
      </c>
      <c r="P731" s="47" t="s">
        <v>51</v>
      </c>
    </row>
    <row r="732" spans="1:16" ht="18" customHeight="1">
      <c r="A732" s="47"/>
      <c r="B732" s="48" t="s">
        <v>1812</v>
      </c>
      <c r="C732" s="54"/>
      <c r="D732" s="55">
        <v>481</v>
      </c>
      <c r="E732" s="55">
        <v>0.9</v>
      </c>
      <c r="F732" s="55">
        <v>11.1</v>
      </c>
      <c r="G732" s="55">
        <v>48.4</v>
      </c>
      <c r="H732" s="55">
        <v>14</v>
      </c>
      <c r="I732" s="55">
        <v>0.3</v>
      </c>
      <c r="J732" s="55">
        <v>17</v>
      </c>
      <c r="K732" s="55">
        <v>0.04</v>
      </c>
      <c r="L732" s="55">
        <v>0.02</v>
      </c>
      <c r="M732" s="55">
        <v>0.2</v>
      </c>
      <c r="N732" s="55">
        <v>0</v>
      </c>
      <c r="O732" s="55">
        <v>0</v>
      </c>
    </row>
    <row r="733" spans="1:16" ht="18" customHeight="1">
      <c r="A733" s="47" t="s">
        <v>932</v>
      </c>
      <c r="B733" s="48" t="s">
        <v>973</v>
      </c>
      <c r="C733" s="54" t="s">
        <v>974</v>
      </c>
      <c r="D733" s="55">
        <v>481</v>
      </c>
      <c r="E733" s="55">
        <v>0.9</v>
      </c>
      <c r="F733" s="55">
        <v>11.1</v>
      </c>
      <c r="G733" s="55">
        <v>48.4</v>
      </c>
      <c r="H733" s="55">
        <v>14</v>
      </c>
      <c r="I733" s="55">
        <v>0.3</v>
      </c>
      <c r="J733" s="55">
        <v>17</v>
      </c>
      <c r="K733" s="55">
        <v>0.04</v>
      </c>
      <c r="L733" s="55">
        <v>0.02</v>
      </c>
      <c r="M733" s="55">
        <v>0.2</v>
      </c>
      <c r="N733" s="55">
        <v>0</v>
      </c>
      <c r="O733" s="55">
        <v>0</v>
      </c>
      <c r="P733" s="47" t="s">
        <v>51</v>
      </c>
    </row>
    <row r="734" spans="1:16" ht="18" customHeight="1">
      <c r="A734" s="47"/>
      <c r="B734" s="48" t="s">
        <v>1752</v>
      </c>
      <c r="C734" s="54"/>
      <c r="D734" s="55">
        <v>481</v>
      </c>
      <c r="E734" s="55">
        <v>0.9</v>
      </c>
      <c r="F734" s="55">
        <v>17.100000000000001</v>
      </c>
      <c r="G734" s="55">
        <v>1.79</v>
      </c>
      <c r="H734" s="55">
        <v>14</v>
      </c>
      <c r="I734" s="55">
        <v>0.3</v>
      </c>
      <c r="J734" s="55">
        <v>17</v>
      </c>
      <c r="K734" s="55">
        <v>0.04</v>
      </c>
      <c r="L734" s="55">
        <v>0.02</v>
      </c>
      <c r="M734" s="55">
        <v>0.2</v>
      </c>
      <c r="N734" s="55">
        <v>0</v>
      </c>
      <c r="O734" s="55">
        <v>0</v>
      </c>
    </row>
    <row r="735" spans="1:16" ht="18" customHeight="1">
      <c r="A735" s="47"/>
      <c r="B735" s="48" t="s">
        <v>975</v>
      </c>
      <c r="C735" s="54"/>
      <c r="D735" s="55">
        <v>481</v>
      </c>
      <c r="E735" s="55">
        <v>0.9</v>
      </c>
      <c r="F735" s="55">
        <v>17.100000000000001</v>
      </c>
      <c r="G735" s="55">
        <v>1.79</v>
      </c>
      <c r="H735" s="55">
        <v>14</v>
      </c>
      <c r="I735" s="55">
        <v>0.3</v>
      </c>
      <c r="J735" s="55">
        <v>17</v>
      </c>
      <c r="K735" s="55">
        <v>0.04</v>
      </c>
      <c r="L735" s="55">
        <v>0.02</v>
      </c>
      <c r="M735" s="55">
        <v>0.2</v>
      </c>
      <c r="N735" s="55">
        <v>0</v>
      </c>
      <c r="O735" s="55">
        <v>0</v>
      </c>
    </row>
    <row r="736" spans="1:16" ht="18" customHeight="1">
      <c r="A736" s="47"/>
      <c r="B736" s="48" t="s">
        <v>1924</v>
      </c>
      <c r="C736" s="54"/>
      <c r="D736" s="55">
        <v>481</v>
      </c>
      <c r="E736" s="55">
        <v>0.9</v>
      </c>
      <c r="F736" s="55">
        <v>17.100000000000001</v>
      </c>
      <c r="G736" s="55">
        <v>1.79</v>
      </c>
      <c r="H736" s="55">
        <v>14</v>
      </c>
      <c r="I736" s="55">
        <v>0.3</v>
      </c>
      <c r="J736" s="55">
        <v>17</v>
      </c>
      <c r="K736" s="55">
        <v>0.04</v>
      </c>
      <c r="L736" s="55">
        <v>0.02</v>
      </c>
      <c r="M736" s="55">
        <v>0.2</v>
      </c>
      <c r="N736" s="55">
        <v>0</v>
      </c>
      <c r="O736" s="55">
        <v>0</v>
      </c>
    </row>
    <row r="737" spans="1:16" ht="18" customHeight="1">
      <c r="A737" s="47" t="s">
        <v>932</v>
      </c>
      <c r="B737" s="48" t="s">
        <v>976</v>
      </c>
      <c r="C737" s="54" t="s">
        <v>976</v>
      </c>
      <c r="D737" s="55">
        <v>332</v>
      </c>
      <c r="E737" s="55">
        <v>11.4</v>
      </c>
      <c r="F737" s="55">
        <v>70.400000000000006</v>
      </c>
      <c r="G737" s="55">
        <v>1.1000000000000001</v>
      </c>
      <c r="H737" s="55">
        <v>440</v>
      </c>
      <c r="I737" s="55">
        <v>6.5</v>
      </c>
      <c r="J737" s="55">
        <v>2</v>
      </c>
      <c r="K737" s="55">
        <v>0.03</v>
      </c>
      <c r="L737" s="55">
        <v>0.17</v>
      </c>
      <c r="M737" s="55">
        <v>0.3</v>
      </c>
      <c r="N737" s="55">
        <v>7</v>
      </c>
      <c r="O737" s="55">
        <v>0</v>
      </c>
      <c r="P737" s="47" t="s">
        <v>51</v>
      </c>
    </row>
    <row r="738" spans="1:16" ht="18" customHeight="1">
      <c r="A738" s="47" t="s">
        <v>932</v>
      </c>
      <c r="B738" s="48" t="s">
        <v>977</v>
      </c>
      <c r="C738" s="54" t="s">
        <v>977</v>
      </c>
      <c r="D738" s="55">
        <v>285</v>
      </c>
      <c r="E738" s="55">
        <v>3</v>
      </c>
      <c r="F738" s="55">
        <v>42.6</v>
      </c>
      <c r="G738" s="55">
        <v>12.3</v>
      </c>
      <c r="H738" s="55">
        <v>58</v>
      </c>
      <c r="I738" s="55">
        <v>0.5</v>
      </c>
      <c r="J738" s="55">
        <v>1</v>
      </c>
      <c r="K738" s="55">
        <v>0.12</v>
      </c>
      <c r="L738" s="55">
        <v>0.03</v>
      </c>
      <c r="M738" s="55">
        <v>0.5</v>
      </c>
      <c r="N738" s="55">
        <v>0</v>
      </c>
      <c r="O738" s="55">
        <v>0</v>
      </c>
      <c r="P738" s="47" t="s">
        <v>51</v>
      </c>
    </row>
    <row r="739" spans="1:16" ht="18" customHeight="1">
      <c r="A739" s="47" t="s">
        <v>932</v>
      </c>
      <c r="B739" s="48" t="s">
        <v>978</v>
      </c>
      <c r="C739" s="54" t="s">
        <v>979</v>
      </c>
      <c r="D739" s="55">
        <v>0</v>
      </c>
      <c r="E739" s="55">
        <v>0</v>
      </c>
      <c r="F739" s="55">
        <v>0</v>
      </c>
      <c r="G739" s="55">
        <v>0</v>
      </c>
      <c r="H739" s="55">
        <v>60</v>
      </c>
      <c r="I739" s="55">
        <v>0</v>
      </c>
      <c r="J739" s="55">
        <v>0</v>
      </c>
      <c r="K739" s="55">
        <v>0</v>
      </c>
      <c r="L739" s="55">
        <v>0</v>
      </c>
      <c r="M739" s="55">
        <v>0</v>
      </c>
      <c r="N739" s="55">
        <v>0</v>
      </c>
      <c r="O739" s="55">
        <v>0</v>
      </c>
      <c r="P739" s="47" t="s">
        <v>51</v>
      </c>
    </row>
    <row r="740" spans="1:16" ht="18" customHeight="1">
      <c r="A740" s="47" t="s">
        <v>932</v>
      </c>
      <c r="B740" s="48" t="s">
        <v>980</v>
      </c>
      <c r="C740" s="54" t="s">
        <v>981</v>
      </c>
      <c r="D740" s="55">
        <v>0</v>
      </c>
      <c r="E740" s="55">
        <v>0</v>
      </c>
      <c r="F740" s="55">
        <v>0</v>
      </c>
      <c r="G740" s="55">
        <v>0</v>
      </c>
      <c r="H740" s="55">
        <v>153</v>
      </c>
      <c r="I740" s="55">
        <v>2.4</v>
      </c>
      <c r="J740" s="55">
        <v>0</v>
      </c>
      <c r="K740" s="55">
        <v>0</v>
      </c>
      <c r="L740" s="55">
        <v>0</v>
      </c>
      <c r="M740" s="55">
        <v>0</v>
      </c>
      <c r="N740" s="55">
        <v>0</v>
      </c>
      <c r="O740" s="55">
        <v>0</v>
      </c>
      <c r="P740" s="47" t="s">
        <v>51</v>
      </c>
    </row>
    <row r="741" spans="1:16" ht="18" customHeight="1">
      <c r="A741" s="47"/>
      <c r="B741" s="48" t="s">
        <v>1797</v>
      </c>
      <c r="C741" s="54" t="s">
        <v>981</v>
      </c>
      <c r="D741" s="55">
        <v>0</v>
      </c>
      <c r="E741" s="55">
        <v>0</v>
      </c>
      <c r="F741" s="55">
        <v>0</v>
      </c>
      <c r="G741" s="55">
        <v>0</v>
      </c>
      <c r="H741" s="55">
        <v>153</v>
      </c>
      <c r="I741" s="55">
        <v>2.4</v>
      </c>
      <c r="J741" s="55">
        <v>0</v>
      </c>
      <c r="K741" s="55">
        <v>0</v>
      </c>
      <c r="L741" s="55">
        <v>0</v>
      </c>
      <c r="M741" s="55">
        <v>0</v>
      </c>
      <c r="N741" s="55">
        <v>0</v>
      </c>
      <c r="O741" s="55">
        <v>0</v>
      </c>
    </row>
    <row r="742" spans="1:16" ht="18" customHeight="1">
      <c r="A742" s="47" t="s">
        <v>932</v>
      </c>
      <c r="B742" s="48" t="s">
        <v>982</v>
      </c>
      <c r="C742" s="54" t="s">
        <v>983</v>
      </c>
      <c r="D742" s="55">
        <v>217</v>
      </c>
      <c r="E742" s="55">
        <v>17.2</v>
      </c>
      <c r="F742" s="55">
        <v>14.5</v>
      </c>
      <c r="G742" s="55">
        <v>10.5</v>
      </c>
      <c r="H742" s="55">
        <v>150</v>
      </c>
      <c r="I742" s="55">
        <v>6.8</v>
      </c>
      <c r="J742" s="55">
        <v>0</v>
      </c>
      <c r="K742" s="55">
        <v>0.04</v>
      </c>
      <c r="L742" s="55">
        <v>0.12</v>
      </c>
      <c r="M742" s="55">
        <v>1.2</v>
      </c>
      <c r="N742" s="55">
        <v>0</v>
      </c>
      <c r="O742" s="55">
        <v>0</v>
      </c>
      <c r="P742" s="47" t="s">
        <v>51</v>
      </c>
    </row>
    <row r="743" spans="1:16" ht="18" customHeight="1">
      <c r="A743" s="47"/>
      <c r="B743" s="48" t="s">
        <v>984</v>
      </c>
      <c r="C743" s="54" t="s">
        <v>985</v>
      </c>
      <c r="D743" s="55">
        <v>184</v>
      </c>
      <c r="E743" s="55">
        <v>13.2</v>
      </c>
      <c r="F743" s="55">
        <v>24.3</v>
      </c>
      <c r="G743" s="55">
        <v>5.7</v>
      </c>
      <c r="H743" s="55">
        <v>60</v>
      </c>
      <c r="I743" s="55">
        <v>2.5</v>
      </c>
      <c r="J743" s="55">
        <v>0</v>
      </c>
      <c r="K743" s="55">
        <v>0.06</v>
      </c>
      <c r="L743" s="55">
        <v>0.12</v>
      </c>
      <c r="M743" s="55">
        <v>1.1000000000000001</v>
      </c>
      <c r="N743" s="55">
        <v>0</v>
      </c>
      <c r="O743" s="55">
        <v>0</v>
      </c>
    </row>
    <row r="744" spans="1:16" ht="18" customHeight="1">
      <c r="A744" s="47" t="s">
        <v>932</v>
      </c>
      <c r="B744" s="48" t="s">
        <v>1728</v>
      </c>
      <c r="C744" s="54" t="s">
        <v>985</v>
      </c>
      <c r="D744" s="55">
        <v>184</v>
      </c>
      <c r="E744" s="55">
        <v>13.2</v>
      </c>
      <c r="F744" s="55">
        <v>10.5</v>
      </c>
      <c r="G744" s="55">
        <v>4.3</v>
      </c>
      <c r="H744" s="55">
        <v>60</v>
      </c>
      <c r="I744" s="55">
        <v>2.5</v>
      </c>
      <c r="J744" s="55">
        <v>0</v>
      </c>
      <c r="K744" s="55">
        <v>0.06</v>
      </c>
      <c r="L744" s="55">
        <v>0.12</v>
      </c>
      <c r="M744" s="55">
        <v>1.1000000000000001</v>
      </c>
      <c r="N744" s="55">
        <v>0</v>
      </c>
      <c r="O744" s="55">
        <v>0</v>
      </c>
      <c r="P744" s="47" t="s">
        <v>51</v>
      </c>
    </row>
    <row r="745" spans="1:16" ht="18" customHeight="1">
      <c r="A745" s="47" t="s">
        <v>932</v>
      </c>
      <c r="B745" s="48" t="s">
        <v>1945</v>
      </c>
      <c r="C745" s="54" t="s">
        <v>985</v>
      </c>
      <c r="D745" s="55">
        <v>184</v>
      </c>
      <c r="E745" s="55">
        <v>13.2</v>
      </c>
      <c r="F745" s="55">
        <v>10.5</v>
      </c>
      <c r="G745" s="55">
        <v>4.3</v>
      </c>
      <c r="H745" s="55">
        <v>60</v>
      </c>
      <c r="I745" s="55">
        <v>2.5</v>
      </c>
      <c r="J745" s="55">
        <v>0</v>
      </c>
      <c r="K745" s="55">
        <v>0.06</v>
      </c>
      <c r="L745" s="55">
        <v>0.12</v>
      </c>
      <c r="M745" s="55">
        <v>1.1000000000000001</v>
      </c>
      <c r="N745" s="55">
        <v>0</v>
      </c>
      <c r="O745" s="55">
        <v>0</v>
      </c>
      <c r="P745" s="47" t="s">
        <v>51</v>
      </c>
    </row>
    <row r="746" spans="1:16" ht="18" customHeight="1">
      <c r="A746" s="47" t="s">
        <v>932</v>
      </c>
      <c r="B746" s="48" t="s">
        <v>986</v>
      </c>
      <c r="C746" s="54" t="s">
        <v>987</v>
      </c>
      <c r="D746" s="55">
        <v>46</v>
      </c>
      <c r="E746" s="55">
        <v>2</v>
      </c>
      <c r="F746" s="55">
        <v>8.5</v>
      </c>
      <c r="G746" s="55">
        <v>0.7</v>
      </c>
      <c r="H746" s="55">
        <v>18</v>
      </c>
      <c r="I746" s="55">
        <v>0.9</v>
      </c>
      <c r="J746" s="55">
        <v>158</v>
      </c>
      <c r="K746" s="55">
        <v>0.09</v>
      </c>
      <c r="L746" s="55">
        <v>0.08</v>
      </c>
      <c r="M746" s="55">
        <v>1.3</v>
      </c>
      <c r="N746" s="55">
        <v>10</v>
      </c>
      <c r="O746" s="55">
        <v>0</v>
      </c>
      <c r="P746" s="47" t="s">
        <v>51</v>
      </c>
    </row>
    <row r="747" spans="1:16" ht="18" customHeight="1">
      <c r="A747" s="47" t="s">
        <v>932</v>
      </c>
      <c r="B747" s="48" t="s">
        <v>1944</v>
      </c>
      <c r="C747" s="54" t="s">
        <v>987</v>
      </c>
      <c r="D747" s="55">
        <v>46</v>
      </c>
      <c r="E747" s="55">
        <v>2</v>
      </c>
      <c r="F747" s="55">
        <v>8.5</v>
      </c>
      <c r="G747" s="55">
        <v>0.7</v>
      </c>
      <c r="H747" s="55">
        <v>18</v>
      </c>
      <c r="I747" s="55">
        <v>0.9</v>
      </c>
      <c r="J747" s="55">
        <v>158</v>
      </c>
      <c r="K747" s="55">
        <v>0.09</v>
      </c>
      <c r="L747" s="55">
        <v>0.08</v>
      </c>
      <c r="M747" s="55">
        <v>1.3</v>
      </c>
      <c r="N747" s="55">
        <v>10</v>
      </c>
      <c r="O747" s="55">
        <v>0</v>
      </c>
      <c r="P747" s="47" t="s">
        <v>51</v>
      </c>
    </row>
    <row r="748" spans="1:16" ht="18" customHeight="1">
      <c r="A748" s="47"/>
      <c r="B748" s="48" t="s">
        <v>988</v>
      </c>
      <c r="C748" s="54"/>
      <c r="D748" s="55">
        <v>919</v>
      </c>
      <c r="E748" s="55">
        <v>0.1</v>
      </c>
      <c r="F748" s="55">
        <v>55</v>
      </c>
      <c r="G748" s="55">
        <v>50</v>
      </c>
      <c r="H748" s="55">
        <v>0</v>
      </c>
      <c r="I748" s="55">
        <v>0.1</v>
      </c>
      <c r="J748" s="55">
        <v>98</v>
      </c>
      <c r="K748" s="55">
        <v>0</v>
      </c>
      <c r="L748" s="55">
        <v>0</v>
      </c>
      <c r="M748" s="55">
        <v>0.1</v>
      </c>
      <c r="N748" s="55">
        <v>0</v>
      </c>
      <c r="O748" s="55">
        <v>0</v>
      </c>
    </row>
    <row r="749" spans="1:16" ht="18" customHeight="1">
      <c r="A749" s="47" t="s">
        <v>932</v>
      </c>
      <c r="B749" s="48" t="s">
        <v>989</v>
      </c>
      <c r="C749" s="54" t="s">
        <v>989</v>
      </c>
      <c r="D749" s="55">
        <v>919</v>
      </c>
      <c r="E749" s="55">
        <v>0.1</v>
      </c>
      <c r="F749" s="55">
        <v>5.2</v>
      </c>
      <c r="G749" s="55">
        <v>99.8</v>
      </c>
      <c r="H749" s="55">
        <v>0</v>
      </c>
      <c r="I749" s="55">
        <v>0.1</v>
      </c>
      <c r="J749" s="55">
        <v>98</v>
      </c>
      <c r="K749" s="55">
        <v>0</v>
      </c>
      <c r="L749" s="55">
        <v>0</v>
      </c>
      <c r="M749" s="55">
        <v>0.1</v>
      </c>
      <c r="N749" s="55">
        <v>0</v>
      </c>
      <c r="O749" s="55">
        <v>0</v>
      </c>
      <c r="P749" s="47" t="s">
        <v>51</v>
      </c>
    </row>
    <row r="750" spans="1:16" ht="18" customHeight="1">
      <c r="A750" s="47" t="s">
        <v>932</v>
      </c>
      <c r="B750" s="48" t="s">
        <v>1725</v>
      </c>
      <c r="C750" s="54" t="s">
        <v>990</v>
      </c>
      <c r="D750" s="55">
        <v>306</v>
      </c>
      <c r="E750" s="55">
        <v>11.3</v>
      </c>
      <c r="F750" s="55">
        <v>66.3</v>
      </c>
      <c r="G750" s="55">
        <v>4.0999999999999996</v>
      </c>
      <c r="H750" s="55">
        <v>281</v>
      </c>
      <c r="I750" s="55">
        <v>19.5</v>
      </c>
      <c r="J750" s="55">
        <v>22</v>
      </c>
      <c r="K750" s="55">
        <v>0.11</v>
      </c>
      <c r="L750" s="55">
        <v>0.22</v>
      </c>
      <c r="M750" s="55">
        <v>1.1000000000000001</v>
      </c>
      <c r="N750" s="55">
        <v>0</v>
      </c>
      <c r="O750" s="55">
        <v>0</v>
      </c>
      <c r="P750" s="47" t="s">
        <v>51</v>
      </c>
    </row>
    <row r="751" spans="1:16" ht="18" customHeight="1">
      <c r="A751" s="47" t="s">
        <v>932</v>
      </c>
      <c r="B751" s="48" t="s">
        <v>1727</v>
      </c>
      <c r="C751" s="54"/>
      <c r="D751" s="55">
        <v>206</v>
      </c>
      <c r="E751" s="55">
        <v>11.3</v>
      </c>
      <c r="F751" s="55">
        <v>66.3</v>
      </c>
      <c r="G751" s="55">
        <v>4.0999999999999996</v>
      </c>
      <c r="H751" s="55">
        <v>281</v>
      </c>
      <c r="I751" s="55">
        <v>19.5</v>
      </c>
      <c r="J751" s="55">
        <v>22</v>
      </c>
      <c r="K751" s="55">
        <v>0.11</v>
      </c>
      <c r="L751" s="55">
        <v>0.22</v>
      </c>
      <c r="M751" s="55">
        <v>1.1000000000000001</v>
      </c>
      <c r="N751" s="55">
        <v>0</v>
      </c>
      <c r="O751" s="55">
        <v>0</v>
      </c>
      <c r="P751" s="47" t="s">
        <v>51</v>
      </c>
    </row>
    <row r="752" spans="1:16" ht="18" customHeight="1">
      <c r="A752" s="47" t="s">
        <v>932</v>
      </c>
      <c r="B752" s="48" t="s">
        <v>1742</v>
      </c>
      <c r="C752" s="54"/>
      <c r="D752" s="55">
        <v>206</v>
      </c>
      <c r="E752" s="55">
        <v>11.3</v>
      </c>
      <c r="F752" s="55">
        <v>66.3</v>
      </c>
      <c r="G752" s="55">
        <v>4.0999999999999996</v>
      </c>
      <c r="H752" s="55">
        <v>281</v>
      </c>
      <c r="I752" s="55">
        <v>19.5</v>
      </c>
      <c r="J752" s="55">
        <v>22</v>
      </c>
      <c r="K752" s="55">
        <v>0.11</v>
      </c>
      <c r="L752" s="55">
        <v>0.22</v>
      </c>
      <c r="M752" s="55">
        <v>1.1000000000000001</v>
      </c>
      <c r="N752" s="55">
        <v>0</v>
      </c>
      <c r="O752" s="55">
        <v>0</v>
      </c>
      <c r="P752" s="47" t="s">
        <v>51</v>
      </c>
    </row>
    <row r="753" spans="1:16" ht="18" customHeight="1">
      <c r="A753" s="47" t="s">
        <v>932</v>
      </c>
      <c r="B753" s="48" t="s">
        <v>1726</v>
      </c>
      <c r="C753" s="54"/>
      <c r="D753" s="55">
        <v>206</v>
      </c>
      <c r="E753" s="55">
        <v>11.3</v>
      </c>
      <c r="F753" s="55">
        <v>66.3</v>
      </c>
      <c r="G753" s="55">
        <v>4.0999999999999996</v>
      </c>
      <c r="H753" s="55">
        <v>281</v>
      </c>
      <c r="I753" s="55">
        <v>19.5</v>
      </c>
      <c r="J753" s="55">
        <v>22</v>
      </c>
      <c r="K753" s="55">
        <v>0.11</v>
      </c>
      <c r="L753" s="55">
        <v>0.22</v>
      </c>
      <c r="M753" s="55">
        <v>1.1000000000000001</v>
      </c>
      <c r="N753" s="55">
        <v>0</v>
      </c>
      <c r="O753" s="55">
        <v>0</v>
      </c>
      <c r="P753" s="47" t="s">
        <v>51</v>
      </c>
    </row>
    <row r="754" spans="1:16" ht="18" customHeight="1">
      <c r="A754" s="47" t="s">
        <v>932</v>
      </c>
      <c r="B754" s="48" t="s">
        <v>990</v>
      </c>
      <c r="C754" s="54" t="s">
        <v>990</v>
      </c>
      <c r="D754" s="55">
        <v>306</v>
      </c>
      <c r="E754" s="55">
        <v>11.3</v>
      </c>
      <c r="F754" s="55">
        <v>66.3</v>
      </c>
      <c r="G754" s="55">
        <v>4.0999999999999996</v>
      </c>
      <c r="H754" s="55">
        <v>281</v>
      </c>
      <c r="I754" s="55">
        <v>19.5</v>
      </c>
      <c r="J754" s="55">
        <v>22</v>
      </c>
      <c r="K754" s="55">
        <v>0.11</v>
      </c>
      <c r="L754" s="55">
        <v>0.22</v>
      </c>
      <c r="M754" s="55">
        <v>1.1000000000000001</v>
      </c>
      <c r="N754" s="55">
        <v>0</v>
      </c>
      <c r="O754" s="55">
        <v>0</v>
      </c>
      <c r="P754" s="47" t="s">
        <v>51</v>
      </c>
    </row>
    <row r="755" spans="1:16" ht="18" customHeight="1">
      <c r="A755" s="47" t="s">
        <v>991</v>
      </c>
      <c r="B755" s="48" t="s">
        <v>992</v>
      </c>
      <c r="C755" s="54" t="s">
        <v>993</v>
      </c>
      <c r="D755" s="55">
        <v>540</v>
      </c>
      <c r="E755" s="55">
        <v>16</v>
      </c>
      <c r="F755" s="55">
        <v>3.77</v>
      </c>
      <c r="G755" s="55">
        <v>39.5</v>
      </c>
      <c r="H755" s="55">
        <v>276</v>
      </c>
      <c r="I755" s="55">
        <v>7.5</v>
      </c>
      <c r="J755" s="55">
        <v>2</v>
      </c>
      <c r="K755" s="55">
        <v>0.2</v>
      </c>
      <c r="L755" s="55">
        <v>0.5</v>
      </c>
      <c r="M755" s="55">
        <v>6</v>
      </c>
      <c r="N755" s="55">
        <v>0</v>
      </c>
      <c r="O755" s="55">
        <v>0</v>
      </c>
      <c r="P755" s="47" t="s">
        <v>51</v>
      </c>
    </row>
    <row r="756" spans="1:16" ht="18" customHeight="1">
      <c r="A756" s="47" t="s">
        <v>991</v>
      </c>
      <c r="B756" s="48" t="s">
        <v>994</v>
      </c>
      <c r="C756" s="54" t="s">
        <v>995</v>
      </c>
      <c r="D756" s="55">
        <v>570</v>
      </c>
      <c r="E756" s="55">
        <v>26</v>
      </c>
      <c r="F756" s="55">
        <v>19.7</v>
      </c>
      <c r="G756" s="55">
        <v>49.5</v>
      </c>
      <c r="H756" s="55">
        <v>56</v>
      </c>
      <c r="I756" s="55">
        <v>1.6</v>
      </c>
      <c r="J756" s="55">
        <v>0</v>
      </c>
      <c r="K756" s="55">
        <v>0.35</v>
      </c>
      <c r="L756" s="55">
        <v>0.1</v>
      </c>
      <c r="M756" s="55">
        <v>18</v>
      </c>
      <c r="N756" s="55">
        <v>0</v>
      </c>
      <c r="O756" s="55">
        <v>0</v>
      </c>
      <c r="P756" s="47" t="s">
        <v>51</v>
      </c>
    </row>
    <row r="757" spans="1:16" ht="18" customHeight="1">
      <c r="A757" s="47" t="s">
        <v>991</v>
      </c>
      <c r="B757" s="48" t="s">
        <v>996</v>
      </c>
      <c r="C757" s="54" t="s">
        <v>997</v>
      </c>
      <c r="D757" s="55">
        <v>369</v>
      </c>
      <c r="E757" s="55">
        <v>15.5</v>
      </c>
      <c r="F757" s="55">
        <v>21.3</v>
      </c>
      <c r="G757" s="55">
        <v>37.340000000000003</v>
      </c>
      <c r="H757" s="55">
        <v>43</v>
      </c>
      <c r="I757" s="55">
        <v>1.3</v>
      </c>
      <c r="J757" s="55">
        <v>0</v>
      </c>
      <c r="K757" s="55">
        <v>0.48</v>
      </c>
      <c r="L757" s="55">
        <v>0.08</v>
      </c>
      <c r="M757" s="55">
        <v>10</v>
      </c>
      <c r="N757" s="55">
        <v>0</v>
      </c>
      <c r="O757" s="55">
        <v>0</v>
      </c>
      <c r="P757" s="47" t="s">
        <v>51</v>
      </c>
    </row>
    <row r="758" spans="1:16" ht="18" customHeight="1">
      <c r="A758" s="47" t="s">
        <v>991</v>
      </c>
      <c r="B758" s="48" t="s">
        <v>998</v>
      </c>
      <c r="C758" s="54" t="s">
        <v>999</v>
      </c>
      <c r="D758" s="55">
        <v>567</v>
      </c>
      <c r="E758" s="55">
        <v>25.8</v>
      </c>
      <c r="F758" s="55">
        <v>49.3</v>
      </c>
      <c r="G758" s="55">
        <v>47.34</v>
      </c>
      <c r="H758" s="55">
        <v>92</v>
      </c>
      <c r="I758" s="55">
        <v>4.5999999999999996</v>
      </c>
      <c r="J758" s="55">
        <v>0</v>
      </c>
      <c r="K758" s="55">
        <v>0.64</v>
      </c>
      <c r="L758" s="55">
        <v>0.14000000000000001</v>
      </c>
      <c r="M758" s="55">
        <v>12.1</v>
      </c>
      <c r="N758" s="55">
        <v>0</v>
      </c>
      <c r="O758" s="55">
        <v>0</v>
      </c>
      <c r="P758" s="47" t="s">
        <v>51</v>
      </c>
    </row>
    <row r="759" spans="1:16" ht="18" customHeight="1">
      <c r="A759" s="47" t="s">
        <v>991</v>
      </c>
      <c r="B759" s="48" t="s">
        <v>1000</v>
      </c>
      <c r="C759" s="54" t="s">
        <v>1000</v>
      </c>
      <c r="D759" s="55">
        <v>587</v>
      </c>
      <c r="E759" s="55">
        <v>26.6</v>
      </c>
      <c r="F759" s="55">
        <v>19.7</v>
      </c>
      <c r="G759" s="55">
        <v>49.5</v>
      </c>
      <c r="H759" s="55">
        <v>50</v>
      </c>
      <c r="I759" s="55">
        <v>1.7</v>
      </c>
      <c r="J759" s="55">
        <v>1</v>
      </c>
      <c r="K759" s="55">
        <v>0.23</v>
      </c>
      <c r="L759" s="55">
        <v>0.1</v>
      </c>
      <c r="M759" s="55">
        <v>17</v>
      </c>
      <c r="N759" s="55">
        <v>0</v>
      </c>
      <c r="O759" s="55">
        <v>0</v>
      </c>
      <c r="P759" s="47" t="s">
        <v>51</v>
      </c>
    </row>
    <row r="760" spans="1:16" ht="18" customHeight="1">
      <c r="A760" s="47" t="s">
        <v>991</v>
      </c>
      <c r="B760" s="48" t="s">
        <v>1001</v>
      </c>
      <c r="C760" s="54" t="s">
        <v>1002</v>
      </c>
      <c r="D760" s="55">
        <v>569</v>
      </c>
      <c r="E760" s="55">
        <v>25.9</v>
      </c>
      <c r="F760" s="55">
        <v>19.899999999999999</v>
      </c>
      <c r="G760" s="55">
        <v>47.35</v>
      </c>
      <c r="H760" s="55">
        <v>56</v>
      </c>
      <c r="I760" s="55">
        <v>1.6</v>
      </c>
      <c r="J760" s="55">
        <v>0</v>
      </c>
      <c r="K760" s="55">
        <v>0.35</v>
      </c>
      <c r="L760" s="55">
        <v>0.1</v>
      </c>
      <c r="M760" s="55">
        <v>19.100000000000001</v>
      </c>
      <c r="N760" s="55">
        <v>0</v>
      </c>
      <c r="O760" s="55">
        <v>0</v>
      </c>
      <c r="P760" s="47" t="s">
        <v>51</v>
      </c>
    </row>
    <row r="761" spans="1:16" ht="18" customHeight="1">
      <c r="A761" s="47" t="s">
        <v>991</v>
      </c>
      <c r="B761" s="48" t="s">
        <v>1003</v>
      </c>
      <c r="C761" s="54" t="s">
        <v>1004</v>
      </c>
      <c r="D761" s="55">
        <v>43</v>
      </c>
      <c r="E761" s="55">
        <v>0.2</v>
      </c>
      <c r="F761" s="55">
        <v>10.199999999999999</v>
      </c>
      <c r="G761" s="55">
        <v>0.2</v>
      </c>
      <c r="H761" s="55">
        <v>6</v>
      </c>
      <c r="I761" s="55">
        <v>0.4</v>
      </c>
      <c r="J761" s="55">
        <v>0</v>
      </c>
      <c r="K761" s="55">
        <v>0.01</v>
      </c>
      <c r="L761" s="55">
        <v>0.02</v>
      </c>
      <c r="M761" s="55">
        <v>0</v>
      </c>
      <c r="N761" s="55">
        <v>0</v>
      </c>
      <c r="O761" s="55">
        <v>0</v>
      </c>
      <c r="P761" s="47" t="s">
        <v>51</v>
      </c>
    </row>
    <row r="762" spans="1:16" ht="18" customHeight="1">
      <c r="A762" s="47" t="s">
        <v>991</v>
      </c>
      <c r="B762" s="48" t="s">
        <v>1005</v>
      </c>
      <c r="C762" s="54" t="s">
        <v>1006</v>
      </c>
      <c r="D762" s="55">
        <v>157</v>
      </c>
      <c r="E762" s="55">
        <v>3.2</v>
      </c>
      <c r="F762" s="55">
        <v>21.1</v>
      </c>
      <c r="G762" s="55">
        <v>0.26</v>
      </c>
      <c r="H762" s="55">
        <v>22</v>
      </c>
      <c r="I762" s="55">
        <v>0.6</v>
      </c>
      <c r="J762" s="55">
        <v>8</v>
      </c>
      <c r="K762" s="55">
        <v>0.24</v>
      </c>
      <c r="L762" s="55">
        <v>0.12</v>
      </c>
      <c r="M762" s="55">
        <v>0.8</v>
      </c>
      <c r="N762" s="55">
        <v>17</v>
      </c>
      <c r="O762" s="55">
        <v>15</v>
      </c>
      <c r="P762" s="47" t="s">
        <v>51</v>
      </c>
    </row>
    <row r="763" spans="1:16" ht="18" customHeight="1">
      <c r="A763" s="47" t="s">
        <v>991</v>
      </c>
      <c r="B763" s="48" t="s">
        <v>1007</v>
      </c>
      <c r="C763" s="54" t="s">
        <v>1008</v>
      </c>
      <c r="D763" s="55">
        <v>162</v>
      </c>
      <c r="E763" s="55">
        <v>3.2</v>
      </c>
      <c r="F763" s="55">
        <v>37</v>
      </c>
      <c r="G763" s="55">
        <v>0.44</v>
      </c>
      <c r="H763" s="55">
        <v>28</v>
      </c>
      <c r="I763" s="55">
        <v>1.6</v>
      </c>
      <c r="J763" s="55">
        <v>8</v>
      </c>
      <c r="K763" s="55">
        <v>0.25</v>
      </c>
      <c r="L763" s="55">
        <v>0.08</v>
      </c>
      <c r="M763" s="55">
        <v>1</v>
      </c>
      <c r="N763" s="55">
        <v>12</v>
      </c>
      <c r="O763" s="55">
        <v>0</v>
      </c>
      <c r="P763" s="47" t="s">
        <v>51</v>
      </c>
    </row>
    <row r="764" spans="1:16" ht="18" customHeight="1">
      <c r="A764" s="47" t="s">
        <v>991</v>
      </c>
      <c r="B764" s="48" t="s">
        <v>1009</v>
      </c>
      <c r="C764" s="54" t="s">
        <v>1010</v>
      </c>
      <c r="D764" s="55">
        <v>597</v>
      </c>
      <c r="E764" s="55">
        <v>18.600000000000001</v>
      </c>
      <c r="F764" s="55">
        <v>19.7</v>
      </c>
      <c r="G764" s="55">
        <v>27.59</v>
      </c>
      <c r="H764" s="55">
        <v>54.1</v>
      </c>
      <c r="I764" s="55">
        <v>254</v>
      </c>
      <c r="J764" s="55">
        <v>4.4000000000000004</v>
      </c>
      <c r="K764" s="55">
        <v>0</v>
      </c>
      <c r="L764" s="55">
        <v>0.25</v>
      </c>
      <c r="M764" s="55">
        <v>0.27</v>
      </c>
      <c r="N764" s="55">
        <v>4.5999999999999996</v>
      </c>
      <c r="O764" s="55">
        <v>0</v>
      </c>
      <c r="P764" s="47" t="s">
        <v>51</v>
      </c>
    </row>
    <row r="765" spans="1:16" ht="18" customHeight="1">
      <c r="A765" s="47" t="s">
        <v>991</v>
      </c>
      <c r="B765" s="48" t="s">
        <v>1930</v>
      </c>
      <c r="C765" s="54" t="s">
        <v>1010</v>
      </c>
      <c r="D765" s="55">
        <v>597</v>
      </c>
      <c r="E765" s="55">
        <v>18.600000000000001</v>
      </c>
      <c r="F765" s="55">
        <v>19.7</v>
      </c>
      <c r="G765" s="55">
        <v>27.59</v>
      </c>
      <c r="H765" s="55">
        <v>54.1</v>
      </c>
      <c r="I765" s="55">
        <v>254</v>
      </c>
      <c r="J765" s="55">
        <v>4.4000000000000004</v>
      </c>
      <c r="K765" s="55">
        <v>0</v>
      </c>
      <c r="L765" s="55">
        <v>0.25</v>
      </c>
      <c r="M765" s="55">
        <v>0.27</v>
      </c>
      <c r="N765" s="55">
        <v>4.5999999999999996</v>
      </c>
      <c r="O765" s="55">
        <v>0</v>
      </c>
      <c r="P765" s="47" t="s">
        <v>51</v>
      </c>
    </row>
    <row r="766" spans="1:16" ht="18" customHeight="1">
      <c r="A766" s="47" t="s">
        <v>991</v>
      </c>
      <c r="B766" s="48" t="s">
        <v>1011</v>
      </c>
      <c r="C766" s="54" t="s">
        <v>1012</v>
      </c>
      <c r="D766" s="55">
        <v>183</v>
      </c>
      <c r="E766" s="55">
        <v>5.4</v>
      </c>
      <c r="F766" s="55">
        <v>37.4</v>
      </c>
      <c r="G766" s="55">
        <v>1.55</v>
      </c>
      <c r="H766" s="55">
        <v>5</v>
      </c>
      <c r="I766" s="55">
        <v>1.1000000000000001</v>
      </c>
      <c r="J766" s="55">
        <v>15</v>
      </c>
      <c r="K766" s="55">
        <v>0.4</v>
      </c>
      <c r="L766" s="55">
        <v>0.04</v>
      </c>
      <c r="M766" s="55">
        <v>1.6</v>
      </c>
      <c r="N766" s="55">
        <v>14</v>
      </c>
      <c r="O766" s="55">
        <v>9</v>
      </c>
      <c r="P766" s="47" t="s">
        <v>51</v>
      </c>
    </row>
    <row r="767" spans="1:16" ht="18" customHeight="1">
      <c r="A767" s="47"/>
      <c r="B767" s="48" t="s">
        <v>1013</v>
      </c>
      <c r="C767" s="54" t="s">
        <v>1014</v>
      </c>
      <c r="D767" s="55">
        <v>183</v>
      </c>
      <c r="E767" s="55">
        <v>5.4</v>
      </c>
      <c r="F767" s="55">
        <v>12.6</v>
      </c>
      <c r="G767" s="55">
        <v>25.38</v>
      </c>
      <c r="H767" s="55">
        <v>5</v>
      </c>
      <c r="I767" s="55">
        <v>1.1000000000000001</v>
      </c>
      <c r="J767" s="55">
        <v>15</v>
      </c>
      <c r="K767" s="55">
        <v>0.4</v>
      </c>
      <c r="L767" s="55">
        <v>0.04</v>
      </c>
      <c r="M767" s="55">
        <v>1.6</v>
      </c>
      <c r="N767" s="55">
        <v>14</v>
      </c>
      <c r="O767" s="55">
        <v>9</v>
      </c>
    </row>
    <row r="768" spans="1:16" ht="18" customHeight="1">
      <c r="A768" s="47" t="s">
        <v>991</v>
      </c>
      <c r="B768" s="48" t="s">
        <v>1015</v>
      </c>
      <c r="C768" s="54" t="s">
        <v>1016</v>
      </c>
      <c r="D768" s="55">
        <v>665</v>
      </c>
      <c r="E768" s="55">
        <v>14.7</v>
      </c>
      <c r="F768" s="55">
        <v>73.400000000000006</v>
      </c>
      <c r="G768" s="55">
        <v>68.2</v>
      </c>
      <c r="H768" s="55">
        <v>18</v>
      </c>
      <c r="I768" s="55">
        <v>5.8</v>
      </c>
      <c r="J768" s="55">
        <v>0</v>
      </c>
      <c r="K768" s="55">
        <v>0.56000000000000005</v>
      </c>
      <c r="L768" s="55">
        <v>0.18</v>
      </c>
      <c r="M768" s="55">
        <v>3.6</v>
      </c>
      <c r="N768" s="55">
        <v>0</v>
      </c>
      <c r="O768" s="55">
        <v>0</v>
      </c>
      <c r="P768" s="47" t="s">
        <v>51</v>
      </c>
    </row>
    <row r="769" spans="1:16" ht="18" customHeight="1">
      <c r="A769" s="47" t="s">
        <v>991</v>
      </c>
      <c r="B769" s="48" t="s">
        <v>1017</v>
      </c>
      <c r="C769" s="54" t="s">
        <v>1018</v>
      </c>
      <c r="D769" s="55">
        <v>552</v>
      </c>
      <c r="E769" s="55">
        <v>18.8</v>
      </c>
      <c r="F769" s="55">
        <v>21.2</v>
      </c>
      <c r="G769" s="55">
        <v>49.9</v>
      </c>
      <c r="H769" s="55">
        <v>1245</v>
      </c>
      <c r="I769" s="55">
        <v>10.5</v>
      </c>
      <c r="J769" s="55">
        <v>0</v>
      </c>
      <c r="K769" s="55">
        <v>0.55000000000000004</v>
      </c>
      <c r="L769" s="55">
        <v>0.2</v>
      </c>
      <c r="M769" s="55">
        <v>5.6</v>
      </c>
      <c r="N769" s="55">
        <v>0</v>
      </c>
      <c r="O769" s="55">
        <v>0</v>
      </c>
      <c r="P769" s="47" t="s">
        <v>51</v>
      </c>
    </row>
    <row r="770" spans="1:16" ht="18" customHeight="1">
      <c r="A770" s="47" t="s">
        <v>991</v>
      </c>
      <c r="B770" s="48" t="s">
        <v>1019</v>
      </c>
      <c r="C770" s="54" t="s">
        <v>1020</v>
      </c>
      <c r="D770" s="55">
        <v>580</v>
      </c>
      <c r="E770" s="55">
        <v>19.3</v>
      </c>
      <c r="F770" s="55">
        <v>21.2</v>
      </c>
      <c r="G770" s="55">
        <v>53.8</v>
      </c>
      <c r="H770" s="55">
        <v>1149</v>
      </c>
      <c r="I770" s="55">
        <v>10.9</v>
      </c>
      <c r="J770" s="55">
        <v>2</v>
      </c>
      <c r="K770" s="55">
        <v>0.55000000000000004</v>
      </c>
      <c r="L770" s="55">
        <v>0.22</v>
      </c>
      <c r="M770" s="55">
        <v>5.2</v>
      </c>
      <c r="N770" s="55">
        <v>0</v>
      </c>
      <c r="O770" s="55">
        <v>0</v>
      </c>
      <c r="P770" s="47" t="s">
        <v>51</v>
      </c>
    </row>
    <row r="771" spans="1:16" ht="18" customHeight="1">
      <c r="A771" s="47" t="s">
        <v>991</v>
      </c>
      <c r="B771" s="48" t="s">
        <v>1021</v>
      </c>
      <c r="C771" s="54" t="s">
        <v>1022</v>
      </c>
      <c r="D771" s="55">
        <v>565</v>
      </c>
      <c r="E771" s="55">
        <v>20.399999999999999</v>
      </c>
      <c r="F771" s="55">
        <v>21.2</v>
      </c>
      <c r="G771" s="55">
        <v>50.7</v>
      </c>
      <c r="H771" s="55">
        <v>1066</v>
      </c>
      <c r="I771" s="55">
        <v>9.1</v>
      </c>
      <c r="J771" s="55">
        <v>2</v>
      </c>
      <c r="K771" s="55">
        <v>0.4</v>
      </c>
      <c r="L771" s="55">
        <v>0.13</v>
      </c>
      <c r="M771" s="55">
        <v>5</v>
      </c>
      <c r="N771" s="55">
        <v>0</v>
      </c>
      <c r="O771" s="55">
        <v>0</v>
      </c>
      <c r="P771" s="47" t="s">
        <v>51</v>
      </c>
    </row>
    <row r="772" spans="1:16" ht="18" customHeight="1">
      <c r="A772" s="47" t="s">
        <v>991</v>
      </c>
      <c r="B772" s="48" t="s">
        <v>1759</v>
      </c>
      <c r="C772" s="54" t="s">
        <v>1023</v>
      </c>
      <c r="D772" s="55">
        <v>259</v>
      </c>
      <c r="E772" s="55">
        <v>18.399999999999999</v>
      </c>
      <c r="F772" s="55">
        <v>21.2</v>
      </c>
      <c r="G772" s="55">
        <v>51.4</v>
      </c>
      <c r="H772" s="55">
        <v>1237</v>
      </c>
      <c r="I772" s="55">
        <v>11.4</v>
      </c>
      <c r="J772" s="55">
        <v>0</v>
      </c>
      <c r="K772" s="55">
        <v>0.53</v>
      </c>
      <c r="L772" s="55">
        <v>0.16</v>
      </c>
      <c r="M772" s="55">
        <v>5.0999999999999996</v>
      </c>
      <c r="N772" s="55">
        <v>0</v>
      </c>
      <c r="O772" s="55">
        <v>0</v>
      </c>
      <c r="P772" s="47" t="s">
        <v>51</v>
      </c>
    </row>
    <row r="773" spans="1:16" ht="18" customHeight="1">
      <c r="A773" s="47" t="s">
        <v>991</v>
      </c>
      <c r="B773" s="48" t="s">
        <v>1021</v>
      </c>
      <c r="C773" s="54" t="s">
        <v>1023</v>
      </c>
      <c r="D773" s="55">
        <v>559</v>
      </c>
      <c r="E773" s="55">
        <v>18.399999999999999</v>
      </c>
      <c r="F773" s="55">
        <v>21.2</v>
      </c>
      <c r="G773" s="55">
        <v>51.4</v>
      </c>
      <c r="H773" s="55">
        <v>1237</v>
      </c>
      <c r="I773" s="55">
        <v>11.4</v>
      </c>
      <c r="J773" s="55">
        <v>0</v>
      </c>
      <c r="K773" s="55">
        <v>0.53</v>
      </c>
      <c r="L773" s="55">
        <v>0.16</v>
      </c>
      <c r="M773" s="55">
        <v>5.0999999999999996</v>
      </c>
      <c r="N773" s="55">
        <v>0</v>
      </c>
      <c r="O773" s="55">
        <v>0</v>
      </c>
      <c r="P773" s="47" t="s">
        <v>51</v>
      </c>
    </row>
    <row r="774" spans="1:16" ht="18" customHeight="1">
      <c r="A774" s="47" t="s">
        <v>991</v>
      </c>
      <c r="B774" s="48" t="s">
        <v>1024</v>
      </c>
      <c r="C774" s="54" t="s">
        <v>1025</v>
      </c>
      <c r="D774" s="55">
        <v>652</v>
      </c>
      <c r="E774" s="55">
        <v>15.4</v>
      </c>
      <c r="F774" s="55">
        <v>12.6</v>
      </c>
      <c r="G774" s="55">
        <v>30.02</v>
      </c>
      <c r="H774" s="55">
        <v>92</v>
      </c>
      <c r="I774" s="55">
        <v>2.2000000000000002</v>
      </c>
      <c r="J774" s="55">
        <v>4</v>
      </c>
      <c r="K774" s="55">
        <v>0.24</v>
      </c>
      <c r="L774" s="55">
        <v>0.09</v>
      </c>
      <c r="M774" s="55">
        <v>1.1000000000000001</v>
      </c>
      <c r="N774" s="55">
        <v>0</v>
      </c>
      <c r="O774" s="55">
        <v>55</v>
      </c>
      <c r="P774" s="47" t="s">
        <v>51</v>
      </c>
    </row>
    <row r="775" spans="1:16" ht="18" customHeight="1">
      <c r="A775" s="47" t="s">
        <v>1026</v>
      </c>
      <c r="B775" s="48" t="s">
        <v>1027</v>
      </c>
      <c r="C775" s="54" t="s">
        <v>1028</v>
      </c>
      <c r="D775" s="55">
        <v>317</v>
      </c>
      <c r="E775" s="55">
        <v>12</v>
      </c>
      <c r="F775" s="55">
        <v>0.3</v>
      </c>
      <c r="G775" s="55">
        <v>0</v>
      </c>
      <c r="H775" s="55">
        <v>55</v>
      </c>
      <c r="I775" s="55">
        <v>13.9</v>
      </c>
      <c r="J775" s="55">
        <v>0</v>
      </c>
      <c r="K775" s="55">
        <v>0</v>
      </c>
      <c r="L775" s="55">
        <v>7.0000000000000007E-2</v>
      </c>
      <c r="M775" s="55">
        <v>6.2</v>
      </c>
      <c r="N775" s="55">
        <v>0</v>
      </c>
      <c r="O775" s="55">
        <v>0</v>
      </c>
      <c r="P775" s="47" t="s">
        <v>51</v>
      </c>
    </row>
    <row r="776" spans="1:16" ht="18" customHeight="1">
      <c r="A776" s="47" t="s">
        <v>1026</v>
      </c>
      <c r="B776" s="48" t="s">
        <v>1029</v>
      </c>
      <c r="C776" s="54" t="s">
        <v>1028</v>
      </c>
      <c r="D776" s="55">
        <v>37</v>
      </c>
      <c r="E776" s="55">
        <v>9.3000000000000007</v>
      </c>
      <c r="F776" s="55">
        <v>138.80000000000001</v>
      </c>
      <c r="G776" s="55">
        <v>8</v>
      </c>
      <c r="H776" s="55">
        <v>11</v>
      </c>
      <c r="I776" s="55">
        <v>2.7</v>
      </c>
      <c r="J776" s="55">
        <v>0</v>
      </c>
      <c r="K776" s="55">
        <v>0</v>
      </c>
      <c r="L776" s="55">
        <v>7.0000000000000007E-2</v>
      </c>
      <c r="M776" s="55">
        <v>6.2</v>
      </c>
      <c r="N776" s="55">
        <v>0</v>
      </c>
      <c r="O776" s="55">
        <v>0</v>
      </c>
      <c r="P776" s="47" t="s">
        <v>51</v>
      </c>
    </row>
    <row r="777" spans="1:16" ht="18" customHeight="1">
      <c r="A777" s="47" t="s">
        <v>1026</v>
      </c>
      <c r="B777" s="48" t="s">
        <v>1030</v>
      </c>
      <c r="C777" s="54" t="s">
        <v>1028</v>
      </c>
      <c r="D777" s="55">
        <v>334</v>
      </c>
      <c r="E777" s="55">
        <v>28.3</v>
      </c>
      <c r="F777" s="55">
        <v>78.7</v>
      </c>
      <c r="G777" s="55">
        <v>1.8</v>
      </c>
      <c r="H777" s="55">
        <v>245</v>
      </c>
      <c r="I777" s="55">
        <v>18.899999999999999</v>
      </c>
      <c r="J777" s="55">
        <v>698</v>
      </c>
      <c r="K777" s="55">
        <v>0.38</v>
      </c>
      <c r="L777" s="55">
        <v>1.24</v>
      </c>
      <c r="M777" s="55">
        <v>4.5999999999999996</v>
      </c>
      <c r="N777" s="55">
        <v>23</v>
      </c>
      <c r="O777" s="55">
        <v>0</v>
      </c>
      <c r="P777" s="47" t="s">
        <v>51</v>
      </c>
    </row>
    <row r="778" spans="1:16" ht="18" customHeight="1">
      <c r="A778" s="47" t="s">
        <v>1026</v>
      </c>
      <c r="B778" s="48" t="s">
        <v>1031</v>
      </c>
      <c r="C778" s="54" t="s">
        <v>1032</v>
      </c>
      <c r="D778" s="55">
        <v>251</v>
      </c>
      <c r="E778" s="55">
        <v>0.2</v>
      </c>
      <c r="F778" s="55">
        <v>18.05</v>
      </c>
      <c r="G778" s="55">
        <v>0.01</v>
      </c>
      <c r="H778" s="55">
        <v>23</v>
      </c>
      <c r="I778" s="55">
        <v>0.3</v>
      </c>
      <c r="J778" s="55">
        <v>0</v>
      </c>
      <c r="K778" s="55">
        <v>0.03</v>
      </c>
      <c r="L778" s="55">
        <v>0.02</v>
      </c>
      <c r="M778" s="55">
        <v>0.2</v>
      </c>
      <c r="N778" s="55">
        <v>34</v>
      </c>
      <c r="O778" s="55">
        <v>0</v>
      </c>
      <c r="P778" s="47" t="s">
        <v>51</v>
      </c>
    </row>
    <row r="779" spans="1:16" s="68" customFormat="1" ht="18" customHeight="1">
      <c r="A779" s="64" t="s">
        <v>1026</v>
      </c>
      <c r="B779" s="65" t="s">
        <v>1033</v>
      </c>
      <c r="C779" s="66" t="s">
        <v>1032</v>
      </c>
      <c r="D779" s="67">
        <v>394</v>
      </c>
      <c r="E779" s="67">
        <v>0.9</v>
      </c>
      <c r="F779" s="67">
        <v>96.7</v>
      </c>
      <c r="G779" s="67">
        <v>0.4</v>
      </c>
      <c r="H779" s="67">
        <v>3</v>
      </c>
      <c r="I779" s="67">
        <v>1</v>
      </c>
      <c r="J779" s="67">
        <v>0</v>
      </c>
      <c r="K779" s="67">
        <v>0.11</v>
      </c>
      <c r="L779" s="67">
        <v>0.2</v>
      </c>
      <c r="M779" s="67">
        <v>1</v>
      </c>
      <c r="N779" s="67">
        <v>0</v>
      </c>
      <c r="O779" s="67">
        <v>0</v>
      </c>
      <c r="P779" s="64" t="s">
        <v>51</v>
      </c>
    </row>
    <row r="780" spans="1:16" ht="18" customHeight="1">
      <c r="A780" s="47" t="s">
        <v>1026</v>
      </c>
      <c r="B780" s="48" t="s">
        <v>1034</v>
      </c>
      <c r="C780" s="54" t="s">
        <v>1035</v>
      </c>
      <c r="D780" s="55">
        <v>400</v>
      </c>
      <c r="E780" s="55">
        <v>7.6</v>
      </c>
      <c r="F780" s="55">
        <v>76.400000000000006</v>
      </c>
      <c r="G780" s="55">
        <v>7.4</v>
      </c>
      <c r="H780" s="55">
        <v>29</v>
      </c>
      <c r="I780" s="55">
        <v>1</v>
      </c>
      <c r="J780" s="55">
        <v>0</v>
      </c>
      <c r="K780" s="55">
        <v>0.09</v>
      </c>
      <c r="L780" s="55">
        <v>0.1</v>
      </c>
      <c r="M780" s="55">
        <v>1.2</v>
      </c>
      <c r="N780" s="55">
        <v>0</v>
      </c>
      <c r="O780" s="55">
        <v>0</v>
      </c>
      <c r="P780" s="47" t="s">
        <v>51</v>
      </c>
    </row>
    <row r="781" spans="1:16" ht="18" customHeight="1">
      <c r="A781" s="47" t="s">
        <v>1026</v>
      </c>
      <c r="B781" s="48" t="s">
        <v>1036</v>
      </c>
      <c r="C781" s="54" t="s">
        <v>1037</v>
      </c>
      <c r="D781" s="55">
        <v>330</v>
      </c>
      <c r="E781" s="55">
        <v>10.6</v>
      </c>
      <c r="F781" s="55">
        <v>67</v>
      </c>
      <c r="G781" s="55">
        <v>4.9000000000000004</v>
      </c>
      <c r="H781" s="55">
        <v>533</v>
      </c>
      <c r="I781" s="55">
        <v>18.2</v>
      </c>
      <c r="J781" s="55">
        <v>0</v>
      </c>
      <c r="K781" s="55">
        <v>0.9</v>
      </c>
      <c r="L781" s="55">
        <v>0.8</v>
      </c>
      <c r="M781" s="55">
        <v>9</v>
      </c>
      <c r="N781" s="55">
        <v>0</v>
      </c>
      <c r="O781" s="55">
        <v>0</v>
      </c>
      <c r="P781" s="47" t="s">
        <v>51</v>
      </c>
    </row>
    <row r="782" spans="1:16" ht="18" customHeight="1">
      <c r="A782" s="47" t="s">
        <v>1038</v>
      </c>
      <c r="B782" s="48" t="s">
        <v>1039</v>
      </c>
      <c r="C782" s="54" t="s">
        <v>1040</v>
      </c>
      <c r="D782" s="55">
        <v>16</v>
      </c>
      <c r="E782" s="55">
        <v>0.8</v>
      </c>
      <c r="F782" s="55">
        <v>3.8</v>
      </c>
      <c r="G782" s="55">
        <v>0.1</v>
      </c>
      <c r="H782" s="55">
        <v>18</v>
      </c>
      <c r="I782" s="55">
        <v>0.2</v>
      </c>
      <c r="J782" s="55">
        <v>6</v>
      </c>
      <c r="K782" s="55">
        <v>0.03</v>
      </c>
      <c r="L782" s="55">
        <v>0.02</v>
      </c>
      <c r="M782" s="55">
        <v>0.4</v>
      </c>
      <c r="N782" s="55">
        <v>4</v>
      </c>
      <c r="O782" s="55">
        <v>10</v>
      </c>
      <c r="P782" s="47" t="s">
        <v>51</v>
      </c>
    </row>
    <row r="783" spans="1:16" ht="18" customHeight="1">
      <c r="A783" s="47" t="s">
        <v>1038</v>
      </c>
      <c r="B783" s="48" t="s">
        <v>1041</v>
      </c>
      <c r="C783" s="54" t="s">
        <v>1041</v>
      </c>
      <c r="D783" s="55">
        <v>26</v>
      </c>
      <c r="E783" s="55">
        <v>2.5</v>
      </c>
      <c r="F783" s="55">
        <v>7.3</v>
      </c>
      <c r="G783" s="55">
        <v>0.2</v>
      </c>
      <c r="H783" s="55">
        <v>141</v>
      </c>
      <c r="I783" s="55">
        <v>2.6</v>
      </c>
      <c r="J783" s="55">
        <v>392</v>
      </c>
      <c r="K783" s="55">
        <v>7.0000000000000007E-2</v>
      </c>
      <c r="L783" s="55">
        <v>0.18</v>
      </c>
      <c r="M783" s="55">
        <v>0.7</v>
      </c>
      <c r="N783" s="55">
        <v>95</v>
      </c>
      <c r="O783" s="55">
        <v>11</v>
      </c>
      <c r="P783" s="47" t="s">
        <v>51</v>
      </c>
    </row>
    <row r="784" spans="1:16" ht="18" customHeight="1">
      <c r="A784" s="47" t="s">
        <v>1038</v>
      </c>
      <c r="B784" s="48" t="s">
        <v>1042</v>
      </c>
      <c r="C784" s="54"/>
      <c r="D784" s="55">
        <v>32</v>
      </c>
      <c r="E784" s="55">
        <v>1.7</v>
      </c>
      <c r="F784" s="55">
        <v>71.599999999999994</v>
      </c>
      <c r="G784" s="55">
        <v>4</v>
      </c>
      <c r="H784" s="55">
        <v>62</v>
      </c>
      <c r="I784" s="55">
        <v>0.4</v>
      </c>
      <c r="J784" s="55">
        <v>105</v>
      </c>
      <c r="K784" s="55">
        <v>0.05</v>
      </c>
      <c r="L784" s="55">
        <v>0.05</v>
      </c>
      <c r="M784" s="55">
        <v>0.4</v>
      </c>
      <c r="N784" s="55">
        <v>6</v>
      </c>
      <c r="O784" s="55">
        <v>5</v>
      </c>
    </row>
    <row r="785" spans="1:16" ht="18" customHeight="1">
      <c r="A785" s="47" t="s">
        <v>1038</v>
      </c>
      <c r="B785" s="48" t="s">
        <v>1043</v>
      </c>
      <c r="C785" s="54" t="s">
        <v>1044</v>
      </c>
      <c r="D785" s="55">
        <v>7</v>
      </c>
      <c r="E785" s="55">
        <v>1.1000000000000001</v>
      </c>
      <c r="F785" s="55">
        <v>23.4</v>
      </c>
      <c r="G785" s="55">
        <v>0.15</v>
      </c>
      <c r="H785" s="57">
        <v>82</v>
      </c>
      <c r="I785" s="55">
        <v>0.6</v>
      </c>
      <c r="J785" s="55">
        <v>2</v>
      </c>
      <c r="K785" s="55">
        <v>0.05</v>
      </c>
      <c r="L785" s="57">
        <v>0.01</v>
      </c>
      <c r="M785" s="57">
        <v>0.3</v>
      </c>
      <c r="N785" s="55">
        <v>9</v>
      </c>
      <c r="O785" s="55">
        <v>44</v>
      </c>
      <c r="P785" s="47" t="s">
        <v>51</v>
      </c>
    </row>
    <row r="786" spans="1:16" ht="18" customHeight="1">
      <c r="A786" s="47" t="s">
        <v>1038</v>
      </c>
      <c r="B786" s="48" t="s">
        <v>1045</v>
      </c>
      <c r="C786" s="54" t="s">
        <v>1045</v>
      </c>
      <c r="D786" s="55">
        <v>40</v>
      </c>
      <c r="E786" s="55">
        <v>3.5</v>
      </c>
      <c r="F786" s="55">
        <v>5.8</v>
      </c>
      <c r="G786" s="55">
        <v>0.5</v>
      </c>
      <c r="H786" s="55">
        <v>101</v>
      </c>
      <c r="I786" s="55">
        <v>6.6</v>
      </c>
      <c r="J786" s="55">
        <v>112</v>
      </c>
      <c r="K786" s="55">
        <v>0.09</v>
      </c>
      <c r="L786" s="55">
        <v>0.12</v>
      </c>
      <c r="M786" s="55">
        <v>0.7</v>
      </c>
      <c r="N786" s="55">
        <v>19</v>
      </c>
      <c r="O786" s="55">
        <v>35</v>
      </c>
      <c r="P786" s="47" t="s">
        <v>51</v>
      </c>
    </row>
    <row r="787" spans="1:16" ht="18" customHeight="1">
      <c r="A787" s="47" t="s">
        <v>1038</v>
      </c>
      <c r="B787" s="48" t="s">
        <v>1046</v>
      </c>
      <c r="C787" s="54" t="s">
        <v>1047</v>
      </c>
      <c r="D787" s="55">
        <v>240</v>
      </c>
      <c r="E787" s="55">
        <v>17.3</v>
      </c>
      <c r="F787" s="55">
        <v>64</v>
      </c>
      <c r="G787" s="55">
        <v>1.3</v>
      </c>
      <c r="H787" s="55">
        <v>189</v>
      </c>
      <c r="I787" s="55">
        <v>8</v>
      </c>
      <c r="J787" s="55">
        <v>22</v>
      </c>
      <c r="K787" s="55">
        <v>0.05</v>
      </c>
      <c r="L787" s="55">
        <v>0.43</v>
      </c>
      <c r="M787" s="55">
        <v>8.8000000000000007</v>
      </c>
      <c r="N787" s="55">
        <v>0</v>
      </c>
      <c r="O787" s="55">
        <v>0</v>
      </c>
      <c r="P787" s="47" t="s">
        <v>51</v>
      </c>
    </row>
    <row r="788" spans="1:16" ht="18" customHeight="1">
      <c r="A788" s="47" t="s">
        <v>1038</v>
      </c>
      <c r="B788" s="48" t="s">
        <v>1048</v>
      </c>
      <c r="C788" s="54" t="s">
        <v>1049</v>
      </c>
      <c r="D788" s="55">
        <v>19</v>
      </c>
      <c r="E788" s="55">
        <v>2.5</v>
      </c>
      <c r="F788" s="55">
        <v>6.84</v>
      </c>
      <c r="G788" s="55">
        <v>0.26</v>
      </c>
      <c r="H788" s="55">
        <v>12</v>
      </c>
      <c r="I788" s="55">
        <v>1.2</v>
      </c>
      <c r="J788" s="55">
        <v>0</v>
      </c>
      <c r="K788" s="55">
        <v>0</v>
      </c>
      <c r="L788" s="55">
        <v>0.28999999999999998</v>
      </c>
      <c r="M788" s="55">
        <v>0.7</v>
      </c>
      <c r="N788" s="55">
        <v>0</v>
      </c>
      <c r="O788" s="55">
        <v>0</v>
      </c>
      <c r="P788" s="47" t="s">
        <v>51</v>
      </c>
    </row>
    <row r="789" spans="1:16" ht="18" customHeight="1">
      <c r="A789" s="47" t="s">
        <v>1038</v>
      </c>
      <c r="B789" s="48" t="s">
        <v>1050</v>
      </c>
      <c r="C789" s="54" t="s">
        <v>1051</v>
      </c>
      <c r="D789" s="55">
        <v>228</v>
      </c>
      <c r="E789" s="55">
        <v>25.8</v>
      </c>
      <c r="F789" s="55">
        <v>54.2</v>
      </c>
      <c r="G789" s="55">
        <v>0.6</v>
      </c>
      <c r="H789" s="55">
        <v>188</v>
      </c>
      <c r="I789" s="55">
        <v>6.4</v>
      </c>
      <c r="J789" s="55">
        <v>32</v>
      </c>
      <c r="K789" s="55">
        <v>0.11</v>
      </c>
      <c r="L789" s="55">
        <v>0.51</v>
      </c>
      <c r="M789" s="55">
        <v>7.4</v>
      </c>
      <c r="N789" s="55">
        <v>0</v>
      </c>
      <c r="O789" s="55">
        <v>0</v>
      </c>
      <c r="P789" s="47" t="s">
        <v>51</v>
      </c>
    </row>
    <row r="790" spans="1:16" ht="18" customHeight="1">
      <c r="A790" s="47" t="s">
        <v>1038</v>
      </c>
      <c r="B790" s="48" t="s">
        <v>1052</v>
      </c>
      <c r="C790" s="54" t="s">
        <v>1053</v>
      </c>
      <c r="D790" s="55">
        <v>21</v>
      </c>
      <c r="E790" s="55">
        <v>3.2</v>
      </c>
      <c r="F790" s="55">
        <v>3.55</v>
      </c>
      <c r="G790" s="55">
        <v>0.24</v>
      </c>
      <c r="H790" s="55">
        <v>15</v>
      </c>
      <c r="I790" s="55">
        <v>1.4</v>
      </c>
      <c r="J790" s="55">
        <v>7</v>
      </c>
      <c r="K790" s="55">
        <v>0</v>
      </c>
      <c r="L790" s="55">
        <v>0.02</v>
      </c>
      <c r="M790" s="55">
        <v>0</v>
      </c>
      <c r="N790" s="55">
        <v>0</v>
      </c>
      <c r="O790" s="55">
        <v>0</v>
      </c>
      <c r="P790" s="47" t="s">
        <v>51</v>
      </c>
    </row>
    <row r="791" spans="1:16" ht="18" customHeight="1">
      <c r="A791" s="47" t="s">
        <v>1038</v>
      </c>
      <c r="B791" s="48" t="s">
        <v>1054</v>
      </c>
      <c r="C791" s="54" t="s">
        <v>1055</v>
      </c>
      <c r="D791" s="55">
        <v>20</v>
      </c>
      <c r="E791" s="55">
        <v>1.9</v>
      </c>
      <c r="F791" s="55">
        <v>6</v>
      </c>
      <c r="G791" s="55">
        <v>0.2</v>
      </c>
      <c r="H791" s="55">
        <v>15</v>
      </c>
      <c r="I791" s="55">
        <v>0.4</v>
      </c>
      <c r="J791" s="55">
        <v>129</v>
      </c>
      <c r="K791" s="55">
        <v>0.08</v>
      </c>
      <c r="L791" s="55">
        <v>0.04</v>
      </c>
      <c r="M791" s="55">
        <v>1.3</v>
      </c>
      <c r="N791" s="55">
        <v>67</v>
      </c>
      <c r="O791" s="55">
        <v>7</v>
      </c>
      <c r="P791" s="47" t="s">
        <v>51</v>
      </c>
    </row>
    <row r="792" spans="1:16" ht="18" customHeight="1">
      <c r="A792" s="47" t="s">
        <v>1038</v>
      </c>
      <c r="B792" s="48" t="s">
        <v>1918</v>
      </c>
      <c r="C792" s="54" t="s">
        <v>1055</v>
      </c>
      <c r="D792" s="55">
        <v>20</v>
      </c>
      <c r="E792" s="55">
        <v>1.9</v>
      </c>
      <c r="F792" s="55">
        <v>6</v>
      </c>
      <c r="G792" s="55">
        <v>0.2</v>
      </c>
      <c r="H792" s="55">
        <v>15</v>
      </c>
      <c r="I792" s="55">
        <v>0.4</v>
      </c>
      <c r="J792" s="55">
        <v>129</v>
      </c>
      <c r="K792" s="55">
        <v>0.08</v>
      </c>
      <c r="L792" s="55">
        <v>0.04</v>
      </c>
      <c r="M792" s="55">
        <v>1.3</v>
      </c>
      <c r="N792" s="55">
        <v>67</v>
      </c>
      <c r="O792" s="55">
        <v>7</v>
      </c>
      <c r="P792" s="47" t="s">
        <v>51</v>
      </c>
    </row>
    <row r="793" spans="1:16" ht="18" customHeight="1">
      <c r="A793" s="47" t="s">
        <v>1056</v>
      </c>
      <c r="B793" s="48" t="s">
        <v>1057</v>
      </c>
      <c r="C793" s="54" t="s">
        <v>1058</v>
      </c>
      <c r="D793" s="55">
        <v>112</v>
      </c>
      <c r="E793" s="55">
        <v>3.7</v>
      </c>
      <c r="F793" s="55">
        <v>6.3</v>
      </c>
      <c r="G793" s="55">
        <v>0.5</v>
      </c>
      <c r="H793" s="55">
        <v>73</v>
      </c>
      <c r="I793" s="55">
        <v>1</v>
      </c>
      <c r="J793" s="55">
        <v>19</v>
      </c>
      <c r="K793" s="55">
        <v>0.25</v>
      </c>
      <c r="L793" s="55">
        <v>0.26</v>
      </c>
      <c r="M793" s="55">
        <v>0.4</v>
      </c>
      <c r="N793" s="55">
        <v>100</v>
      </c>
      <c r="O793" s="55">
        <v>0</v>
      </c>
      <c r="P793" s="47" t="s">
        <v>104</v>
      </c>
    </row>
    <row r="794" spans="1:16" ht="18" customHeight="1">
      <c r="A794" s="47" t="s">
        <v>1056</v>
      </c>
      <c r="B794" s="48" t="s">
        <v>1057</v>
      </c>
      <c r="C794" s="54" t="s">
        <v>1059</v>
      </c>
      <c r="D794" s="55">
        <v>20</v>
      </c>
      <c r="E794" s="55">
        <v>0.9</v>
      </c>
      <c r="F794" s="55">
        <v>5.6</v>
      </c>
      <c r="G794" s="55">
        <v>0.2</v>
      </c>
      <c r="H794" s="55">
        <v>18</v>
      </c>
      <c r="I794" s="55">
        <v>4</v>
      </c>
      <c r="J794" s="55">
        <v>3</v>
      </c>
      <c r="K794" s="55">
        <v>0.09</v>
      </c>
      <c r="L794" s="55">
        <v>0.04</v>
      </c>
      <c r="M794" s="55">
        <v>0.2</v>
      </c>
      <c r="N794" s="55">
        <v>53</v>
      </c>
      <c r="O794" s="55">
        <v>0</v>
      </c>
      <c r="P794" s="47" t="s">
        <v>104</v>
      </c>
    </row>
    <row r="795" spans="1:16" ht="18" customHeight="1">
      <c r="A795" s="47" t="s">
        <v>1038</v>
      </c>
      <c r="B795" s="48" t="s">
        <v>1060</v>
      </c>
      <c r="C795" s="54" t="s">
        <v>1061</v>
      </c>
      <c r="D795" s="55">
        <v>70</v>
      </c>
      <c r="E795" s="55">
        <v>3.3</v>
      </c>
      <c r="F795" s="55">
        <v>13.2</v>
      </c>
      <c r="G795" s="55">
        <v>1</v>
      </c>
      <c r="H795" s="55">
        <v>35</v>
      </c>
      <c r="I795" s="55">
        <v>2.2999999999999998</v>
      </c>
      <c r="J795" s="55">
        <v>282</v>
      </c>
      <c r="K795" s="55">
        <v>0.08</v>
      </c>
      <c r="L795" s="55">
        <v>0.15</v>
      </c>
      <c r="M795" s="55">
        <v>5.3</v>
      </c>
      <c r="N795" s="55">
        <v>0</v>
      </c>
      <c r="O795" s="55">
        <v>0</v>
      </c>
      <c r="P795" s="47" t="s">
        <v>51</v>
      </c>
    </row>
    <row r="796" spans="1:16" ht="18" customHeight="1">
      <c r="A796" s="47" t="s">
        <v>1038</v>
      </c>
      <c r="B796" s="48" t="s">
        <v>1062</v>
      </c>
      <c r="C796" s="54" t="s">
        <v>1063</v>
      </c>
      <c r="D796" s="55">
        <v>221</v>
      </c>
      <c r="E796" s="55">
        <v>11</v>
      </c>
      <c r="F796" s="55">
        <v>3.8</v>
      </c>
      <c r="G796" s="55">
        <v>0.1</v>
      </c>
      <c r="H796" s="55">
        <v>58</v>
      </c>
      <c r="I796" s="55">
        <v>6.8</v>
      </c>
      <c r="J796" s="55">
        <v>4623</v>
      </c>
      <c r="K796" s="55">
        <v>0.3</v>
      </c>
      <c r="L796" s="55">
        <v>1.1000000000000001</v>
      </c>
      <c r="M796" s="55">
        <v>12.5</v>
      </c>
      <c r="N796" s="55">
        <v>26</v>
      </c>
      <c r="O796" s="55">
        <v>0</v>
      </c>
      <c r="P796" s="47" t="s">
        <v>51</v>
      </c>
    </row>
    <row r="797" spans="1:16" ht="18" customHeight="1">
      <c r="A797" s="47"/>
      <c r="B797" s="48" t="s">
        <v>1064</v>
      </c>
      <c r="C797" s="54" t="s">
        <v>1063</v>
      </c>
      <c r="D797" s="55">
        <v>221</v>
      </c>
      <c r="E797" s="55">
        <v>11</v>
      </c>
      <c r="F797" s="55">
        <v>50.6</v>
      </c>
      <c r="G797" s="55">
        <v>11</v>
      </c>
      <c r="H797" s="55">
        <v>58</v>
      </c>
      <c r="I797" s="55">
        <v>6.8</v>
      </c>
      <c r="J797" s="55">
        <v>4623</v>
      </c>
      <c r="K797" s="55">
        <v>0.3</v>
      </c>
      <c r="L797" s="55">
        <v>1.1000000000000001</v>
      </c>
      <c r="M797" s="55">
        <v>12.5</v>
      </c>
      <c r="N797" s="55">
        <v>26</v>
      </c>
      <c r="O797" s="55">
        <v>0</v>
      </c>
    </row>
    <row r="798" spans="1:16" ht="18" customHeight="1">
      <c r="A798" s="47" t="s">
        <v>1038</v>
      </c>
      <c r="B798" s="48" t="s">
        <v>1065</v>
      </c>
      <c r="C798" s="54" t="s">
        <v>1066</v>
      </c>
      <c r="D798" s="55">
        <v>39</v>
      </c>
      <c r="E798" s="55">
        <v>2.6</v>
      </c>
      <c r="F798" s="55">
        <v>10.3</v>
      </c>
      <c r="G798" s="55">
        <v>1.7</v>
      </c>
      <c r="H798" s="55">
        <v>16</v>
      </c>
      <c r="I798" s="55">
        <v>0.9</v>
      </c>
      <c r="J798" s="55">
        <v>1078</v>
      </c>
      <c r="K798" s="55">
        <v>0.13</v>
      </c>
      <c r="L798" s="55">
        <v>0.21</v>
      </c>
      <c r="M798" s="55">
        <v>2.1</v>
      </c>
      <c r="N798" s="55">
        <v>116</v>
      </c>
      <c r="O798" s="55">
        <v>10</v>
      </c>
      <c r="P798" s="47" t="s">
        <v>51</v>
      </c>
    </row>
    <row r="799" spans="1:16" ht="18" customHeight="1">
      <c r="A799" s="47" t="s">
        <v>1038</v>
      </c>
      <c r="B799" s="48" t="s">
        <v>1067</v>
      </c>
      <c r="C799" s="54" t="s">
        <v>1066</v>
      </c>
      <c r="D799" s="55">
        <v>39</v>
      </c>
      <c r="E799" s="55">
        <v>2.6</v>
      </c>
      <c r="F799" s="55">
        <v>5.9</v>
      </c>
      <c r="G799" s="55">
        <v>0.2</v>
      </c>
      <c r="H799" s="55">
        <v>16</v>
      </c>
      <c r="I799" s="55">
        <v>0.9</v>
      </c>
      <c r="J799" s="55">
        <v>1078</v>
      </c>
      <c r="K799" s="55">
        <v>0.13</v>
      </c>
      <c r="L799" s="55">
        <v>0.21</v>
      </c>
      <c r="M799" s="55">
        <v>2.1</v>
      </c>
      <c r="N799" s="55">
        <v>116</v>
      </c>
      <c r="O799" s="55">
        <v>10</v>
      </c>
      <c r="P799" s="47" t="s">
        <v>51</v>
      </c>
    </row>
    <row r="800" spans="1:16" ht="18" customHeight="1">
      <c r="A800" s="47"/>
      <c r="B800" s="48" t="s">
        <v>31</v>
      </c>
      <c r="C800" s="54" t="s">
        <v>1068</v>
      </c>
      <c r="D800" s="55">
        <v>19</v>
      </c>
      <c r="E800" s="55">
        <v>1.6</v>
      </c>
      <c r="F800" s="55">
        <v>6</v>
      </c>
      <c r="G800" s="55">
        <v>0.2</v>
      </c>
      <c r="H800" s="55">
        <v>13</v>
      </c>
      <c r="I800" s="55">
        <v>0.5</v>
      </c>
      <c r="J800" s="55">
        <v>52</v>
      </c>
      <c r="K800" s="55">
        <v>0.1</v>
      </c>
      <c r="L800" s="55">
        <v>0.05</v>
      </c>
      <c r="M800" s="55">
        <v>1.1000000000000001</v>
      </c>
      <c r="N800" s="55">
        <v>72</v>
      </c>
      <c r="O800" s="55">
        <v>8</v>
      </c>
    </row>
    <row r="801" spans="1:16" ht="18" customHeight="1">
      <c r="A801" s="47" t="s">
        <v>1038</v>
      </c>
      <c r="B801" s="48" t="s">
        <v>1069</v>
      </c>
      <c r="C801" s="54" t="s">
        <v>1068</v>
      </c>
      <c r="D801" s="55">
        <v>19</v>
      </c>
      <c r="E801" s="55">
        <v>1.6</v>
      </c>
      <c r="F801" s="55">
        <v>6</v>
      </c>
      <c r="G801" s="55">
        <v>0.2</v>
      </c>
      <c r="H801" s="55">
        <v>13</v>
      </c>
      <c r="I801" s="55">
        <v>0.5</v>
      </c>
      <c r="J801" s="55">
        <v>52</v>
      </c>
      <c r="K801" s="55">
        <v>0.1</v>
      </c>
      <c r="L801" s="55">
        <v>0.05</v>
      </c>
      <c r="M801" s="55">
        <v>1.1000000000000001</v>
      </c>
      <c r="N801" s="55">
        <v>72</v>
      </c>
      <c r="O801" s="55">
        <v>8</v>
      </c>
      <c r="P801" s="47" t="s">
        <v>51</v>
      </c>
    </row>
    <row r="802" spans="1:16" ht="18" customHeight="1">
      <c r="A802" s="47" t="s">
        <v>1038</v>
      </c>
      <c r="B802" s="48" t="s">
        <v>1070</v>
      </c>
      <c r="C802" s="54" t="s">
        <v>1071</v>
      </c>
      <c r="D802" s="55">
        <v>36</v>
      </c>
      <c r="E802" s="55">
        <v>5.7</v>
      </c>
      <c r="F802" s="55">
        <v>6.3</v>
      </c>
      <c r="G802" s="55">
        <v>0.5</v>
      </c>
      <c r="H802" s="55">
        <v>233</v>
      </c>
      <c r="I802" s="55">
        <v>3.1</v>
      </c>
      <c r="J802" s="55">
        <v>165</v>
      </c>
      <c r="K802" s="55">
        <v>0.25</v>
      </c>
      <c r="L802" s="55">
        <v>0.16</v>
      </c>
      <c r="M802" s="55">
        <v>0.3</v>
      </c>
      <c r="N802" s="55">
        <v>85</v>
      </c>
      <c r="O802" s="55">
        <v>0</v>
      </c>
      <c r="P802" s="47" t="s">
        <v>51</v>
      </c>
    </row>
    <row r="803" spans="1:16" ht="18" customHeight="1">
      <c r="A803" s="47" t="s">
        <v>1038</v>
      </c>
      <c r="B803" s="48" t="s">
        <v>1072</v>
      </c>
      <c r="C803" s="54" t="s">
        <v>1073</v>
      </c>
      <c r="D803" s="55">
        <v>23</v>
      </c>
      <c r="E803" s="55">
        <v>2.7</v>
      </c>
      <c r="F803" s="55">
        <v>6.4</v>
      </c>
      <c r="G803" s="55">
        <v>0.3</v>
      </c>
      <c r="H803" s="55">
        <v>76</v>
      </c>
      <c r="I803" s="57">
        <v>1.5</v>
      </c>
      <c r="J803" s="57">
        <v>736</v>
      </c>
      <c r="K803" s="57">
        <v>0.04</v>
      </c>
      <c r="L803" s="57">
        <v>0.12</v>
      </c>
      <c r="M803" s="57">
        <v>0.8</v>
      </c>
      <c r="N803" s="55">
        <v>21</v>
      </c>
      <c r="O803" s="55">
        <v>0</v>
      </c>
      <c r="P803" s="47" t="s">
        <v>51</v>
      </c>
    </row>
    <row r="804" spans="1:16" ht="18" customHeight="1">
      <c r="A804" s="47" t="s">
        <v>1038</v>
      </c>
      <c r="B804" s="48" t="s">
        <v>1880</v>
      </c>
      <c r="C804" s="54" t="s">
        <v>1073</v>
      </c>
      <c r="D804" s="55">
        <v>11</v>
      </c>
      <c r="E804" s="55">
        <v>2.7</v>
      </c>
      <c r="F804" s="55">
        <v>6.4</v>
      </c>
      <c r="G804" s="55">
        <v>0.3</v>
      </c>
      <c r="H804" s="55">
        <v>76</v>
      </c>
      <c r="I804" s="57">
        <v>1.5</v>
      </c>
      <c r="J804" s="57">
        <v>736</v>
      </c>
      <c r="K804" s="57">
        <v>0.04</v>
      </c>
      <c r="L804" s="57">
        <v>0.12</v>
      </c>
      <c r="M804" s="57">
        <v>0.8</v>
      </c>
      <c r="N804" s="55">
        <v>21</v>
      </c>
      <c r="O804" s="55">
        <v>0</v>
      </c>
      <c r="P804" s="47" t="s">
        <v>51</v>
      </c>
    </row>
    <row r="805" spans="1:16" ht="18" customHeight="1">
      <c r="A805" s="47" t="s">
        <v>1038</v>
      </c>
      <c r="B805" s="48" t="s">
        <v>1074</v>
      </c>
      <c r="C805" s="54" t="s">
        <v>1075</v>
      </c>
      <c r="D805" s="55">
        <v>23</v>
      </c>
      <c r="E805" s="55">
        <v>2.2999999999999998</v>
      </c>
      <c r="F805" s="55">
        <v>3.95</v>
      </c>
      <c r="G805" s="55">
        <v>0.2</v>
      </c>
      <c r="H805" s="55">
        <v>60</v>
      </c>
      <c r="I805" s="55">
        <v>1.2</v>
      </c>
      <c r="J805" s="55">
        <v>195</v>
      </c>
      <c r="K805" s="55">
        <v>0.05</v>
      </c>
      <c r="L805" s="55">
        <v>0.14000000000000001</v>
      </c>
      <c r="M805" s="55">
        <v>0.1</v>
      </c>
      <c r="N805" s="55">
        <v>9</v>
      </c>
      <c r="O805" s="55">
        <v>5</v>
      </c>
      <c r="P805" s="47" t="s">
        <v>51</v>
      </c>
    </row>
    <row r="806" spans="1:16" ht="18" customHeight="1">
      <c r="A806" s="47" t="s">
        <v>1056</v>
      </c>
      <c r="B806" s="48" t="s">
        <v>23</v>
      </c>
      <c r="C806" s="54" t="s">
        <v>1076</v>
      </c>
      <c r="D806" s="55">
        <v>17</v>
      </c>
      <c r="E806" s="55">
        <v>2.4</v>
      </c>
      <c r="F806" s="55">
        <v>2.7</v>
      </c>
      <c r="G806" s="55">
        <v>0.1</v>
      </c>
      <c r="H806" s="55">
        <v>87</v>
      </c>
      <c r="I806" s="55">
        <v>2.4</v>
      </c>
      <c r="J806" s="55">
        <v>508</v>
      </c>
      <c r="K806" s="55">
        <v>0.06</v>
      </c>
      <c r="L806" s="55">
        <v>0.13</v>
      </c>
      <c r="M806" s="55">
        <v>0.5</v>
      </c>
      <c r="N806" s="55">
        <v>16</v>
      </c>
      <c r="O806" s="55">
        <v>17</v>
      </c>
      <c r="P806" s="47" t="s">
        <v>104</v>
      </c>
    </row>
    <row r="807" spans="1:16" ht="18" customHeight="1">
      <c r="A807" s="47" t="s">
        <v>1038</v>
      </c>
      <c r="B807" s="48" t="s">
        <v>1077</v>
      </c>
      <c r="C807" s="54" t="s">
        <v>1078</v>
      </c>
      <c r="D807" s="55">
        <v>41</v>
      </c>
      <c r="E807" s="55">
        <v>3.9</v>
      </c>
      <c r="F807" s="55">
        <v>8.1999999999999993</v>
      </c>
      <c r="G807" s="55">
        <v>0.4</v>
      </c>
      <c r="H807" s="55">
        <v>118</v>
      </c>
      <c r="I807" s="55">
        <v>1.3</v>
      </c>
      <c r="J807" s="55">
        <v>390</v>
      </c>
      <c r="K807" s="55">
        <v>0.15</v>
      </c>
      <c r="L807" s="55">
        <v>0.14000000000000001</v>
      </c>
      <c r="M807" s="55">
        <v>1.3</v>
      </c>
      <c r="N807" s="55">
        <v>48</v>
      </c>
      <c r="O807" s="55">
        <v>0</v>
      </c>
      <c r="P807" s="47" t="s">
        <v>51</v>
      </c>
    </row>
    <row r="808" spans="1:16" ht="18" customHeight="1">
      <c r="A808" s="47" t="s">
        <v>1038</v>
      </c>
      <c r="B808" s="48" t="s">
        <v>1079</v>
      </c>
      <c r="C808" s="54" t="s">
        <v>1078</v>
      </c>
      <c r="D808" s="55">
        <v>66</v>
      </c>
      <c r="E808" s="55">
        <v>4.0999999999999996</v>
      </c>
      <c r="F808" s="55">
        <v>11.9</v>
      </c>
      <c r="G808" s="55">
        <v>2.7</v>
      </c>
      <c r="H808" s="55">
        <v>115</v>
      </c>
      <c r="I808" s="55">
        <v>4.0999999999999996</v>
      </c>
      <c r="J808" s="55">
        <v>914</v>
      </c>
      <c r="K808" s="55">
        <v>0.31</v>
      </c>
      <c r="L808" s="55">
        <v>0.15</v>
      </c>
      <c r="M808" s="55">
        <v>0.9</v>
      </c>
      <c r="N808" s="55">
        <v>11</v>
      </c>
      <c r="O808" s="55">
        <v>1</v>
      </c>
      <c r="P808" s="47" t="s">
        <v>51</v>
      </c>
    </row>
    <row r="809" spans="1:16" ht="18" customHeight="1">
      <c r="A809" s="47" t="s">
        <v>1038</v>
      </c>
      <c r="B809" s="48" t="s">
        <v>1080</v>
      </c>
      <c r="C809" s="54" t="s">
        <v>1078</v>
      </c>
      <c r="D809" s="55">
        <v>33</v>
      </c>
      <c r="E809" s="55">
        <v>1.6</v>
      </c>
      <c r="F809" s="55">
        <v>7.4</v>
      </c>
      <c r="G809" s="55">
        <v>0.3</v>
      </c>
      <c r="H809" s="55">
        <v>37</v>
      </c>
      <c r="I809" s="55">
        <v>2.8</v>
      </c>
      <c r="J809" s="55">
        <v>38</v>
      </c>
      <c r="K809" s="55">
        <v>0.14000000000000001</v>
      </c>
      <c r="L809" s="55">
        <v>0.05</v>
      </c>
      <c r="M809" s="55">
        <v>0.5</v>
      </c>
      <c r="N809" s="55">
        <v>19</v>
      </c>
      <c r="O809" s="55">
        <v>0</v>
      </c>
      <c r="P809" s="47" t="s">
        <v>51</v>
      </c>
    </row>
    <row r="810" spans="1:16" ht="18" customHeight="1">
      <c r="A810" s="47" t="s">
        <v>1038</v>
      </c>
      <c r="B810" s="48" t="s">
        <v>1081</v>
      </c>
      <c r="C810" s="54" t="s">
        <v>1078</v>
      </c>
      <c r="D810" s="55">
        <v>9</v>
      </c>
      <c r="E810" s="55">
        <v>0.8</v>
      </c>
      <c r="F810" s="69">
        <v>1.6</v>
      </c>
      <c r="G810" s="69">
        <v>0.5</v>
      </c>
      <c r="H810" s="55">
        <v>36</v>
      </c>
      <c r="I810" s="55">
        <v>0.1</v>
      </c>
      <c r="J810" s="55">
        <v>77</v>
      </c>
      <c r="K810" s="55">
        <v>0.03</v>
      </c>
      <c r="L810" s="55">
        <v>0.06</v>
      </c>
      <c r="M810" s="55">
        <v>0.5</v>
      </c>
      <c r="N810" s="55">
        <v>10</v>
      </c>
      <c r="O810" s="55">
        <v>0</v>
      </c>
      <c r="P810" s="47" t="s">
        <v>51</v>
      </c>
    </row>
    <row r="811" spans="1:16" ht="18" customHeight="1">
      <c r="A811" s="47" t="s">
        <v>1038</v>
      </c>
      <c r="B811" s="48" t="s">
        <v>1082</v>
      </c>
      <c r="C811" s="54" t="s">
        <v>1078</v>
      </c>
      <c r="D811" s="55">
        <v>11</v>
      </c>
      <c r="E811" s="55">
        <v>0.7</v>
      </c>
      <c r="F811" s="69">
        <v>3</v>
      </c>
      <c r="G811" s="69">
        <v>0.1</v>
      </c>
      <c r="H811" s="55">
        <v>18</v>
      </c>
      <c r="I811" s="55">
        <v>0.2</v>
      </c>
      <c r="J811" s="55">
        <v>15</v>
      </c>
      <c r="K811" s="55">
        <v>0.02</v>
      </c>
      <c r="L811" s="55">
        <v>0.02</v>
      </c>
      <c r="M811" s="55">
        <v>0.2</v>
      </c>
      <c r="N811" s="55">
        <v>9</v>
      </c>
      <c r="O811" s="55">
        <v>0</v>
      </c>
      <c r="P811" s="47" t="s">
        <v>51</v>
      </c>
    </row>
    <row r="812" spans="1:16" ht="18" customHeight="1">
      <c r="A812" s="47" t="s">
        <v>1038</v>
      </c>
      <c r="B812" s="48" t="s">
        <v>1083</v>
      </c>
      <c r="C812" s="54" t="s">
        <v>1078</v>
      </c>
      <c r="D812" s="55">
        <v>23</v>
      </c>
      <c r="E812" s="55">
        <v>2.7</v>
      </c>
      <c r="F812" s="69">
        <v>0.96</v>
      </c>
      <c r="G812" s="69">
        <v>0.28000000000000003</v>
      </c>
      <c r="H812" s="55">
        <v>3</v>
      </c>
      <c r="I812" s="55">
        <v>0</v>
      </c>
      <c r="J812" s="55">
        <v>170</v>
      </c>
      <c r="K812" s="55">
        <v>0.04</v>
      </c>
      <c r="L812" s="55">
        <v>7.0000000000000007E-2</v>
      </c>
      <c r="M812" s="55">
        <v>3.3</v>
      </c>
      <c r="N812" s="55">
        <v>19</v>
      </c>
      <c r="O812" s="55">
        <v>0</v>
      </c>
      <c r="P812" s="47" t="s">
        <v>51</v>
      </c>
    </row>
    <row r="813" spans="1:16" ht="17.25" customHeight="1">
      <c r="A813" s="47" t="s">
        <v>1038</v>
      </c>
      <c r="B813" s="48" t="s">
        <v>1084</v>
      </c>
      <c r="C813" s="54" t="s">
        <v>1078</v>
      </c>
      <c r="D813" s="55">
        <v>50</v>
      </c>
      <c r="E813" s="55">
        <v>2</v>
      </c>
      <c r="F813" s="69">
        <v>4.4000000000000004</v>
      </c>
      <c r="G813" s="69">
        <v>0.2</v>
      </c>
      <c r="H813" s="55">
        <v>47</v>
      </c>
      <c r="I813" s="55">
        <v>3</v>
      </c>
      <c r="J813" s="55">
        <v>48</v>
      </c>
      <c r="K813" s="55">
        <v>0.06</v>
      </c>
      <c r="L813" s="55">
        <v>0.06</v>
      </c>
      <c r="M813" s="55">
        <v>0.8</v>
      </c>
      <c r="N813" s="55">
        <v>14</v>
      </c>
      <c r="O813" s="55">
        <v>0</v>
      </c>
      <c r="P813" s="47" t="s">
        <v>51</v>
      </c>
    </row>
    <row r="814" spans="1:16" ht="17.25" customHeight="1">
      <c r="A814" s="47"/>
      <c r="B814" s="48" t="s">
        <v>1708</v>
      </c>
      <c r="C814" s="54" t="s">
        <v>1078</v>
      </c>
      <c r="D814" s="55">
        <v>50</v>
      </c>
      <c r="E814" s="55">
        <v>2</v>
      </c>
      <c r="F814" s="69">
        <v>4.4000000000000004</v>
      </c>
      <c r="G814" s="69">
        <v>0.2</v>
      </c>
      <c r="H814" s="55">
        <v>47</v>
      </c>
      <c r="I814" s="55">
        <v>0.8</v>
      </c>
      <c r="J814" s="55">
        <v>48</v>
      </c>
      <c r="K814" s="55">
        <v>0.06</v>
      </c>
      <c r="L814" s="55">
        <v>0.06</v>
      </c>
      <c r="M814" s="55">
        <v>0.8</v>
      </c>
      <c r="N814" s="55">
        <v>14</v>
      </c>
      <c r="O814" s="55">
        <v>0</v>
      </c>
    </row>
    <row r="815" spans="1:16" ht="17.25" customHeight="1">
      <c r="A815" s="47"/>
      <c r="B815" s="48" t="s">
        <v>1778</v>
      </c>
      <c r="C815" s="54" t="s">
        <v>1078</v>
      </c>
      <c r="D815" s="55">
        <v>50</v>
      </c>
      <c r="E815" s="55">
        <v>2</v>
      </c>
      <c r="F815" s="69">
        <v>4.4000000000000004</v>
      </c>
      <c r="G815" s="69">
        <v>0.2</v>
      </c>
      <c r="H815" s="55">
        <v>47</v>
      </c>
      <c r="I815" s="55">
        <v>0.8</v>
      </c>
      <c r="J815" s="55">
        <v>48</v>
      </c>
      <c r="K815" s="55">
        <v>0.06</v>
      </c>
      <c r="L815" s="55">
        <v>0.06</v>
      </c>
      <c r="M815" s="55">
        <v>0.8</v>
      </c>
      <c r="N815" s="55">
        <v>14</v>
      </c>
      <c r="O815" s="55">
        <v>0</v>
      </c>
    </row>
    <row r="816" spans="1:16" ht="17.25" customHeight="1">
      <c r="A816" s="47" t="s">
        <v>1038</v>
      </c>
      <c r="B816" s="48" t="s">
        <v>1085</v>
      </c>
      <c r="C816" s="54" t="s">
        <v>1078</v>
      </c>
      <c r="D816" s="55">
        <v>50</v>
      </c>
      <c r="E816" s="55">
        <v>2</v>
      </c>
      <c r="F816" s="69">
        <v>4.4000000000000004</v>
      </c>
      <c r="G816" s="69">
        <v>0.2</v>
      </c>
      <c r="H816" s="55">
        <v>47</v>
      </c>
      <c r="I816" s="55">
        <v>0.8</v>
      </c>
      <c r="J816" s="55">
        <v>48</v>
      </c>
      <c r="K816" s="55">
        <v>0.06</v>
      </c>
      <c r="L816" s="55">
        <v>0.06</v>
      </c>
      <c r="M816" s="55">
        <v>0.8</v>
      </c>
      <c r="N816" s="55">
        <v>14</v>
      </c>
      <c r="O816" s="55">
        <v>0</v>
      </c>
      <c r="P816" s="47" t="s">
        <v>51</v>
      </c>
    </row>
    <row r="817" spans="1:16" ht="18" customHeight="1">
      <c r="A817" s="47" t="s">
        <v>1038</v>
      </c>
      <c r="B817" s="48" t="s">
        <v>1086</v>
      </c>
      <c r="C817" s="54" t="s">
        <v>1078</v>
      </c>
      <c r="D817" s="55">
        <v>30</v>
      </c>
      <c r="E817" s="55">
        <v>0.7</v>
      </c>
      <c r="F817" s="69">
        <v>3</v>
      </c>
      <c r="G817" s="69">
        <v>7.0000000000000007E-2</v>
      </c>
      <c r="H817" s="55">
        <v>21</v>
      </c>
      <c r="I817" s="55">
        <v>0.3</v>
      </c>
      <c r="J817" s="55">
        <v>9</v>
      </c>
      <c r="K817" s="55">
        <v>0.03</v>
      </c>
      <c r="L817" s="55">
        <v>0.02</v>
      </c>
      <c r="M817" s="55">
        <v>0.3</v>
      </c>
      <c r="N817" s="55">
        <v>10</v>
      </c>
      <c r="O817" s="55">
        <v>0</v>
      </c>
      <c r="P817" s="47" t="s">
        <v>51</v>
      </c>
    </row>
    <row r="818" spans="1:16" ht="18" customHeight="1">
      <c r="A818" s="47" t="s">
        <v>1038</v>
      </c>
      <c r="B818" s="48" t="s">
        <v>1087</v>
      </c>
      <c r="C818" s="54" t="s">
        <v>1078</v>
      </c>
      <c r="D818" s="55">
        <v>40</v>
      </c>
      <c r="E818" s="55">
        <v>2.1</v>
      </c>
      <c r="F818" s="69">
        <v>4.9000000000000004</v>
      </c>
      <c r="G818" s="69">
        <v>0.9</v>
      </c>
      <c r="H818" s="55">
        <v>43</v>
      </c>
      <c r="I818" s="55">
        <v>0.4</v>
      </c>
      <c r="J818" s="55">
        <v>30</v>
      </c>
      <c r="K818" s="55">
        <v>0.06</v>
      </c>
      <c r="L818" s="55">
        <v>7.0000000000000007E-2</v>
      </c>
      <c r="M818" s="55">
        <v>0.13</v>
      </c>
      <c r="N818" s="55">
        <v>4.5999999999999996</v>
      </c>
      <c r="O818" s="55">
        <v>0</v>
      </c>
    </row>
    <row r="819" spans="1:16" ht="18" customHeight="1">
      <c r="A819" s="47"/>
      <c r="B819" s="48" t="s">
        <v>1088</v>
      </c>
      <c r="C819" s="54" t="s">
        <v>1078</v>
      </c>
      <c r="D819" s="55">
        <v>23</v>
      </c>
      <c r="E819" s="55">
        <v>2.4</v>
      </c>
      <c r="F819" s="69">
        <v>10.4</v>
      </c>
      <c r="G819" s="69">
        <v>1.7</v>
      </c>
      <c r="H819" s="55">
        <v>82</v>
      </c>
      <c r="I819" s="55">
        <v>1.8</v>
      </c>
      <c r="J819" s="55">
        <v>508</v>
      </c>
      <c r="K819" s="55">
        <v>0.04</v>
      </c>
      <c r="L819" s="55">
        <v>0.08</v>
      </c>
      <c r="M819" s="55">
        <v>0.6</v>
      </c>
      <c r="N819" s="55">
        <v>25</v>
      </c>
      <c r="O819" s="55">
        <v>0</v>
      </c>
    </row>
    <row r="820" spans="1:16" ht="18" customHeight="1">
      <c r="A820" s="47" t="s">
        <v>1038</v>
      </c>
      <c r="B820" s="48" t="s">
        <v>1089</v>
      </c>
      <c r="C820" s="54" t="s">
        <v>1078</v>
      </c>
      <c r="D820" s="55">
        <v>23</v>
      </c>
      <c r="E820" s="55">
        <v>2.4</v>
      </c>
      <c r="F820" s="69">
        <v>4.9000000000000004</v>
      </c>
      <c r="G820" s="69">
        <v>0.6</v>
      </c>
      <c r="H820" s="55">
        <v>82</v>
      </c>
      <c r="I820" s="55">
        <v>1.8</v>
      </c>
      <c r="J820" s="55">
        <v>508</v>
      </c>
      <c r="K820" s="55">
        <v>0.04</v>
      </c>
      <c r="L820" s="55">
        <v>0.08</v>
      </c>
      <c r="M820" s="55">
        <v>0.6</v>
      </c>
      <c r="N820" s="55">
        <v>25</v>
      </c>
      <c r="O820" s="55">
        <v>0</v>
      </c>
      <c r="P820" s="47" t="s">
        <v>51</v>
      </c>
    </row>
    <row r="821" spans="1:16" ht="18" customHeight="1">
      <c r="A821" s="47" t="s">
        <v>1038</v>
      </c>
      <c r="B821" s="48" t="s">
        <v>1090</v>
      </c>
      <c r="C821" s="54" t="s">
        <v>1078</v>
      </c>
      <c r="D821" s="55">
        <v>17</v>
      </c>
      <c r="E821" s="55">
        <v>1.7</v>
      </c>
      <c r="F821" s="69">
        <v>4.9000000000000004</v>
      </c>
      <c r="G821" s="69">
        <v>0.9</v>
      </c>
      <c r="H821" s="55">
        <v>44</v>
      </c>
      <c r="I821" s="55">
        <v>0.4</v>
      </c>
      <c r="J821" s="55">
        <v>106</v>
      </c>
      <c r="K821" s="55">
        <v>0.08</v>
      </c>
      <c r="L821" s="55">
        <v>0.04</v>
      </c>
      <c r="M821" s="55">
        <v>0.6</v>
      </c>
      <c r="N821" s="55">
        <v>13</v>
      </c>
      <c r="O821" s="55">
        <v>0</v>
      </c>
      <c r="P821" s="47" t="s">
        <v>51</v>
      </c>
    </row>
    <row r="822" spans="1:16" ht="18" customHeight="1">
      <c r="A822" s="47" t="s">
        <v>1038</v>
      </c>
      <c r="B822" s="48" t="s">
        <v>1091</v>
      </c>
      <c r="C822" s="54" t="s">
        <v>1078</v>
      </c>
      <c r="D822" s="55">
        <v>31</v>
      </c>
      <c r="E822" s="55">
        <v>2.4</v>
      </c>
      <c r="F822" s="69">
        <v>5.6</v>
      </c>
      <c r="G822" s="69">
        <v>0.6</v>
      </c>
      <c r="H822" s="55">
        <v>55</v>
      </c>
      <c r="I822" s="55">
        <v>0.8</v>
      </c>
      <c r="J822" s="55">
        <v>126</v>
      </c>
      <c r="K822" s="55">
        <v>0.03</v>
      </c>
      <c r="L822" s="55">
        <v>7.0000000000000007E-2</v>
      </c>
      <c r="M822" s="55">
        <v>0.8</v>
      </c>
      <c r="N822" s="55">
        <v>24</v>
      </c>
      <c r="O822" s="55">
        <f>+M6012</f>
        <v>0</v>
      </c>
      <c r="P822" s="47" t="s">
        <v>51</v>
      </c>
    </row>
    <row r="823" spans="1:16" ht="18" customHeight="1">
      <c r="A823" s="47" t="s">
        <v>1038</v>
      </c>
      <c r="B823" s="48" t="s">
        <v>1092</v>
      </c>
      <c r="C823" s="54" t="s">
        <v>1078</v>
      </c>
      <c r="D823" s="55">
        <v>52</v>
      </c>
      <c r="E823" s="55">
        <v>3.4</v>
      </c>
      <c r="F823" s="69">
        <v>9.1</v>
      </c>
      <c r="G823" s="69">
        <v>1.2</v>
      </c>
      <c r="H823" s="55">
        <v>70</v>
      </c>
      <c r="I823" s="55">
        <v>0.9</v>
      </c>
      <c r="J823" s="55">
        <v>352</v>
      </c>
      <c r="K823" s="55">
        <v>0.14000000000000001</v>
      </c>
      <c r="L823" s="55">
        <v>0.14000000000000001</v>
      </c>
      <c r="M823" s="55">
        <v>0.9</v>
      </c>
      <c r="N823" s="55">
        <v>19</v>
      </c>
      <c r="O823" s="55">
        <v>0</v>
      </c>
      <c r="P823" s="47" t="s">
        <v>51</v>
      </c>
    </row>
    <row r="824" spans="1:16" ht="18" customHeight="1">
      <c r="A824" s="47" t="s">
        <v>1038</v>
      </c>
      <c r="B824" s="48" t="s">
        <v>1093</v>
      </c>
      <c r="C824" s="54" t="s">
        <v>1094</v>
      </c>
      <c r="D824" s="55">
        <v>32</v>
      </c>
      <c r="E824" s="55">
        <v>3.4</v>
      </c>
      <c r="F824" s="69">
        <v>5.5</v>
      </c>
      <c r="G824" s="69">
        <v>0.2</v>
      </c>
      <c r="H824" s="55">
        <v>325</v>
      </c>
      <c r="I824" s="55">
        <v>2.6</v>
      </c>
      <c r="J824" s="55">
        <v>882</v>
      </c>
      <c r="K824" s="55">
        <v>0.11</v>
      </c>
      <c r="L824" s="55">
        <v>0.3</v>
      </c>
      <c r="M824" s="55">
        <v>1</v>
      </c>
      <c r="N824" s="55">
        <v>43</v>
      </c>
      <c r="O824" s="55">
        <v>0</v>
      </c>
      <c r="P824" s="47" t="s">
        <v>51</v>
      </c>
    </row>
    <row r="825" spans="1:16" ht="18" customHeight="1">
      <c r="A825" s="47" t="s">
        <v>1038</v>
      </c>
      <c r="B825" s="48" t="s">
        <v>1095</v>
      </c>
      <c r="C825" s="54" t="s">
        <v>1095</v>
      </c>
      <c r="D825" s="55">
        <v>31</v>
      </c>
      <c r="E825" s="55">
        <v>4.7</v>
      </c>
      <c r="F825" s="69">
        <v>7.8</v>
      </c>
      <c r="G825" s="69">
        <v>0.5</v>
      </c>
      <c r="H825" s="55">
        <v>145</v>
      </c>
      <c r="I825" s="55">
        <v>5.2</v>
      </c>
      <c r="J825" s="55">
        <v>189</v>
      </c>
      <c r="K825" s="55">
        <v>0.18</v>
      </c>
      <c r="L825" s="55">
        <v>0.32</v>
      </c>
      <c r="M825" s="55">
        <v>1.3</v>
      </c>
      <c r="N825" s="55">
        <v>74</v>
      </c>
      <c r="O825" s="55">
        <v>17</v>
      </c>
      <c r="P825" s="47" t="s">
        <v>51</v>
      </c>
    </row>
    <row r="826" spans="1:16" ht="18" customHeight="1">
      <c r="A826" s="47" t="s">
        <v>1038</v>
      </c>
      <c r="B826" s="48" t="s">
        <v>1096</v>
      </c>
      <c r="C826" s="54" t="s">
        <v>1096</v>
      </c>
      <c r="D826" s="55">
        <v>27</v>
      </c>
      <c r="E826" s="55">
        <v>3.2</v>
      </c>
      <c r="F826" s="69">
        <v>6.1</v>
      </c>
      <c r="G826" s="69">
        <v>0.22</v>
      </c>
      <c r="H826" s="55">
        <v>124</v>
      </c>
      <c r="I826" s="55">
        <v>1.8</v>
      </c>
      <c r="J826" s="55">
        <v>304</v>
      </c>
      <c r="K826" s="55">
        <v>0.09</v>
      </c>
      <c r="L826" s="55">
        <v>0.14000000000000001</v>
      </c>
      <c r="M826" s="55">
        <v>1</v>
      </c>
      <c r="N826" s="55">
        <v>33</v>
      </c>
      <c r="O826" s="55">
        <v>28</v>
      </c>
      <c r="P826" s="47" t="s">
        <v>51</v>
      </c>
    </row>
    <row r="827" spans="1:16" ht="18" customHeight="1">
      <c r="A827" s="47" t="s">
        <v>1038</v>
      </c>
      <c r="B827" s="48" t="s">
        <v>14</v>
      </c>
      <c r="C827" s="54" t="s">
        <v>1097</v>
      </c>
      <c r="D827" s="55">
        <v>34</v>
      </c>
      <c r="E827" s="55">
        <v>1</v>
      </c>
      <c r="F827" s="69">
        <v>7.03</v>
      </c>
      <c r="G827" s="69">
        <v>0.13</v>
      </c>
      <c r="H827" s="55">
        <v>38</v>
      </c>
      <c r="I827" s="55">
        <v>0.7</v>
      </c>
      <c r="J827" s="55">
        <v>1257</v>
      </c>
      <c r="K827" s="55">
        <v>0.06</v>
      </c>
      <c r="L827" s="55">
        <v>0.04</v>
      </c>
      <c r="M827" s="55">
        <v>0.8</v>
      </c>
      <c r="N827" s="55">
        <v>6</v>
      </c>
      <c r="O827" s="55">
        <v>0</v>
      </c>
      <c r="P827" s="47" t="s">
        <v>51</v>
      </c>
    </row>
    <row r="828" spans="1:16" ht="18" customHeight="1">
      <c r="A828" s="47" t="s">
        <v>1038</v>
      </c>
      <c r="B828" s="48" t="s">
        <v>1098</v>
      </c>
      <c r="C828" s="54" t="s">
        <v>1099</v>
      </c>
      <c r="D828" s="55">
        <v>34</v>
      </c>
      <c r="E828" s="55">
        <v>1</v>
      </c>
      <c r="F828" s="69">
        <v>7.03</v>
      </c>
      <c r="G828" s="69">
        <v>0.13</v>
      </c>
      <c r="H828" s="55">
        <v>38</v>
      </c>
      <c r="I828" s="55">
        <v>0.7</v>
      </c>
      <c r="J828" s="55">
        <v>1257</v>
      </c>
      <c r="K828" s="55">
        <v>0.01</v>
      </c>
      <c r="L828" s="55">
        <v>3</v>
      </c>
      <c r="M828" s="55">
        <v>0.1</v>
      </c>
      <c r="N828" s="55">
        <v>6</v>
      </c>
      <c r="O828" s="55">
        <v>0</v>
      </c>
      <c r="P828" s="47" t="s">
        <v>51</v>
      </c>
    </row>
    <row r="829" spans="1:16" ht="18" customHeight="1">
      <c r="A829" s="47" t="s">
        <v>1038</v>
      </c>
      <c r="B829" s="48" t="s">
        <v>1100</v>
      </c>
      <c r="C829" s="54" t="s">
        <v>1101</v>
      </c>
      <c r="D829" s="55">
        <v>55</v>
      </c>
      <c r="E829" s="55">
        <v>3.8</v>
      </c>
      <c r="F829" s="69">
        <v>19.5</v>
      </c>
      <c r="G829" s="69">
        <v>0.1</v>
      </c>
      <c r="H829" s="55">
        <v>24</v>
      </c>
      <c r="I829" s="55">
        <v>2</v>
      </c>
      <c r="J829" s="55">
        <v>0</v>
      </c>
      <c r="K829" s="55">
        <v>0.13</v>
      </c>
      <c r="L829" s="55">
        <v>0.2</v>
      </c>
      <c r="M829" s="55">
        <v>0.5</v>
      </c>
      <c r="N829" s="55">
        <v>6</v>
      </c>
      <c r="O829" s="55">
        <v>23</v>
      </c>
      <c r="P829" s="47" t="s">
        <v>51</v>
      </c>
    </row>
    <row r="830" spans="1:16" ht="18" customHeight="1">
      <c r="A830" s="47" t="s">
        <v>1038</v>
      </c>
      <c r="B830" s="48" t="s">
        <v>1102</v>
      </c>
      <c r="C830" s="54" t="s">
        <v>1103</v>
      </c>
      <c r="D830" s="55">
        <v>83</v>
      </c>
      <c r="E830" s="55">
        <v>1.7</v>
      </c>
      <c r="F830" s="69">
        <v>19.2</v>
      </c>
      <c r="G830" s="69">
        <v>0.1</v>
      </c>
      <c r="H830" s="55">
        <v>39</v>
      </c>
      <c r="I830" s="55">
        <v>2.2000000000000002</v>
      </c>
      <c r="J830" s="55">
        <v>0</v>
      </c>
      <c r="K830" s="55">
        <v>0.08</v>
      </c>
      <c r="L830" s="55">
        <v>0.13</v>
      </c>
      <c r="M830" s="55">
        <v>0.4</v>
      </c>
      <c r="N830" s="55">
        <v>12</v>
      </c>
      <c r="O830" s="55">
        <v>28</v>
      </c>
      <c r="P830" s="47" t="s">
        <v>51</v>
      </c>
    </row>
    <row r="831" spans="1:16" ht="18" customHeight="1">
      <c r="A831" s="47" t="s">
        <v>1038</v>
      </c>
      <c r="B831" s="48" t="s">
        <v>1104</v>
      </c>
      <c r="C831" s="54" t="s">
        <v>1105</v>
      </c>
      <c r="D831" s="55">
        <v>83</v>
      </c>
      <c r="E831" s="55">
        <v>1.7</v>
      </c>
      <c r="F831" s="69">
        <v>19.2</v>
      </c>
      <c r="G831" s="69">
        <v>0.1</v>
      </c>
      <c r="H831" s="55">
        <v>39</v>
      </c>
      <c r="I831" s="57">
        <v>2.2000000000000002</v>
      </c>
      <c r="J831" s="55">
        <v>0</v>
      </c>
      <c r="K831" s="55">
        <v>0.08</v>
      </c>
      <c r="L831" s="57">
        <v>0.16</v>
      </c>
      <c r="M831" s="55">
        <v>0.4</v>
      </c>
      <c r="N831" s="55">
        <v>12</v>
      </c>
      <c r="O831" s="55">
        <v>0</v>
      </c>
      <c r="P831" s="47" t="s">
        <v>51</v>
      </c>
    </row>
    <row r="832" spans="1:16" ht="18" customHeight="1">
      <c r="A832" s="47" t="s">
        <v>1038</v>
      </c>
      <c r="B832" s="48" t="s">
        <v>1106</v>
      </c>
      <c r="C832" s="54" t="s">
        <v>1107</v>
      </c>
      <c r="D832" s="55">
        <v>11</v>
      </c>
      <c r="E832" s="55">
        <v>1.3</v>
      </c>
      <c r="F832" s="69">
        <v>3</v>
      </c>
      <c r="G832" s="69">
        <v>0.2</v>
      </c>
      <c r="H832" s="55">
        <v>212</v>
      </c>
      <c r="I832" s="55">
        <v>2.2999999999999998</v>
      </c>
      <c r="J832" s="55">
        <v>120</v>
      </c>
      <c r="K832" s="55">
        <v>0.05</v>
      </c>
      <c r="L832" s="55">
        <v>0.06</v>
      </c>
      <c r="M832" s="55">
        <v>0.3</v>
      </c>
      <c r="N832" s="55">
        <v>26</v>
      </c>
      <c r="O832" s="55">
        <v>0</v>
      </c>
      <c r="P832" s="47" t="s">
        <v>51</v>
      </c>
    </row>
    <row r="833" spans="1:16" ht="18" customHeight="1">
      <c r="A833" s="47" t="s">
        <v>1038</v>
      </c>
      <c r="B833" s="48" t="s">
        <v>1108</v>
      </c>
      <c r="C833" s="54" t="s">
        <v>1109</v>
      </c>
      <c r="D833" s="55">
        <v>21</v>
      </c>
      <c r="E833" s="55">
        <v>3.7</v>
      </c>
      <c r="F833" s="69">
        <v>4.79</v>
      </c>
      <c r="G833" s="69">
        <v>0.22</v>
      </c>
      <c r="H833" s="55">
        <v>15</v>
      </c>
      <c r="I833" s="55">
        <v>2.4</v>
      </c>
      <c r="J833" s="55">
        <v>67</v>
      </c>
      <c r="K833" s="55">
        <v>0.12</v>
      </c>
      <c r="L833" s="55">
        <v>0.25</v>
      </c>
      <c r="M833" s="55">
        <v>2</v>
      </c>
      <c r="N833" s="55">
        <v>15</v>
      </c>
      <c r="O833" s="55">
        <v>18</v>
      </c>
      <c r="P833" s="47" t="s">
        <v>51</v>
      </c>
    </row>
    <row r="834" spans="1:16" ht="18" customHeight="1">
      <c r="A834" s="47" t="s">
        <v>1038</v>
      </c>
      <c r="B834" s="48" t="s">
        <v>1110</v>
      </c>
      <c r="C834" s="54" t="s">
        <v>1111</v>
      </c>
      <c r="D834" s="55">
        <v>29</v>
      </c>
      <c r="E834" s="55">
        <v>3.9</v>
      </c>
      <c r="F834" s="69">
        <v>7.9</v>
      </c>
      <c r="G834" s="69">
        <v>0.4</v>
      </c>
      <c r="H834" s="55">
        <v>198</v>
      </c>
      <c r="I834" s="55">
        <v>3.1</v>
      </c>
      <c r="J834" s="55">
        <v>1553</v>
      </c>
      <c r="K834" s="55">
        <v>0.09</v>
      </c>
      <c r="L834" s="55">
        <v>0.28000000000000003</v>
      </c>
      <c r="M834" s="55">
        <v>1.1000000000000001</v>
      </c>
      <c r="N834" s="55">
        <v>55</v>
      </c>
      <c r="O834" s="55">
        <v>0</v>
      </c>
      <c r="P834" s="47" t="s">
        <v>51</v>
      </c>
    </row>
    <row r="835" spans="1:16" ht="18" customHeight="1">
      <c r="A835" s="47" t="s">
        <v>1038</v>
      </c>
      <c r="B835" s="48" t="s">
        <v>1112</v>
      </c>
      <c r="C835" s="54" t="s">
        <v>1113</v>
      </c>
      <c r="D835" s="55">
        <v>23</v>
      </c>
      <c r="E835" s="55">
        <v>3.2</v>
      </c>
      <c r="F835" s="69">
        <v>4.0999999999999996</v>
      </c>
      <c r="G835" s="69">
        <v>0.3</v>
      </c>
      <c r="H835" s="55">
        <v>230</v>
      </c>
      <c r="I835" s="55">
        <v>2.1</v>
      </c>
      <c r="J835" s="55">
        <v>1350</v>
      </c>
      <c r="K835" s="55">
        <v>0.09</v>
      </c>
      <c r="L835" s="55">
        <v>0.12</v>
      </c>
      <c r="M835" s="55">
        <v>0.4</v>
      </c>
      <c r="N835" s="55">
        <v>30</v>
      </c>
      <c r="O835" s="55">
        <v>0</v>
      </c>
      <c r="P835" s="47" t="s">
        <v>51</v>
      </c>
    </row>
    <row r="836" spans="1:16" ht="18" customHeight="1">
      <c r="A836" s="47" t="s">
        <v>1038</v>
      </c>
      <c r="B836" s="48" t="s">
        <v>1114</v>
      </c>
      <c r="C836" s="54" t="s">
        <v>1115</v>
      </c>
      <c r="D836" s="55">
        <v>53</v>
      </c>
      <c r="E836" s="55">
        <v>3.8</v>
      </c>
      <c r="F836" s="69">
        <v>11.5</v>
      </c>
      <c r="G836" s="69">
        <v>0.2</v>
      </c>
      <c r="H836" s="55">
        <v>32</v>
      </c>
      <c r="I836" s="55">
        <v>0.8</v>
      </c>
      <c r="J836" s="55">
        <v>0</v>
      </c>
      <c r="K836" s="55">
        <v>0.09</v>
      </c>
      <c r="L836" s="55">
        <v>0.05</v>
      </c>
      <c r="M836" s="55">
        <v>0.3</v>
      </c>
      <c r="N836" s="55">
        <v>0</v>
      </c>
      <c r="O836" s="55">
        <v>0</v>
      </c>
      <c r="P836" s="47" t="s">
        <v>51</v>
      </c>
    </row>
    <row r="837" spans="1:16" ht="18" customHeight="1">
      <c r="A837" s="47" t="s">
        <v>1038</v>
      </c>
      <c r="B837" s="48" t="s">
        <v>1116</v>
      </c>
      <c r="C837" s="54" t="s">
        <v>1115</v>
      </c>
      <c r="D837" s="55">
        <v>51</v>
      </c>
      <c r="E837" s="55">
        <v>2.6</v>
      </c>
      <c r="F837" s="69">
        <v>13.5</v>
      </c>
      <c r="G837" s="69">
        <v>0.4</v>
      </c>
      <c r="H837" s="55">
        <v>24</v>
      </c>
      <c r="I837" s="55">
        <v>0.9</v>
      </c>
      <c r="J837" s="55">
        <v>47</v>
      </c>
      <c r="K837" s="55">
        <v>0.26</v>
      </c>
      <c r="L837" s="55">
        <v>0.22</v>
      </c>
      <c r="M837" s="55">
        <v>0.5</v>
      </c>
      <c r="N837" s="55">
        <v>56</v>
      </c>
      <c r="O837" s="55">
        <v>0</v>
      </c>
      <c r="P837" s="47" t="s">
        <v>51</v>
      </c>
    </row>
    <row r="838" spans="1:16" ht="18" customHeight="1">
      <c r="A838" s="47" t="s">
        <v>1038</v>
      </c>
      <c r="B838" s="48" t="s">
        <v>1117</v>
      </c>
      <c r="C838" s="54" t="s">
        <v>1115</v>
      </c>
      <c r="D838" s="55">
        <v>113</v>
      </c>
      <c r="E838" s="55">
        <v>2</v>
      </c>
      <c r="F838" s="69">
        <v>27.34</v>
      </c>
      <c r="G838" s="69">
        <v>0.14000000000000001</v>
      </c>
      <c r="H838" s="55">
        <v>24</v>
      </c>
      <c r="I838" s="55">
        <v>0.9</v>
      </c>
      <c r="J838" s="55">
        <v>149</v>
      </c>
      <c r="K838" s="55">
        <v>0.14000000000000001</v>
      </c>
      <c r="L838" s="55">
        <v>0.06</v>
      </c>
      <c r="M838" s="55">
        <v>0.8</v>
      </c>
      <c r="N838" s="55">
        <v>4</v>
      </c>
      <c r="O838" s="55">
        <v>0</v>
      </c>
      <c r="P838" s="47" t="s">
        <v>51</v>
      </c>
    </row>
    <row r="839" spans="1:16" ht="18" customHeight="1">
      <c r="A839" s="47" t="s">
        <v>1038</v>
      </c>
      <c r="B839" s="48" t="s">
        <v>1118</v>
      </c>
      <c r="C839" s="54" t="s">
        <v>1119</v>
      </c>
      <c r="D839" s="55">
        <v>40</v>
      </c>
      <c r="E839" s="55">
        <v>3.5</v>
      </c>
      <c r="F839" s="69">
        <v>37</v>
      </c>
      <c r="G839" s="69">
        <v>0.5</v>
      </c>
      <c r="H839" s="55">
        <v>32</v>
      </c>
      <c r="I839" s="55">
        <v>1</v>
      </c>
      <c r="J839" s="55">
        <v>282</v>
      </c>
      <c r="K839" s="55">
        <v>0.13</v>
      </c>
      <c r="L839" s="55">
        <v>0.12</v>
      </c>
      <c r="M839" s="55">
        <v>0.8</v>
      </c>
      <c r="N839" s="55">
        <v>81</v>
      </c>
      <c r="O839" s="55">
        <v>0</v>
      </c>
      <c r="P839" s="47" t="s">
        <v>51</v>
      </c>
    </row>
    <row r="840" spans="1:16" ht="18" customHeight="1">
      <c r="A840" s="47"/>
      <c r="B840" s="48" t="s">
        <v>1803</v>
      </c>
      <c r="C840" s="54" t="s">
        <v>1487</v>
      </c>
      <c r="D840" s="55">
        <v>40</v>
      </c>
      <c r="E840" s="55">
        <v>3.5</v>
      </c>
      <c r="F840" s="69">
        <v>37</v>
      </c>
      <c r="G840" s="69">
        <v>0.5</v>
      </c>
      <c r="H840" s="55">
        <v>32</v>
      </c>
      <c r="I840" s="55">
        <v>1</v>
      </c>
      <c r="J840" s="55">
        <v>282</v>
      </c>
      <c r="K840" s="55">
        <v>0.13</v>
      </c>
      <c r="L840" s="55">
        <v>0.12</v>
      </c>
      <c r="M840" s="55">
        <v>0.8</v>
      </c>
      <c r="N840" s="55">
        <v>81</v>
      </c>
      <c r="O840" s="55">
        <v>0</v>
      </c>
    </row>
    <row r="841" spans="1:16" ht="18" customHeight="1">
      <c r="A841" s="47" t="s">
        <v>1038</v>
      </c>
      <c r="B841" s="48" t="s">
        <v>1762</v>
      </c>
      <c r="C841" s="54" t="s">
        <v>1121</v>
      </c>
      <c r="D841" s="55">
        <v>12</v>
      </c>
      <c r="E841" s="55">
        <v>0.5</v>
      </c>
      <c r="F841" s="69">
        <v>2.42</v>
      </c>
      <c r="G841" s="69">
        <v>0.05</v>
      </c>
      <c r="H841" s="55">
        <v>24</v>
      </c>
      <c r="I841" s="55">
        <v>0.4</v>
      </c>
      <c r="J841" s="55">
        <v>0</v>
      </c>
      <c r="K841" s="55">
        <v>0.01</v>
      </c>
      <c r="L841" s="55">
        <v>0.01</v>
      </c>
      <c r="M841" s="55">
        <v>0.2</v>
      </c>
      <c r="N841" s="55">
        <v>7</v>
      </c>
      <c r="O841" s="55">
        <v>0</v>
      </c>
      <c r="P841" s="47" t="s">
        <v>51</v>
      </c>
    </row>
    <row r="842" spans="1:16" ht="18" customHeight="1">
      <c r="A842" s="47" t="s">
        <v>1038</v>
      </c>
      <c r="B842" s="48" t="s">
        <v>1120</v>
      </c>
      <c r="C842" s="54" t="s">
        <v>1121</v>
      </c>
      <c r="D842" s="55">
        <v>12</v>
      </c>
      <c r="E842" s="55">
        <v>0.5</v>
      </c>
      <c r="F842" s="69">
        <v>2.42</v>
      </c>
      <c r="G842" s="69">
        <v>0.05</v>
      </c>
      <c r="H842" s="55">
        <v>24</v>
      </c>
      <c r="I842" s="55">
        <v>0.4</v>
      </c>
      <c r="J842" s="55">
        <v>0</v>
      </c>
      <c r="K842" s="55">
        <v>0.01</v>
      </c>
      <c r="L842" s="55">
        <v>0.01</v>
      </c>
      <c r="M842" s="55">
        <v>0.2</v>
      </c>
      <c r="N842" s="55">
        <v>7</v>
      </c>
      <c r="O842" s="55">
        <v>0</v>
      </c>
      <c r="P842" s="47" t="s">
        <v>51</v>
      </c>
    </row>
    <row r="843" spans="1:16" ht="18" customHeight="1">
      <c r="A843" s="47"/>
      <c r="B843" s="48" t="s">
        <v>1798</v>
      </c>
      <c r="C843" s="54" t="s">
        <v>1121</v>
      </c>
      <c r="D843" s="55">
        <v>12</v>
      </c>
      <c r="E843" s="55">
        <v>0.5</v>
      </c>
      <c r="F843" s="69">
        <v>2.42</v>
      </c>
      <c r="G843" s="69">
        <v>0.05</v>
      </c>
      <c r="H843" s="55">
        <v>24</v>
      </c>
      <c r="I843" s="55">
        <v>0.4</v>
      </c>
      <c r="J843" s="55">
        <v>0</v>
      </c>
      <c r="K843" s="55">
        <v>0.01</v>
      </c>
      <c r="L843" s="55">
        <v>0.01</v>
      </c>
      <c r="M843" s="55">
        <v>0.2</v>
      </c>
      <c r="N843" s="55">
        <v>7</v>
      </c>
      <c r="O843" s="55">
        <v>0</v>
      </c>
    </row>
    <row r="844" spans="1:16" ht="18" customHeight="1">
      <c r="A844" s="47"/>
      <c r="B844" s="48" t="s">
        <v>1801</v>
      </c>
      <c r="C844" s="54" t="s">
        <v>1121</v>
      </c>
      <c r="D844" s="55">
        <v>12</v>
      </c>
      <c r="E844" s="55">
        <v>0.5</v>
      </c>
      <c r="F844" s="69">
        <v>2.42</v>
      </c>
      <c r="G844" s="69">
        <v>0.05</v>
      </c>
      <c r="H844" s="55">
        <v>24</v>
      </c>
      <c r="I844" s="55">
        <v>0.4</v>
      </c>
      <c r="J844" s="55">
        <v>0</v>
      </c>
      <c r="K844" s="55">
        <v>0.01</v>
      </c>
      <c r="L844" s="55">
        <v>0.01</v>
      </c>
      <c r="M844" s="55">
        <v>0.2</v>
      </c>
      <c r="N844" s="55">
        <v>7</v>
      </c>
      <c r="O844" s="55">
        <v>0</v>
      </c>
    </row>
    <row r="845" spans="1:16" ht="18" customHeight="1">
      <c r="A845" s="47" t="s">
        <v>1038</v>
      </c>
      <c r="B845" s="48" t="s">
        <v>1122</v>
      </c>
      <c r="C845" s="54" t="s">
        <v>1123</v>
      </c>
      <c r="D845" s="55">
        <v>267</v>
      </c>
      <c r="E845" s="55">
        <v>11.2</v>
      </c>
      <c r="F845" s="69">
        <v>64.5</v>
      </c>
      <c r="G845" s="69">
        <v>2.2000000000000002</v>
      </c>
      <c r="H845" s="55">
        <v>310</v>
      </c>
      <c r="I845" s="55">
        <v>8</v>
      </c>
      <c r="J845" s="55">
        <v>0</v>
      </c>
      <c r="K845" s="55">
        <v>0.28999999999999998</v>
      </c>
      <c r="L845" s="55">
        <v>0.2</v>
      </c>
      <c r="M845" s="55">
        <v>3.1</v>
      </c>
      <c r="N845" s="55">
        <v>76</v>
      </c>
      <c r="O845" s="55">
        <v>0</v>
      </c>
      <c r="P845" s="47" t="s">
        <v>51</v>
      </c>
    </row>
    <row r="846" spans="1:16" ht="18" customHeight="1">
      <c r="A846" s="47" t="s">
        <v>1038</v>
      </c>
      <c r="B846" s="48" t="s">
        <v>1757</v>
      </c>
      <c r="C846" s="54" t="s">
        <v>10</v>
      </c>
      <c r="D846" s="55">
        <v>22</v>
      </c>
      <c r="E846" s="55">
        <v>0.9</v>
      </c>
      <c r="F846" s="69">
        <v>3.9</v>
      </c>
      <c r="G846" s="69">
        <v>0.3</v>
      </c>
      <c r="H846" s="55">
        <v>60</v>
      </c>
      <c r="I846" s="57">
        <v>0.9</v>
      </c>
      <c r="J846" s="57">
        <v>173</v>
      </c>
      <c r="K846" s="55">
        <v>0.15</v>
      </c>
      <c r="L846" s="55">
        <v>0.15</v>
      </c>
      <c r="M846" s="57">
        <v>1.8</v>
      </c>
      <c r="N846" s="55">
        <v>39</v>
      </c>
      <c r="O846" s="55">
        <v>0</v>
      </c>
      <c r="P846" s="47" t="s">
        <v>51</v>
      </c>
    </row>
    <row r="847" spans="1:16" ht="18" customHeight="1">
      <c r="A847" s="47" t="s">
        <v>1038</v>
      </c>
      <c r="B847" s="48" t="s">
        <v>1124</v>
      </c>
      <c r="C847" s="54" t="s">
        <v>1125</v>
      </c>
      <c r="D847" s="55">
        <v>22</v>
      </c>
      <c r="E847" s="55">
        <v>0.9</v>
      </c>
      <c r="F847" s="69">
        <v>3.9</v>
      </c>
      <c r="G847" s="69">
        <v>0.3</v>
      </c>
      <c r="H847" s="55">
        <v>60</v>
      </c>
      <c r="I847" s="57">
        <v>0.9</v>
      </c>
      <c r="J847" s="57">
        <v>173</v>
      </c>
      <c r="K847" s="55">
        <v>0.15</v>
      </c>
      <c r="L847" s="55">
        <v>0.15</v>
      </c>
      <c r="M847" s="57">
        <v>1.8</v>
      </c>
      <c r="N847" s="55">
        <v>39</v>
      </c>
      <c r="O847" s="55">
        <v>0</v>
      </c>
      <c r="P847" s="47" t="s">
        <v>51</v>
      </c>
    </row>
    <row r="848" spans="1:16" ht="18" customHeight="1">
      <c r="A848" s="47" t="s">
        <v>1038</v>
      </c>
      <c r="B848" s="48" t="s">
        <v>30</v>
      </c>
      <c r="C848" s="54" t="s">
        <v>1126</v>
      </c>
      <c r="D848" s="55">
        <v>32</v>
      </c>
      <c r="E848" s="55">
        <v>2.9</v>
      </c>
      <c r="F848" s="69">
        <v>1.42</v>
      </c>
      <c r="G848" s="69">
        <v>0.12</v>
      </c>
      <c r="H848" s="55">
        <v>335</v>
      </c>
      <c r="I848" s="55">
        <v>14.5</v>
      </c>
      <c r="J848" s="55">
        <v>84</v>
      </c>
      <c r="K848" s="55">
        <v>0.03</v>
      </c>
      <c r="L848" s="55">
        <v>0.05</v>
      </c>
      <c r="M848" s="55">
        <v>0.2</v>
      </c>
      <c r="N848" s="55">
        <v>0</v>
      </c>
      <c r="O848" s="55">
        <v>0</v>
      </c>
      <c r="P848" s="47" t="s">
        <v>51</v>
      </c>
    </row>
    <row r="849" spans="1:16" ht="18" customHeight="1">
      <c r="A849" s="47"/>
      <c r="B849" s="48" t="s">
        <v>2036</v>
      </c>
      <c r="C849" s="54" t="s">
        <v>1126</v>
      </c>
      <c r="D849" s="55">
        <v>32</v>
      </c>
      <c r="E849" s="55">
        <v>2.9</v>
      </c>
      <c r="F849" s="69">
        <v>1.42</v>
      </c>
      <c r="G849" s="69">
        <v>0.12</v>
      </c>
      <c r="H849" s="55">
        <v>220</v>
      </c>
      <c r="I849" s="55">
        <v>14.5</v>
      </c>
      <c r="J849" s="55">
        <v>84</v>
      </c>
      <c r="K849" s="55">
        <v>0.03</v>
      </c>
      <c r="L849" s="55">
        <v>0.05</v>
      </c>
      <c r="M849" s="55">
        <v>0.2</v>
      </c>
      <c r="N849" s="55">
        <v>0</v>
      </c>
      <c r="O849" s="55">
        <v>0</v>
      </c>
    </row>
    <row r="850" spans="1:16" ht="18" customHeight="1">
      <c r="A850" s="47" t="s">
        <v>1038</v>
      </c>
      <c r="B850" s="48" t="s">
        <v>1892</v>
      </c>
      <c r="C850" s="54" t="s">
        <v>1126</v>
      </c>
      <c r="D850" s="55">
        <v>32</v>
      </c>
      <c r="E850" s="55">
        <v>2.9</v>
      </c>
      <c r="F850" s="69">
        <v>1.42</v>
      </c>
      <c r="G850" s="69">
        <v>0.12</v>
      </c>
      <c r="H850" s="55">
        <v>220</v>
      </c>
      <c r="I850" s="55">
        <v>14.5</v>
      </c>
      <c r="J850" s="55">
        <v>84</v>
      </c>
      <c r="K850" s="55">
        <v>0.03</v>
      </c>
      <c r="L850" s="55">
        <v>0.05</v>
      </c>
      <c r="M850" s="55">
        <v>0.2</v>
      </c>
      <c r="N850" s="55">
        <v>0</v>
      </c>
      <c r="O850" s="55">
        <v>0</v>
      </c>
      <c r="P850" s="47" t="s">
        <v>51</v>
      </c>
    </row>
    <row r="851" spans="1:16" ht="18" customHeight="1">
      <c r="A851" s="47" t="s">
        <v>1038</v>
      </c>
      <c r="B851" s="48" t="s">
        <v>1897</v>
      </c>
      <c r="C851" s="54" t="s">
        <v>1126</v>
      </c>
      <c r="D851" s="55">
        <v>32</v>
      </c>
      <c r="E851" s="55">
        <v>2.9</v>
      </c>
      <c r="F851" s="69">
        <v>1.42</v>
      </c>
      <c r="G851" s="69">
        <v>0.12</v>
      </c>
      <c r="H851" s="55">
        <v>220</v>
      </c>
      <c r="I851" s="55">
        <v>14.5</v>
      </c>
      <c r="J851" s="55">
        <v>84</v>
      </c>
      <c r="K851" s="55">
        <v>0.03</v>
      </c>
      <c r="L851" s="55">
        <v>0.05</v>
      </c>
      <c r="M851" s="55">
        <v>0.2</v>
      </c>
      <c r="N851" s="55">
        <v>0</v>
      </c>
      <c r="O851" s="55">
        <v>0</v>
      </c>
      <c r="P851" s="47" t="s">
        <v>51</v>
      </c>
    </row>
    <row r="852" spans="1:16" ht="18" customHeight="1">
      <c r="A852" s="47" t="s">
        <v>1038</v>
      </c>
      <c r="B852" s="48" t="s">
        <v>1127</v>
      </c>
      <c r="C852" s="54" t="s">
        <v>1128</v>
      </c>
      <c r="D852" s="55">
        <v>87</v>
      </c>
      <c r="E852" s="55">
        <v>2.1</v>
      </c>
      <c r="F852" s="69">
        <v>21.4</v>
      </c>
      <c r="G852" s="69">
        <v>0.3</v>
      </c>
      <c r="H852" s="55">
        <v>47</v>
      </c>
      <c r="I852" s="55">
        <v>0.6</v>
      </c>
      <c r="J852" s="55">
        <v>8</v>
      </c>
      <c r="K852" s="55">
        <v>0.02</v>
      </c>
      <c r="L852" s="55">
        <v>0.02</v>
      </c>
      <c r="M852" s="55">
        <v>0.5</v>
      </c>
      <c r="N852" s="55">
        <v>4</v>
      </c>
      <c r="O852" s="55">
        <v>0</v>
      </c>
      <c r="P852" s="47" t="s">
        <v>51</v>
      </c>
    </row>
    <row r="853" spans="1:16" ht="18" customHeight="1">
      <c r="A853" s="47" t="s">
        <v>1038</v>
      </c>
      <c r="B853" s="48" t="s">
        <v>1129</v>
      </c>
      <c r="C853" s="54" t="s">
        <v>1130</v>
      </c>
      <c r="D853" s="55">
        <v>15</v>
      </c>
      <c r="E853" s="55">
        <v>0.9</v>
      </c>
      <c r="F853" s="69">
        <v>3.1</v>
      </c>
      <c r="G853" s="69">
        <v>0.1</v>
      </c>
      <c r="H853" s="55">
        <v>43</v>
      </c>
      <c r="I853" s="55">
        <v>1</v>
      </c>
      <c r="J853" s="55">
        <v>0</v>
      </c>
      <c r="K853" s="55">
        <v>0.02</v>
      </c>
      <c r="L853" s="55">
        <v>0.02</v>
      </c>
      <c r="M853" s="55">
        <v>0.2</v>
      </c>
      <c r="N853" s="55">
        <v>0</v>
      </c>
      <c r="O853" s="55">
        <v>0</v>
      </c>
      <c r="P853" s="47" t="s">
        <v>51</v>
      </c>
    </row>
    <row r="854" spans="1:16" ht="18" customHeight="1">
      <c r="A854" s="47"/>
      <c r="B854" s="48" t="s">
        <v>1131</v>
      </c>
      <c r="C854" s="54" t="s">
        <v>1130</v>
      </c>
      <c r="D854" s="55">
        <v>15</v>
      </c>
      <c r="E854" s="55">
        <v>0.9</v>
      </c>
      <c r="F854" s="69">
        <v>3.1</v>
      </c>
      <c r="G854" s="69">
        <v>0.1</v>
      </c>
      <c r="H854" s="55">
        <v>43</v>
      </c>
      <c r="I854" s="55">
        <v>1</v>
      </c>
      <c r="J854" s="55">
        <v>0</v>
      </c>
      <c r="K854" s="55">
        <v>0.02</v>
      </c>
      <c r="L854" s="55">
        <v>0.02</v>
      </c>
      <c r="M854" s="55">
        <v>0.2</v>
      </c>
      <c r="N854" s="55">
        <v>0</v>
      </c>
      <c r="O854" s="55">
        <v>0</v>
      </c>
    </row>
    <row r="855" spans="1:16" ht="18" customHeight="1">
      <c r="A855" s="47"/>
      <c r="B855" s="48" t="s">
        <v>1896</v>
      </c>
      <c r="C855" s="54" t="s">
        <v>1130</v>
      </c>
      <c r="D855" s="55">
        <v>15</v>
      </c>
      <c r="E855" s="55">
        <v>0.9</v>
      </c>
      <c r="F855" s="69">
        <v>3.1</v>
      </c>
      <c r="G855" s="69">
        <v>0.1</v>
      </c>
      <c r="H855" s="55">
        <v>43</v>
      </c>
      <c r="I855" s="55">
        <v>1</v>
      </c>
      <c r="J855" s="55">
        <v>0</v>
      </c>
      <c r="K855" s="55">
        <v>0.02</v>
      </c>
      <c r="L855" s="55">
        <v>0.02</v>
      </c>
      <c r="M855" s="55">
        <v>0.2</v>
      </c>
      <c r="N855" s="55">
        <v>0</v>
      </c>
      <c r="O855" s="55">
        <v>0</v>
      </c>
    </row>
    <row r="856" spans="1:16" ht="18" customHeight="1">
      <c r="A856" s="47" t="s">
        <v>1038</v>
      </c>
      <c r="B856" s="48" t="s">
        <v>1132</v>
      </c>
      <c r="C856" s="54" t="s">
        <v>1130</v>
      </c>
      <c r="D856" s="55">
        <v>15</v>
      </c>
      <c r="E856" s="55">
        <v>0.9</v>
      </c>
      <c r="F856" s="69">
        <v>3.1</v>
      </c>
      <c r="G856" s="69">
        <v>0.1</v>
      </c>
      <c r="H856" s="55">
        <v>43</v>
      </c>
      <c r="I856" s="55">
        <v>1</v>
      </c>
      <c r="J856" s="55">
        <v>0</v>
      </c>
      <c r="K856" s="55">
        <v>0.02</v>
      </c>
      <c r="L856" s="55">
        <v>0.02</v>
      </c>
      <c r="M856" s="55">
        <v>0.2</v>
      </c>
      <c r="N856" s="55">
        <v>0</v>
      </c>
      <c r="O856" s="55">
        <v>0</v>
      </c>
      <c r="P856" s="47" t="s">
        <v>51</v>
      </c>
    </row>
    <row r="857" spans="1:16" ht="18" customHeight="1">
      <c r="A857" s="47" t="s">
        <v>1038</v>
      </c>
      <c r="B857" s="48" t="s">
        <v>1133</v>
      </c>
      <c r="C857" s="54" t="s">
        <v>1134</v>
      </c>
      <c r="D857" s="55">
        <v>29</v>
      </c>
      <c r="E857" s="55">
        <v>1</v>
      </c>
      <c r="F857" s="69">
        <v>4.59</v>
      </c>
      <c r="G857" s="69">
        <v>0.34</v>
      </c>
      <c r="H857" s="55">
        <v>38</v>
      </c>
      <c r="I857" s="55">
        <v>0.4</v>
      </c>
      <c r="J857" s="55">
        <v>0</v>
      </c>
      <c r="K857" s="55">
        <v>0.2</v>
      </c>
      <c r="L857" s="55">
        <v>0.03</v>
      </c>
      <c r="M857" s="55">
        <v>0.9</v>
      </c>
      <c r="N857" s="55">
        <v>13</v>
      </c>
      <c r="O857" s="55">
        <v>0</v>
      </c>
      <c r="P857" s="47" t="s">
        <v>51</v>
      </c>
    </row>
    <row r="858" spans="1:16" ht="18" customHeight="1">
      <c r="A858" s="47" t="s">
        <v>1038</v>
      </c>
      <c r="B858" s="48" t="s">
        <v>1135</v>
      </c>
      <c r="C858" s="54" t="s">
        <v>1136</v>
      </c>
      <c r="D858" s="55">
        <v>26</v>
      </c>
      <c r="E858" s="55">
        <v>2.6</v>
      </c>
      <c r="F858" s="55">
        <v>5.8</v>
      </c>
      <c r="G858" s="55">
        <v>0.5</v>
      </c>
      <c r="H858" s="55">
        <v>196</v>
      </c>
      <c r="I858" s="55">
        <v>3.9</v>
      </c>
      <c r="J858" s="55">
        <v>574</v>
      </c>
      <c r="K858" s="55">
        <v>7.0000000000000007E-2</v>
      </c>
      <c r="L858" s="55">
        <v>0.28000000000000003</v>
      </c>
      <c r="M858" s="55">
        <v>4.5</v>
      </c>
      <c r="N858" s="55">
        <v>74</v>
      </c>
      <c r="O858" s="55">
        <v>0</v>
      </c>
      <c r="P858" s="47" t="s">
        <v>51</v>
      </c>
    </row>
    <row r="859" spans="1:16" ht="18" customHeight="1">
      <c r="A859" s="47" t="s">
        <v>1038</v>
      </c>
      <c r="B859" s="48" t="s">
        <v>1137</v>
      </c>
      <c r="C859" s="54" t="s">
        <v>1138</v>
      </c>
      <c r="D859" s="55">
        <v>18</v>
      </c>
      <c r="E859" s="55">
        <v>0.8</v>
      </c>
      <c r="F859" s="55">
        <v>3.65</v>
      </c>
      <c r="G859" s="55">
        <v>0.85</v>
      </c>
      <c r="H859" s="57">
        <v>26</v>
      </c>
      <c r="I859" s="57">
        <v>0.7</v>
      </c>
      <c r="J859" s="57">
        <v>8</v>
      </c>
      <c r="K859" s="57">
        <v>0.03</v>
      </c>
      <c r="L859" s="57">
        <v>0.02</v>
      </c>
      <c r="M859" s="57">
        <v>0.4</v>
      </c>
      <c r="N859" s="55">
        <v>15</v>
      </c>
      <c r="O859" s="55">
        <v>4</v>
      </c>
      <c r="P859" s="47" t="s">
        <v>51</v>
      </c>
    </row>
    <row r="860" spans="1:16" ht="18" customHeight="1">
      <c r="A860" s="47" t="s">
        <v>1038</v>
      </c>
      <c r="B860" s="48" t="s">
        <v>1139</v>
      </c>
      <c r="C860" s="54" t="s">
        <v>1140</v>
      </c>
      <c r="D860" s="55">
        <v>19</v>
      </c>
      <c r="E860" s="55">
        <v>2</v>
      </c>
      <c r="F860" s="55">
        <v>2.8</v>
      </c>
      <c r="G860" s="55">
        <v>0.76</v>
      </c>
      <c r="H860" s="55">
        <v>249</v>
      </c>
      <c r="I860" s="57">
        <v>3</v>
      </c>
      <c r="J860" s="55">
        <v>368</v>
      </c>
      <c r="K860" s="55">
        <v>0.05</v>
      </c>
      <c r="L860" s="55">
        <v>0.1</v>
      </c>
      <c r="M860" s="55">
        <v>0.6</v>
      </c>
      <c r="N860" s="55">
        <v>75</v>
      </c>
      <c r="O860" s="55">
        <v>20</v>
      </c>
      <c r="P860" s="47" t="s">
        <v>51</v>
      </c>
    </row>
    <row r="861" spans="1:16" ht="18" customHeight="1">
      <c r="A861" s="47" t="s">
        <v>1038</v>
      </c>
      <c r="B861" s="48" t="s">
        <v>1141</v>
      </c>
      <c r="C861" s="54" t="s">
        <v>1142</v>
      </c>
      <c r="D861" s="55">
        <v>20</v>
      </c>
      <c r="E861" s="55">
        <v>2.2999999999999998</v>
      </c>
      <c r="F861" s="55">
        <v>2.7</v>
      </c>
      <c r="G861" s="55">
        <v>0.95</v>
      </c>
      <c r="H861" s="55">
        <v>41</v>
      </c>
      <c r="I861" s="55">
        <v>1.4</v>
      </c>
      <c r="J861" s="55">
        <v>248</v>
      </c>
      <c r="K861" s="55">
        <v>0.02</v>
      </c>
      <c r="L861" s="55">
        <v>0.06</v>
      </c>
      <c r="M861" s="55">
        <v>0.6</v>
      </c>
      <c r="N861" s="55">
        <v>6</v>
      </c>
      <c r="O861" s="55">
        <v>0</v>
      </c>
      <c r="P861" s="47" t="s">
        <v>51</v>
      </c>
    </row>
    <row r="862" spans="1:16" ht="18" customHeight="1">
      <c r="A862" s="47" t="s">
        <v>1038</v>
      </c>
      <c r="B862" s="48" t="s">
        <v>1143</v>
      </c>
      <c r="C862" s="54" t="s">
        <v>1144</v>
      </c>
      <c r="D862" s="55">
        <v>16</v>
      </c>
      <c r="E862" s="55">
        <v>1.5</v>
      </c>
      <c r="F862" s="55">
        <v>2.6</v>
      </c>
      <c r="G862" s="55">
        <v>1.1499999999999999</v>
      </c>
      <c r="H862" s="55">
        <v>24</v>
      </c>
      <c r="I862" s="55">
        <v>2</v>
      </c>
      <c r="J862" s="55">
        <v>250</v>
      </c>
      <c r="K862" s="55">
        <v>0.06</v>
      </c>
      <c r="L862" s="55">
        <v>0.12</v>
      </c>
      <c r="M862" s="55">
        <v>1.5</v>
      </c>
      <c r="N862" s="55">
        <v>10</v>
      </c>
      <c r="O862" s="55">
        <v>0</v>
      </c>
      <c r="P862" s="47" t="s">
        <v>51</v>
      </c>
    </row>
    <row r="863" spans="1:16" ht="18" customHeight="1">
      <c r="A863" s="47" t="s">
        <v>1038</v>
      </c>
      <c r="B863" s="48" t="s">
        <v>1145</v>
      </c>
      <c r="C863" s="54" t="s">
        <v>1146</v>
      </c>
      <c r="D863" s="55">
        <v>21</v>
      </c>
      <c r="E863" s="55">
        <v>1.9</v>
      </c>
      <c r="F863" s="55">
        <v>3.2</v>
      </c>
      <c r="G863" s="55">
        <v>1.31</v>
      </c>
      <c r="H863" s="55">
        <v>76</v>
      </c>
      <c r="I863" s="55">
        <v>0.5</v>
      </c>
      <c r="J863" s="55">
        <v>155</v>
      </c>
      <c r="K863" s="55">
        <v>0.03</v>
      </c>
      <c r="L863" s="55">
        <v>0.08</v>
      </c>
      <c r="M863" s="55">
        <v>0.9</v>
      </c>
      <c r="N863" s="55">
        <v>85</v>
      </c>
      <c r="O863" s="55">
        <v>22</v>
      </c>
      <c r="P863" s="47" t="s">
        <v>51</v>
      </c>
    </row>
    <row r="864" spans="1:16" ht="18" customHeight="1">
      <c r="A864" s="47"/>
      <c r="B864" s="48" t="s">
        <v>1147</v>
      </c>
      <c r="C864" s="54" t="s">
        <v>1148</v>
      </c>
      <c r="D864" s="55">
        <v>12</v>
      </c>
      <c r="E864" s="55">
        <v>1.4</v>
      </c>
      <c r="F864" s="55">
        <v>1.74</v>
      </c>
      <c r="G864" s="55">
        <v>0.08</v>
      </c>
      <c r="H864" s="55">
        <v>38</v>
      </c>
      <c r="I864" s="57">
        <v>0.4</v>
      </c>
      <c r="J864" s="57">
        <v>6</v>
      </c>
      <c r="K864" s="57">
        <v>0.03</v>
      </c>
      <c r="L864" s="57">
        <v>0.03</v>
      </c>
      <c r="M864" s="57">
        <v>0.6</v>
      </c>
      <c r="N864" s="55">
        <v>28</v>
      </c>
      <c r="O864" s="55">
        <v>21</v>
      </c>
    </row>
    <row r="865" spans="1:16" ht="18" customHeight="1">
      <c r="A865" s="47" t="s">
        <v>1038</v>
      </c>
      <c r="B865" s="48" t="s">
        <v>1149</v>
      </c>
      <c r="C865" s="54" t="s">
        <v>1148</v>
      </c>
      <c r="D865" s="55">
        <v>12</v>
      </c>
      <c r="E865" s="55">
        <v>1.4</v>
      </c>
      <c r="F865" s="55">
        <v>1.74</v>
      </c>
      <c r="G865" s="55">
        <v>0.08</v>
      </c>
      <c r="H865" s="55">
        <v>38</v>
      </c>
      <c r="I865" s="57">
        <v>0.4</v>
      </c>
      <c r="J865" s="57">
        <v>6</v>
      </c>
      <c r="K865" s="57">
        <v>0.03</v>
      </c>
      <c r="L865" s="57">
        <v>0.03</v>
      </c>
      <c r="M865" s="57">
        <v>0.6</v>
      </c>
      <c r="N865" s="55">
        <v>28</v>
      </c>
      <c r="O865" s="55">
        <v>21</v>
      </c>
      <c r="P865" s="47" t="s">
        <v>51</v>
      </c>
    </row>
    <row r="866" spans="1:16" ht="18" customHeight="1">
      <c r="A866" s="47" t="s">
        <v>1038</v>
      </c>
      <c r="B866" s="48" t="s">
        <v>1150</v>
      </c>
      <c r="C866" s="54" t="s">
        <v>1151</v>
      </c>
      <c r="D866" s="55">
        <v>10</v>
      </c>
      <c r="E866" s="55">
        <v>1.4</v>
      </c>
      <c r="F866" s="55">
        <v>28.5</v>
      </c>
      <c r="G866" s="55">
        <v>0.09</v>
      </c>
      <c r="H866" s="55">
        <v>61</v>
      </c>
      <c r="I866" s="55">
        <v>1.3</v>
      </c>
      <c r="J866" s="55">
        <v>61</v>
      </c>
      <c r="K866" s="55">
        <v>0.03</v>
      </c>
      <c r="L866" s="55">
        <v>0.03</v>
      </c>
      <c r="M866" s="55">
        <v>0.7</v>
      </c>
      <c r="N866" s="55">
        <v>24</v>
      </c>
      <c r="O866" s="55">
        <v>6</v>
      </c>
      <c r="P866" s="47" t="s">
        <v>51</v>
      </c>
    </row>
    <row r="867" spans="1:16" ht="18" customHeight="1">
      <c r="A867" s="47" t="s">
        <v>1038</v>
      </c>
      <c r="B867" s="48" t="s">
        <v>1152</v>
      </c>
      <c r="C867" s="54" t="s">
        <v>1151</v>
      </c>
      <c r="D867" s="55">
        <v>10</v>
      </c>
      <c r="E867" s="55">
        <v>1.4</v>
      </c>
      <c r="F867" s="55">
        <v>28.5</v>
      </c>
      <c r="G867" s="55">
        <v>1.31</v>
      </c>
      <c r="H867" s="55">
        <v>61</v>
      </c>
      <c r="I867" s="55">
        <v>1.3</v>
      </c>
      <c r="J867" s="55">
        <v>61</v>
      </c>
      <c r="K867" s="55">
        <v>0.03</v>
      </c>
      <c r="L867" s="55">
        <v>0.03</v>
      </c>
      <c r="M867" s="55">
        <v>0.7</v>
      </c>
      <c r="N867" s="55">
        <v>24</v>
      </c>
      <c r="O867" s="55">
        <v>6</v>
      </c>
      <c r="P867" s="47" t="s">
        <v>51</v>
      </c>
    </row>
    <row r="868" spans="1:16" ht="18" customHeight="1">
      <c r="A868" s="47" t="s">
        <v>1038</v>
      </c>
      <c r="B868" s="48" t="s">
        <v>1153</v>
      </c>
      <c r="C868" s="54" t="s">
        <v>1154</v>
      </c>
      <c r="D868" s="55">
        <v>31</v>
      </c>
      <c r="E868" s="55">
        <v>4.3</v>
      </c>
      <c r="F868" s="55">
        <v>3.7</v>
      </c>
      <c r="G868" s="55">
        <v>0.4</v>
      </c>
      <c r="H868" s="55">
        <v>34</v>
      </c>
      <c r="I868" s="55">
        <v>2.9</v>
      </c>
      <c r="J868" s="55">
        <v>638</v>
      </c>
      <c r="K868" s="55">
        <v>0.41</v>
      </c>
      <c r="L868" s="55">
        <v>0.06</v>
      </c>
      <c r="M868" s="55">
        <v>0</v>
      </c>
      <c r="N868" s="55">
        <v>41</v>
      </c>
      <c r="O868" s="55">
        <v>0</v>
      </c>
      <c r="P868" s="47" t="s">
        <v>51</v>
      </c>
    </row>
    <row r="869" spans="1:16" ht="18" customHeight="1">
      <c r="A869" s="47" t="s">
        <v>1038</v>
      </c>
      <c r="B869" s="48" t="s">
        <v>1155</v>
      </c>
      <c r="C869" s="54" t="s">
        <v>1156</v>
      </c>
      <c r="D869" s="55">
        <v>15.5</v>
      </c>
      <c r="E869" s="55">
        <v>11</v>
      </c>
      <c r="F869" s="55">
        <v>23.2</v>
      </c>
      <c r="G869" s="55">
        <v>6.93</v>
      </c>
      <c r="H869" s="55">
        <v>58</v>
      </c>
      <c r="I869" s="55">
        <v>6.8</v>
      </c>
      <c r="J869" s="55">
        <v>4623</v>
      </c>
      <c r="K869" s="55">
        <v>0.3</v>
      </c>
      <c r="L869" s="55">
        <v>1.1000000000000001</v>
      </c>
      <c r="M869" s="55">
        <v>12.5</v>
      </c>
      <c r="N869" s="55">
        <v>26</v>
      </c>
      <c r="O869" s="55">
        <v>37</v>
      </c>
      <c r="P869" s="47" t="s">
        <v>51</v>
      </c>
    </row>
    <row r="870" spans="1:16" ht="18" customHeight="1">
      <c r="A870" s="47" t="s">
        <v>1038</v>
      </c>
      <c r="B870" s="48" t="s">
        <v>29</v>
      </c>
      <c r="C870" s="54" t="s">
        <v>1157</v>
      </c>
      <c r="D870" s="55">
        <v>29</v>
      </c>
      <c r="E870" s="55">
        <v>1.7</v>
      </c>
      <c r="F870" s="55">
        <v>5.18</v>
      </c>
      <c r="G870" s="55">
        <v>0.16</v>
      </c>
      <c r="H870" s="55">
        <v>31</v>
      </c>
      <c r="I870" s="55">
        <v>0.5</v>
      </c>
      <c r="J870" s="55">
        <v>3</v>
      </c>
      <c r="K870" s="55">
        <v>7.0000000000000007E-2</v>
      </c>
      <c r="L870" s="55">
        <v>0.05</v>
      </c>
      <c r="M870" s="55">
        <v>0.4</v>
      </c>
      <c r="N870" s="55">
        <v>51</v>
      </c>
      <c r="O870" s="55">
        <v>19</v>
      </c>
      <c r="P870" s="47" t="s">
        <v>51</v>
      </c>
    </row>
    <row r="871" spans="1:16" ht="18" customHeight="1">
      <c r="A871" s="47" t="s">
        <v>1038</v>
      </c>
      <c r="B871" s="48" t="s">
        <v>1715</v>
      </c>
      <c r="C871" s="54" t="s">
        <v>1159</v>
      </c>
      <c r="D871" s="55">
        <v>18</v>
      </c>
      <c r="E871" s="55">
        <v>1.2</v>
      </c>
      <c r="F871" s="55">
        <v>3.5</v>
      </c>
      <c r="G871" s="55">
        <v>0.3</v>
      </c>
      <c r="H871" s="55">
        <v>56</v>
      </c>
      <c r="I871" s="57">
        <v>0.7</v>
      </c>
      <c r="J871" s="55">
        <v>155</v>
      </c>
      <c r="K871" s="55">
        <v>0.06</v>
      </c>
      <c r="L871" s="55">
        <v>7.0000000000000007E-2</v>
      </c>
      <c r="M871" s="55">
        <v>0.37</v>
      </c>
      <c r="N871" s="55">
        <v>10</v>
      </c>
      <c r="O871" s="55">
        <v>0</v>
      </c>
      <c r="P871" s="47" t="s">
        <v>51</v>
      </c>
    </row>
    <row r="872" spans="1:16" ht="18" customHeight="1">
      <c r="A872" s="47" t="s">
        <v>1038</v>
      </c>
      <c r="B872" s="48" t="s">
        <v>1761</v>
      </c>
      <c r="C872" s="54" t="s">
        <v>1159</v>
      </c>
      <c r="D872" s="55">
        <v>18</v>
      </c>
      <c r="E872" s="55">
        <v>1.2</v>
      </c>
      <c r="F872" s="55">
        <v>3.5</v>
      </c>
      <c r="G872" s="55">
        <v>0.3</v>
      </c>
      <c r="H872" s="55">
        <v>56</v>
      </c>
      <c r="I872" s="57">
        <v>0.7</v>
      </c>
      <c r="J872" s="55">
        <v>155</v>
      </c>
      <c r="K872" s="55">
        <v>0.06</v>
      </c>
      <c r="L872" s="55">
        <v>7.0000000000000007E-2</v>
      </c>
      <c r="M872" s="55">
        <v>0.37</v>
      </c>
      <c r="N872" s="55">
        <v>10</v>
      </c>
      <c r="O872" s="55">
        <v>0</v>
      </c>
      <c r="P872" s="47" t="s">
        <v>51</v>
      </c>
    </row>
    <row r="873" spans="1:16" ht="18" customHeight="1">
      <c r="A873" s="47" t="s">
        <v>1038</v>
      </c>
      <c r="B873" s="48" t="s">
        <v>1158</v>
      </c>
      <c r="C873" s="54" t="s">
        <v>1159</v>
      </c>
      <c r="D873" s="55">
        <v>18</v>
      </c>
      <c r="E873" s="55">
        <v>1.2</v>
      </c>
      <c r="F873" s="55">
        <v>3.5</v>
      </c>
      <c r="G873" s="55">
        <v>0.3</v>
      </c>
      <c r="H873" s="55">
        <v>56</v>
      </c>
      <c r="I873" s="57">
        <v>0.7</v>
      </c>
      <c r="J873" s="55">
        <v>155</v>
      </c>
      <c r="K873" s="55">
        <v>0.06</v>
      </c>
      <c r="L873" s="55">
        <v>7.0000000000000007E-2</v>
      </c>
      <c r="M873" s="55">
        <v>0.37</v>
      </c>
      <c r="N873" s="55">
        <v>10</v>
      </c>
      <c r="O873" s="55">
        <v>0</v>
      </c>
      <c r="P873" s="47" t="s">
        <v>51</v>
      </c>
    </row>
    <row r="874" spans="1:16" ht="18" customHeight="1">
      <c r="A874" s="47" t="s">
        <v>1038</v>
      </c>
      <c r="B874" s="48" t="s">
        <v>1646</v>
      </c>
      <c r="C874" s="54" t="s">
        <v>1159</v>
      </c>
      <c r="D874" s="55">
        <v>18</v>
      </c>
      <c r="E874" s="55">
        <v>1.2</v>
      </c>
      <c r="F874" s="55">
        <v>3.5</v>
      </c>
      <c r="G874" s="55">
        <v>0.3</v>
      </c>
      <c r="H874" s="55">
        <v>56</v>
      </c>
      <c r="I874" s="57">
        <v>0.7</v>
      </c>
      <c r="J874" s="55">
        <v>155</v>
      </c>
      <c r="K874" s="55">
        <v>0.06</v>
      </c>
      <c r="L874" s="55">
        <v>7.0000000000000007E-2</v>
      </c>
      <c r="M874" s="55">
        <v>0.37</v>
      </c>
      <c r="N874" s="55">
        <v>10</v>
      </c>
      <c r="O874" s="55">
        <v>0</v>
      </c>
      <c r="P874" s="47" t="s">
        <v>51</v>
      </c>
    </row>
    <row r="875" spans="1:16" ht="18" customHeight="1">
      <c r="A875" s="47" t="s">
        <v>1038</v>
      </c>
      <c r="B875" s="48" t="s">
        <v>1160</v>
      </c>
      <c r="C875" s="54" t="s">
        <v>1160</v>
      </c>
      <c r="D875" s="55">
        <v>12</v>
      </c>
      <c r="E875" s="55">
        <v>0.7</v>
      </c>
      <c r="F875" s="55">
        <v>2.7</v>
      </c>
      <c r="G875" s="55">
        <v>0.2</v>
      </c>
      <c r="H875" s="55">
        <v>56</v>
      </c>
      <c r="I875" s="57">
        <v>0.2</v>
      </c>
      <c r="J875" s="55">
        <v>35</v>
      </c>
      <c r="K875" s="55">
        <v>0.02</v>
      </c>
      <c r="L875" s="55">
        <v>0.02</v>
      </c>
      <c r="M875" s="55">
        <v>0.3</v>
      </c>
      <c r="N875" s="55">
        <v>10</v>
      </c>
      <c r="O875" s="55">
        <v>12</v>
      </c>
      <c r="P875" s="47" t="s">
        <v>51</v>
      </c>
    </row>
    <row r="876" spans="1:16" ht="18" customHeight="1">
      <c r="A876" s="47" t="s">
        <v>1038</v>
      </c>
      <c r="B876" s="48" t="s">
        <v>1161</v>
      </c>
      <c r="C876" s="54" t="s">
        <v>1162</v>
      </c>
      <c r="D876" s="55">
        <v>53</v>
      </c>
      <c r="E876" s="55">
        <v>1.5</v>
      </c>
      <c r="F876" s="55">
        <v>2.76</v>
      </c>
      <c r="G876" s="55">
        <v>0.17</v>
      </c>
      <c r="H876" s="55">
        <v>13</v>
      </c>
      <c r="I876" s="55">
        <v>0.8</v>
      </c>
      <c r="J876" s="55">
        <v>0</v>
      </c>
      <c r="K876" s="55">
        <v>0.03</v>
      </c>
      <c r="L876" s="55">
        <v>0.04</v>
      </c>
      <c r="M876" s="55">
        <v>1</v>
      </c>
      <c r="N876" s="55">
        <v>5</v>
      </c>
      <c r="O876" s="55">
        <v>17</v>
      </c>
    </row>
    <row r="877" spans="1:16" ht="18" customHeight="1">
      <c r="A877" s="47" t="s">
        <v>1038</v>
      </c>
      <c r="B877" s="48" t="s">
        <v>1163</v>
      </c>
      <c r="C877" s="54" t="s">
        <v>1164</v>
      </c>
      <c r="D877" s="55">
        <v>33</v>
      </c>
      <c r="E877" s="55">
        <v>1.3</v>
      </c>
      <c r="F877" s="55">
        <v>2.76</v>
      </c>
      <c r="G877" s="55">
        <v>0.2</v>
      </c>
      <c r="H877" s="55">
        <v>8</v>
      </c>
      <c r="I877" s="55">
        <v>2.2999999999999998</v>
      </c>
      <c r="J877" s="55">
        <v>2</v>
      </c>
      <c r="K877" s="55">
        <v>0.09</v>
      </c>
      <c r="L877" s="55">
        <v>0.08</v>
      </c>
      <c r="M877" s="55">
        <v>0.6</v>
      </c>
      <c r="N877" s="55">
        <v>4</v>
      </c>
      <c r="O877" s="55">
        <v>0</v>
      </c>
      <c r="P877" s="47" t="s">
        <v>51</v>
      </c>
    </row>
    <row r="878" spans="1:16" ht="18" customHeight="1">
      <c r="A878" s="47" t="s">
        <v>1038</v>
      </c>
      <c r="B878" s="48" t="s">
        <v>20</v>
      </c>
      <c r="C878" s="54" t="s">
        <v>1165</v>
      </c>
      <c r="D878" s="55">
        <v>11</v>
      </c>
      <c r="E878" s="55">
        <v>2.2000000000000002</v>
      </c>
      <c r="F878" s="55">
        <v>1.3</v>
      </c>
      <c r="G878" s="55">
        <v>0.1</v>
      </c>
      <c r="H878" s="55">
        <v>15</v>
      </c>
      <c r="I878" s="55">
        <v>0.6</v>
      </c>
      <c r="J878" s="55">
        <v>4</v>
      </c>
      <c r="K878" s="55">
        <v>0.04</v>
      </c>
      <c r="L878" s="55">
        <v>0.05</v>
      </c>
      <c r="M878" s="55">
        <v>0.5</v>
      </c>
      <c r="N878" s="55">
        <v>10</v>
      </c>
      <c r="O878" s="55">
        <v>0</v>
      </c>
      <c r="P878" s="47" t="s">
        <v>51</v>
      </c>
    </row>
    <row r="879" spans="1:16" ht="18" customHeight="1">
      <c r="A879" s="47" t="s">
        <v>1038</v>
      </c>
      <c r="B879" s="48" t="s">
        <v>1166</v>
      </c>
      <c r="C879" s="54" t="s">
        <v>1167</v>
      </c>
      <c r="D879" s="55">
        <v>27</v>
      </c>
      <c r="E879" s="55">
        <v>2.8</v>
      </c>
      <c r="F879" s="55">
        <v>4</v>
      </c>
      <c r="G879" s="55">
        <v>0.43</v>
      </c>
      <c r="H879" s="55">
        <v>43</v>
      </c>
      <c r="I879" s="55">
        <v>2.5</v>
      </c>
      <c r="J879" s="55">
        <v>477</v>
      </c>
      <c r="K879" s="55">
        <v>0.12</v>
      </c>
      <c r="L879" s="55">
        <v>0.28000000000000003</v>
      </c>
      <c r="M879" s="55">
        <v>0.5</v>
      </c>
      <c r="N879" s="55">
        <v>66</v>
      </c>
      <c r="O879" s="55">
        <v>15</v>
      </c>
      <c r="P879" s="47" t="s">
        <v>51</v>
      </c>
    </row>
    <row r="880" spans="1:16" ht="18" customHeight="1">
      <c r="A880" s="47" t="s">
        <v>1038</v>
      </c>
      <c r="B880" s="48" t="s">
        <v>1168</v>
      </c>
      <c r="C880" s="54" t="s">
        <v>1169</v>
      </c>
      <c r="D880" s="55">
        <v>13</v>
      </c>
      <c r="E880" s="55">
        <v>1.5</v>
      </c>
      <c r="F880" s="55">
        <v>2.09</v>
      </c>
      <c r="G880" s="55">
        <v>0.09</v>
      </c>
      <c r="H880" s="55">
        <v>75</v>
      </c>
      <c r="I880" s="55">
        <v>0.8</v>
      </c>
      <c r="J880" s="55">
        <v>220</v>
      </c>
      <c r="K880" s="55">
        <v>0.05</v>
      </c>
      <c r="L880" s="55">
        <v>0.08</v>
      </c>
      <c r="M880" s="55">
        <v>0.4</v>
      </c>
      <c r="N880" s="55">
        <v>24</v>
      </c>
      <c r="O880" s="55">
        <v>13</v>
      </c>
      <c r="P880" s="47" t="s">
        <v>51</v>
      </c>
    </row>
    <row r="881" spans="1:16" ht="18" customHeight="1">
      <c r="A881" s="47"/>
      <c r="B881" s="48" t="s">
        <v>1170</v>
      </c>
      <c r="C881" s="54"/>
      <c r="D881" s="55">
        <v>13</v>
      </c>
      <c r="E881" s="55">
        <v>1.5</v>
      </c>
      <c r="F881" s="55">
        <v>6.7</v>
      </c>
      <c r="G881" s="55">
        <v>0.3</v>
      </c>
      <c r="H881" s="55">
        <v>75</v>
      </c>
      <c r="I881" s="55">
        <v>0.8</v>
      </c>
      <c r="J881" s="55">
        <v>220</v>
      </c>
      <c r="K881" s="55">
        <v>0.05</v>
      </c>
      <c r="L881" s="55">
        <v>0.08</v>
      </c>
      <c r="M881" s="55">
        <v>0.4</v>
      </c>
      <c r="N881" s="55">
        <v>24</v>
      </c>
      <c r="O881" s="55">
        <v>13</v>
      </c>
    </row>
    <row r="882" spans="1:16" ht="18" customHeight="1">
      <c r="A882" s="47" t="s">
        <v>1038</v>
      </c>
      <c r="B882" s="48" t="s">
        <v>1171</v>
      </c>
      <c r="C882" s="54" t="s">
        <v>1172</v>
      </c>
      <c r="D882" s="55">
        <v>18</v>
      </c>
      <c r="E882" s="55">
        <v>5</v>
      </c>
      <c r="F882" s="55">
        <v>0.46</v>
      </c>
      <c r="G882" s="55">
        <v>0.46</v>
      </c>
      <c r="H882" s="55">
        <v>119</v>
      </c>
      <c r="I882" s="55">
        <v>6</v>
      </c>
      <c r="J882" s="55">
        <v>374</v>
      </c>
      <c r="K882" s="55">
        <v>0.09</v>
      </c>
      <c r="L882" s="55">
        <v>0.17</v>
      </c>
      <c r="M882" s="55">
        <v>2.2000000000000002</v>
      </c>
      <c r="N882" s="55">
        <v>22</v>
      </c>
      <c r="O882" s="55">
        <v>8</v>
      </c>
      <c r="P882" s="47" t="s">
        <v>51</v>
      </c>
    </row>
    <row r="883" spans="1:16" ht="18" customHeight="1">
      <c r="A883" s="47" t="s">
        <v>1038</v>
      </c>
      <c r="B883" s="48" t="s">
        <v>1173</v>
      </c>
      <c r="C883" s="54" t="s">
        <v>1174</v>
      </c>
      <c r="D883" s="55">
        <v>19</v>
      </c>
      <c r="E883" s="55">
        <v>2.7</v>
      </c>
      <c r="F883" s="55">
        <v>2.6</v>
      </c>
      <c r="G883" s="55">
        <v>0.28000000000000003</v>
      </c>
      <c r="H883" s="55">
        <v>94</v>
      </c>
      <c r="I883" s="55">
        <v>1.9</v>
      </c>
      <c r="J883" s="55">
        <v>458</v>
      </c>
      <c r="K883" s="55">
        <v>0.11</v>
      </c>
      <c r="L883" s="55">
        <v>0.23</v>
      </c>
      <c r="M883" s="55">
        <v>0.6</v>
      </c>
      <c r="N883" s="55">
        <v>15</v>
      </c>
      <c r="O883" s="55">
        <v>7</v>
      </c>
      <c r="P883" s="47" t="s">
        <v>51</v>
      </c>
    </row>
    <row r="884" spans="1:16" ht="18" customHeight="1">
      <c r="A884" s="47" t="s">
        <v>1038</v>
      </c>
      <c r="B884" s="48" t="s">
        <v>1175</v>
      </c>
      <c r="C884" s="54" t="s">
        <v>1175</v>
      </c>
      <c r="D884" s="55">
        <v>20</v>
      </c>
      <c r="E884" s="55">
        <v>3.6</v>
      </c>
      <c r="F884" s="55">
        <v>1.53</v>
      </c>
      <c r="G884" s="55">
        <v>0.54</v>
      </c>
      <c r="H884" s="55">
        <v>94</v>
      </c>
      <c r="I884" s="55">
        <v>2</v>
      </c>
      <c r="J884" s="55">
        <v>1143</v>
      </c>
      <c r="K884" s="55">
        <v>0.11</v>
      </c>
      <c r="L884" s="55">
        <v>0.19</v>
      </c>
      <c r="M884" s="55">
        <v>0.9</v>
      </c>
      <c r="N884" s="55">
        <v>48</v>
      </c>
      <c r="O884" s="55">
        <v>10</v>
      </c>
      <c r="P884" s="47" t="s">
        <v>51</v>
      </c>
    </row>
    <row r="885" spans="1:16" ht="18" customHeight="1">
      <c r="A885" s="47" t="s">
        <v>1038</v>
      </c>
      <c r="B885" s="48" t="s">
        <v>1909</v>
      </c>
      <c r="C885" s="54" t="s">
        <v>1175</v>
      </c>
      <c r="D885" s="55">
        <v>20</v>
      </c>
      <c r="E885" s="55">
        <v>3.6</v>
      </c>
      <c r="F885" s="55">
        <v>1.53</v>
      </c>
      <c r="G885" s="55">
        <v>0.54</v>
      </c>
      <c r="H885" s="55">
        <v>94</v>
      </c>
      <c r="I885" s="55">
        <v>2</v>
      </c>
      <c r="J885" s="55">
        <v>1143</v>
      </c>
      <c r="K885" s="55">
        <v>0.11</v>
      </c>
      <c r="L885" s="55">
        <v>0.19</v>
      </c>
      <c r="M885" s="55">
        <v>0.9</v>
      </c>
      <c r="N885" s="55">
        <v>48</v>
      </c>
      <c r="O885" s="55">
        <v>10</v>
      </c>
      <c r="P885" s="47" t="s">
        <v>51</v>
      </c>
    </row>
    <row r="886" spans="1:16" ht="18" customHeight="1">
      <c r="A886" s="47" t="s">
        <v>1038</v>
      </c>
      <c r="B886" s="48" t="s">
        <v>1176</v>
      </c>
      <c r="C886" s="54" t="s">
        <v>1177</v>
      </c>
      <c r="D886" s="55">
        <v>51</v>
      </c>
      <c r="E886" s="55">
        <v>2.7</v>
      </c>
      <c r="F886" s="55">
        <v>9.4</v>
      </c>
      <c r="G886" s="55">
        <v>1.3</v>
      </c>
      <c r="H886" s="55">
        <v>11</v>
      </c>
      <c r="I886" s="55">
        <v>0.4</v>
      </c>
      <c r="J886" s="55">
        <v>16</v>
      </c>
      <c r="K886" s="55">
        <v>0.04</v>
      </c>
      <c r="L886" s="55">
        <v>0.01</v>
      </c>
      <c r="M886" s="55">
        <v>0.3</v>
      </c>
      <c r="N886" s="55">
        <v>6</v>
      </c>
      <c r="O886" s="55">
        <v>0</v>
      </c>
      <c r="P886" s="47" t="s">
        <v>51</v>
      </c>
    </row>
    <row r="887" spans="1:16" ht="18" customHeight="1">
      <c r="A887" s="47" t="s">
        <v>1056</v>
      </c>
      <c r="B887" s="48" t="s">
        <v>1178</v>
      </c>
      <c r="C887" s="54" t="s">
        <v>1179</v>
      </c>
      <c r="D887" s="55">
        <v>28</v>
      </c>
      <c r="E887" s="55">
        <v>5</v>
      </c>
      <c r="F887" s="55">
        <v>2.2000000000000002</v>
      </c>
      <c r="G887" s="55">
        <v>0.18</v>
      </c>
      <c r="H887" s="55">
        <v>73</v>
      </c>
      <c r="I887" s="55">
        <v>1.5</v>
      </c>
      <c r="J887" s="55">
        <v>128</v>
      </c>
      <c r="K887" s="55">
        <v>0.12</v>
      </c>
      <c r="L887" s="55">
        <v>0.26</v>
      </c>
      <c r="M887" s="55">
        <v>1.1000000000000001</v>
      </c>
      <c r="N887" s="55">
        <v>98</v>
      </c>
      <c r="O887" s="55">
        <v>39</v>
      </c>
      <c r="P887" s="47" t="s">
        <v>104</v>
      </c>
    </row>
    <row r="888" spans="1:16" ht="18" customHeight="1">
      <c r="A888" s="47" t="s">
        <v>1056</v>
      </c>
      <c r="B888" s="48" t="s">
        <v>1180</v>
      </c>
      <c r="C888" s="54" t="s">
        <v>1181</v>
      </c>
      <c r="D888" s="55">
        <v>30</v>
      </c>
      <c r="E888" s="55">
        <v>3.3</v>
      </c>
      <c r="F888" s="55">
        <v>4.3</v>
      </c>
      <c r="G888" s="55">
        <v>0.98</v>
      </c>
      <c r="H888" s="55">
        <v>169</v>
      </c>
      <c r="I888" s="55">
        <v>5.7</v>
      </c>
      <c r="J888" s="55">
        <v>429</v>
      </c>
      <c r="K888" s="55">
        <v>0.05</v>
      </c>
      <c r="L888" s="55">
        <v>0.09</v>
      </c>
      <c r="M888" s="55">
        <v>0.6</v>
      </c>
      <c r="N888" s="55">
        <v>36</v>
      </c>
      <c r="O888" s="55">
        <v>0</v>
      </c>
      <c r="P888" s="47" t="s">
        <v>104</v>
      </c>
    </row>
    <row r="889" spans="1:16" ht="18" customHeight="1">
      <c r="A889" s="47" t="s">
        <v>1056</v>
      </c>
      <c r="B889" s="48" t="s">
        <v>1182</v>
      </c>
      <c r="C889" s="54" t="s">
        <v>1183</v>
      </c>
      <c r="D889" s="55">
        <v>45</v>
      </c>
      <c r="E889" s="55">
        <v>1.9</v>
      </c>
      <c r="F889" s="55">
        <v>8.48</v>
      </c>
      <c r="G889" s="55">
        <v>1.07</v>
      </c>
      <c r="H889" s="55">
        <v>21</v>
      </c>
      <c r="I889" s="55">
        <v>0.8</v>
      </c>
      <c r="J889" s="55">
        <v>0</v>
      </c>
      <c r="K889" s="55">
        <v>0.04</v>
      </c>
      <c r="L889" s="55">
        <v>0.02</v>
      </c>
      <c r="M889" s="55">
        <v>0.2</v>
      </c>
      <c r="N889" s="55">
        <v>10</v>
      </c>
      <c r="O889" s="55">
        <v>16</v>
      </c>
      <c r="P889" s="47" t="s">
        <v>104</v>
      </c>
    </row>
    <row r="890" spans="1:16" ht="18" customHeight="1">
      <c r="A890" s="47" t="s">
        <v>1038</v>
      </c>
      <c r="B890" s="48" t="s">
        <v>1184</v>
      </c>
      <c r="C890" s="54" t="s">
        <v>1185</v>
      </c>
      <c r="D890" s="55">
        <v>24</v>
      </c>
      <c r="E890" s="55">
        <v>1.2</v>
      </c>
      <c r="F890" s="55">
        <v>4.9000000000000004</v>
      </c>
      <c r="G890" s="55">
        <v>1.17</v>
      </c>
      <c r="H890" s="55">
        <v>40</v>
      </c>
      <c r="I890" s="55">
        <v>0.4</v>
      </c>
      <c r="J890" s="55">
        <v>3</v>
      </c>
      <c r="K890" s="55">
        <v>0.03</v>
      </c>
      <c r="L890" s="55">
        <v>0.03</v>
      </c>
      <c r="M890" s="55">
        <v>0.1</v>
      </c>
      <c r="N890" s="55">
        <v>24</v>
      </c>
      <c r="O890" s="55">
        <v>0</v>
      </c>
      <c r="P890" s="47" t="s">
        <v>51</v>
      </c>
    </row>
    <row r="891" spans="1:16" ht="18" customHeight="1">
      <c r="A891" s="47" t="s">
        <v>1038</v>
      </c>
      <c r="B891" s="48" t="s">
        <v>1186</v>
      </c>
      <c r="C891" s="54" t="s">
        <v>1187</v>
      </c>
      <c r="D891" s="55">
        <v>31</v>
      </c>
      <c r="E891" s="55">
        <v>1.4</v>
      </c>
      <c r="F891" s="55">
        <v>6.28</v>
      </c>
      <c r="G891" s="55">
        <v>1.34</v>
      </c>
      <c r="H891" s="55">
        <v>38</v>
      </c>
      <c r="I891" s="55">
        <v>0.4</v>
      </c>
      <c r="J891" s="55">
        <v>3</v>
      </c>
      <c r="K891" s="55">
        <v>0.04</v>
      </c>
      <c r="L891" s="55">
        <v>0.04</v>
      </c>
      <c r="M891" s="55">
        <v>0.3</v>
      </c>
      <c r="N891" s="55">
        <v>29</v>
      </c>
      <c r="O891" s="55">
        <v>0</v>
      </c>
      <c r="P891" s="47" t="s">
        <v>51</v>
      </c>
    </row>
    <row r="892" spans="1:16" ht="18" customHeight="1">
      <c r="A892" s="47" t="s">
        <v>1038</v>
      </c>
      <c r="B892" s="48" t="s">
        <v>1188</v>
      </c>
      <c r="C892" s="54" t="s">
        <v>1188</v>
      </c>
      <c r="D892" s="55">
        <v>11</v>
      </c>
      <c r="E892" s="55">
        <v>0</v>
      </c>
      <c r="F892" s="55">
        <v>1.98</v>
      </c>
      <c r="G892" s="55">
        <v>1.43</v>
      </c>
      <c r="H892" s="55">
        <v>32</v>
      </c>
      <c r="I892" s="55">
        <v>0.6</v>
      </c>
      <c r="J892" s="55">
        <v>90</v>
      </c>
      <c r="K892" s="55">
        <v>0.04</v>
      </c>
      <c r="L892" s="55">
        <v>0.09</v>
      </c>
      <c r="M892" s="55">
        <v>0.12</v>
      </c>
      <c r="N892" s="55">
        <v>6.9</v>
      </c>
      <c r="O892" s="55">
        <v>14</v>
      </c>
      <c r="P892" s="47" t="s">
        <v>51</v>
      </c>
    </row>
    <row r="893" spans="1:16" ht="18" customHeight="1">
      <c r="A893" s="47" t="s">
        <v>1056</v>
      </c>
      <c r="B893" s="48" t="s">
        <v>2</v>
      </c>
      <c r="C893" s="54" t="s">
        <v>1189</v>
      </c>
      <c r="D893" s="55">
        <v>18</v>
      </c>
      <c r="E893" s="55">
        <v>1.2</v>
      </c>
      <c r="F893" s="55">
        <v>3.5</v>
      </c>
      <c r="G893" s="55">
        <v>1.73</v>
      </c>
      <c r="H893" s="55">
        <v>56</v>
      </c>
      <c r="I893" s="55">
        <v>2.1</v>
      </c>
      <c r="J893" s="55">
        <v>365</v>
      </c>
      <c r="K893" s="55">
        <v>7.0000000000000007E-2</v>
      </c>
      <c r="L893" s="55">
        <v>0.08</v>
      </c>
      <c r="M893" s="55">
        <v>0.4</v>
      </c>
      <c r="N893" s="55">
        <v>19</v>
      </c>
      <c r="O893" s="55">
        <v>0</v>
      </c>
      <c r="P893" s="47" t="s">
        <v>104</v>
      </c>
    </row>
    <row r="894" spans="1:16" ht="18" customHeight="1">
      <c r="A894" s="47" t="s">
        <v>1056</v>
      </c>
      <c r="B894" s="48" t="s">
        <v>1190</v>
      </c>
      <c r="C894" s="54" t="s">
        <v>1191</v>
      </c>
      <c r="D894" s="55">
        <v>35</v>
      </c>
      <c r="E894" s="55">
        <v>1</v>
      </c>
      <c r="F894" s="55">
        <v>7.66</v>
      </c>
      <c r="G894" s="55">
        <v>0.19</v>
      </c>
      <c r="H894" s="55">
        <v>15</v>
      </c>
      <c r="I894" s="55">
        <v>0.3</v>
      </c>
      <c r="J894" s="55">
        <v>0</v>
      </c>
      <c r="K894" s="55">
        <v>0.04</v>
      </c>
      <c r="L894" s="55">
        <v>0.01</v>
      </c>
      <c r="M894" s="55">
        <v>0.2</v>
      </c>
      <c r="N894" s="55">
        <v>8</v>
      </c>
      <c r="O894" s="55">
        <v>0</v>
      </c>
      <c r="P894" s="47" t="s">
        <v>51</v>
      </c>
    </row>
    <row r="895" spans="1:16" ht="18" customHeight="1">
      <c r="A895" s="47" t="s">
        <v>1056</v>
      </c>
      <c r="B895" s="48" t="s">
        <v>1192</v>
      </c>
      <c r="C895" s="54" t="s">
        <v>1193</v>
      </c>
      <c r="D895" s="55">
        <v>67</v>
      </c>
      <c r="E895" s="55">
        <v>2.1</v>
      </c>
      <c r="F895" s="55">
        <v>13.5</v>
      </c>
      <c r="G895" s="55">
        <v>0.09</v>
      </c>
      <c r="H895" s="55">
        <v>22</v>
      </c>
      <c r="I895" s="55">
        <v>0.9</v>
      </c>
      <c r="J895" s="55">
        <v>0</v>
      </c>
      <c r="K895" s="55">
        <v>0.11</v>
      </c>
      <c r="L895" s="55">
        <v>0.01</v>
      </c>
      <c r="M895" s="55">
        <v>0.3</v>
      </c>
      <c r="N895" s="55">
        <v>57</v>
      </c>
      <c r="O895" s="55">
        <v>0</v>
      </c>
    </row>
    <row r="896" spans="1:16" ht="18" customHeight="1">
      <c r="A896" s="47" t="s">
        <v>1038</v>
      </c>
      <c r="B896" s="48" t="s">
        <v>1194</v>
      </c>
      <c r="C896" s="54" t="s">
        <v>1193</v>
      </c>
      <c r="D896" s="55">
        <v>67</v>
      </c>
      <c r="E896" s="55">
        <v>2.1</v>
      </c>
      <c r="F896" s="55">
        <v>13.57</v>
      </c>
      <c r="G896" s="55">
        <v>0.09</v>
      </c>
      <c r="H896" s="55">
        <v>22</v>
      </c>
      <c r="I896" s="55">
        <v>0.9</v>
      </c>
      <c r="J896" s="55">
        <v>0</v>
      </c>
      <c r="K896" s="55">
        <v>0.11</v>
      </c>
      <c r="L896" s="55">
        <v>0.01</v>
      </c>
      <c r="M896" s="55">
        <v>0.3</v>
      </c>
      <c r="N896" s="55">
        <v>57</v>
      </c>
      <c r="O896" s="55">
        <v>0</v>
      </c>
      <c r="P896" s="47" t="s">
        <v>51</v>
      </c>
    </row>
    <row r="897" spans="1:16" ht="18" customHeight="1">
      <c r="A897" s="47" t="s">
        <v>1038</v>
      </c>
      <c r="B897" s="48" t="s">
        <v>1743</v>
      </c>
      <c r="C897" s="54" t="s">
        <v>1196</v>
      </c>
      <c r="D897" s="55">
        <v>9</v>
      </c>
      <c r="E897" s="55">
        <v>0</v>
      </c>
      <c r="F897" s="55">
        <v>1.76</v>
      </c>
      <c r="G897" s="55">
        <v>0.1</v>
      </c>
      <c r="H897" s="55">
        <v>20</v>
      </c>
      <c r="I897" s="55">
        <v>0.3</v>
      </c>
      <c r="J897" s="55">
        <v>24</v>
      </c>
      <c r="K897" s="55">
        <v>0.04</v>
      </c>
      <c r="L897" s="55">
        <v>0.04</v>
      </c>
      <c r="M897" s="55">
        <v>0.2</v>
      </c>
      <c r="N897" s="55">
        <v>10</v>
      </c>
      <c r="O897" s="55">
        <v>0</v>
      </c>
      <c r="P897" s="47" t="s">
        <v>51</v>
      </c>
    </row>
    <row r="898" spans="1:16" ht="18" customHeight="1">
      <c r="A898" s="47"/>
      <c r="B898" s="48" t="s">
        <v>2191</v>
      </c>
      <c r="C898" s="54"/>
      <c r="D898" s="55">
        <v>385</v>
      </c>
      <c r="E898" s="55">
        <v>10</v>
      </c>
      <c r="F898" s="55">
        <v>72</v>
      </c>
      <c r="G898" s="55">
        <v>4</v>
      </c>
      <c r="H898" s="55"/>
      <c r="I898" s="55"/>
      <c r="J898" s="55"/>
      <c r="K898" s="55"/>
      <c r="L898" s="55"/>
      <c r="M898" s="55"/>
      <c r="N898" s="55"/>
      <c r="O898" s="55"/>
    </row>
    <row r="899" spans="1:16" ht="18" customHeight="1">
      <c r="A899" s="47" t="s">
        <v>1038</v>
      </c>
      <c r="B899" s="48" t="s">
        <v>1195</v>
      </c>
      <c r="C899" s="54" t="s">
        <v>1196</v>
      </c>
      <c r="D899" s="55">
        <v>9</v>
      </c>
      <c r="E899" s="55">
        <v>0</v>
      </c>
      <c r="F899" s="55">
        <v>1.76</v>
      </c>
      <c r="G899" s="55">
        <v>0.1</v>
      </c>
      <c r="H899" s="55">
        <v>20</v>
      </c>
      <c r="I899" s="55">
        <v>0.3</v>
      </c>
      <c r="J899" s="55">
        <v>24</v>
      </c>
      <c r="K899" s="55">
        <v>0.04</v>
      </c>
      <c r="L899" s="55">
        <v>0.04</v>
      </c>
      <c r="M899" s="55">
        <v>0.2</v>
      </c>
      <c r="N899" s="55">
        <v>10</v>
      </c>
      <c r="O899" s="55">
        <v>0</v>
      </c>
      <c r="P899" s="47" t="s">
        <v>51</v>
      </c>
    </row>
    <row r="900" spans="1:16" ht="18" customHeight="1">
      <c r="A900" s="47" t="s">
        <v>1038</v>
      </c>
      <c r="B900" s="48" t="s">
        <v>1197</v>
      </c>
      <c r="C900" s="54" t="s">
        <v>1197</v>
      </c>
      <c r="D900" s="55">
        <v>8</v>
      </c>
      <c r="E900" s="55">
        <v>0.8</v>
      </c>
      <c r="F900" s="55">
        <v>54.79</v>
      </c>
      <c r="G900" s="55">
        <v>0.19</v>
      </c>
      <c r="H900" s="55">
        <v>33</v>
      </c>
      <c r="I900" s="55">
        <v>0.4</v>
      </c>
      <c r="J900" s="55">
        <v>17</v>
      </c>
      <c r="K900" s="55">
        <v>0.03</v>
      </c>
      <c r="L900" s="55">
        <v>0.01</v>
      </c>
      <c r="M900" s="55">
        <v>0.1</v>
      </c>
      <c r="N900" s="55">
        <v>0</v>
      </c>
      <c r="O900" s="55">
        <v>0</v>
      </c>
      <c r="P900" s="47" t="s">
        <v>51</v>
      </c>
    </row>
    <row r="901" spans="1:16" ht="18" customHeight="1">
      <c r="A901" s="47" t="s">
        <v>1038</v>
      </c>
      <c r="B901" s="48" t="s">
        <v>1198</v>
      </c>
      <c r="C901" s="54" t="s">
        <v>1198</v>
      </c>
      <c r="D901" s="55">
        <v>103</v>
      </c>
      <c r="E901" s="55">
        <v>0.4</v>
      </c>
      <c r="F901" s="55">
        <v>53.54</v>
      </c>
      <c r="G901" s="55">
        <v>0.3</v>
      </c>
      <c r="H901" s="55">
        <v>18</v>
      </c>
      <c r="I901" s="55">
        <v>0.3</v>
      </c>
      <c r="J901" s="55">
        <v>9</v>
      </c>
      <c r="K901" s="55">
        <v>0.01</v>
      </c>
      <c r="L901" s="55">
        <v>0.01</v>
      </c>
      <c r="M901" s="55">
        <v>0.1</v>
      </c>
      <c r="N901" s="55">
        <v>0</v>
      </c>
      <c r="O901" s="55">
        <v>0</v>
      </c>
      <c r="P901" s="47" t="s">
        <v>51</v>
      </c>
    </row>
    <row r="902" spans="1:16" ht="18" customHeight="1">
      <c r="A902" s="47" t="s">
        <v>1038</v>
      </c>
      <c r="B902" s="48" t="s">
        <v>1786</v>
      </c>
      <c r="C902" s="54" t="s">
        <v>1198</v>
      </c>
      <c r="D902" s="55">
        <v>103</v>
      </c>
      <c r="E902" s="55">
        <v>0.4</v>
      </c>
      <c r="F902" s="55">
        <v>53.54</v>
      </c>
      <c r="G902" s="55">
        <v>0.3</v>
      </c>
      <c r="H902" s="55">
        <v>18</v>
      </c>
      <c r="I902" s="55">
        <v>0.3</v>
      </c>
      <c r="J902" s="55">
        <v>9</v>
      </c>
      <c r="K902" s="55">
        <v>0.01</v>
      </c>
      <c r="L902" s="55">
        <v>0.01</v>
      </c>
      <c r="M902" s="55">
        <v>0.1</v>
      </c>
      <c r="N902" s="55">
        <v>0</v>
      </c>
      <c r="O902" s="55">
        <v>0</v>
      </c>
      <c r="P902" s="47" t="s">
        <v>51</v>
      </c>
    </row>
    <row r="903" spans="1:16" ht="18" customHeight="1">
      <c r="A903" s="47" t="s">
        <v>1038</v>
      </c>
      <c r="B903" s="48" t="s">
        <v>1199</v>
      </c>
      <c r="C903" s="54" t="s">
        <v>1200</v>
      </c>
      <c r="D903" s="55">
        <v>84</v>
      </c>
      <c r="E903" s="55">
        <v>3.3</v>
      </c>
      <c r="F903" s="55">
        <v>25.74</v>
      </c>
      <c r="G903" s="55">
        <v>1.1000000000000001</v>
      </c>
      <c r="H903" s="55">
        <v>28</v>
      </c>
      <c r="I903" s="55">
        <v>1.5</v>
      </c>
      <c r="J903" s="55">
        <v>40</v>
      </c>
      <c r="K903" s="55">
        <v>0.03</v>
      </c>
      <c r="L903" s="55">
        <v>0.03</v>
      </c>
      <c r="M903" s="55">
        <v>1</v>
      </c>
      <c r="N903" s="55">
        <v>0</v>
      </c>
      <c r="O903" s="55">
        <v>0</v>
      </c>
      <c r="P903" s="47" t="s">
        <v>51</v>
      </c>
    </row>
    <row r="904" spans="1:16" ht="18" customHeight="1">
      <c r="A904" s="47" t="s">
        <v>1038</v>
      </c>
      <c r="B904" s="48" t="s">
        <v>1201</v>
      </c>
      <c r="C904" s="54" t="s">
        <v>1200</v>
      </c>
      <c r="D904" s="55">
        <v>84</v>
      </c>
      <c r="E904" s="55">
        <v>3.3</v>
      </c>
      <c r="F904" s="55">
        <v>25.74</v>
      </c>
      <c r="G904" s="55">
        <v>0.3</v>
      </c>
      <c r="H904" s="55">
        <v>28</v>
      </c>
      <c r="I904" s="55">
        <v>1.5</v>
      </c>
      <c r="J904" s="55">
        <v>40</v>
      </c>
      <c r="K904" s="55">
        <v>0.03</v>
      </c>
      <c r="L904" s="55">
        <v>0.03</v>
      </c>
      <c r="M904" s="55">
        <v>1</v>
      </c>
      <c r="N904" s="55">
        <v>0</v>
      </c>
      <c r="O904" s="55">
        <v>0</v>
      </c>
      <c r="P904" s="47" t="s">
        <v>51</v>
      </c>
    </row>
    <row r="905" spans="1:16" ht="18" customHeight="1">
      <c r="A905" s="47" t="s">
        <v>1038</v>
      </c>
      <c r="B905" s="48" t="s">
        <v>1202</v>
      </c>
      <c r="C905" s="54" t="s">
        <v>1203</v>
      </c>
      <c r="D905" s="55">
        <v>65</v>
      </c>
      <c r="E905" s="55">
        <v>1.8</v>
      </c>
      <c r="F905" s="55">
        <v>11.34</v>
      </c>
      <c r="G905" s="55">
        <v>0.1</v>
      </c>
      <c r="H905" s="55">
        <v>60</v>
      </c>
      <c r="I905" s="55">
        <v>1.1000000000000001</v>
      </c>
      <c r="J905" s="55">
        <v>0</v>
      </c>
      <c r="K905" s="55">
        <v>0.06</v>
      </c>
      <c r="L905" s="55">
        <v>0.04</v>
      </c>
      <c r="M905" s="55">
        <v>0.2</v>
      </c>
      <c r="N905" s="55">
        <v>0</v>
      </c>
      <c r="O905" s="55">
        <v>0</v>
      </c>
      <c r="P905" s="47" t="s">
        <v>51</v>
      </c>
    </row>
    <row r="906" spans="1:16" ht="18" customHeight="1">
      <c r="A906" s="47" t="s">
        <v>1038</v>
      </c>
      <c r="B906" s="48" t="s">
        <v>1204</v>
      </c>
      <c r="C906" s="54" t="s">
        <v>1205</v>
      </c>
      <c r="D906" s="55">
        <v>62</v>
      </c>
      <c r="E906" s="55">
        <v>3.1</v>
      </c>
      <c r="F906" s="55">
        <v>11.34</v>
      </c>
      <c r="G906" s="55">
        <v>0.1</v>
      </c>
      <c r="H906" s="55">
        <v>56</v>
      </c>
      <c r="I906" s="55">
        <v>0.8</v>
      </c>
      <c r="J906" s="55">
        <v>0</v>
      </c>
      <c r="K906" s="55">
        <v>0.03</v>
      </c>
      <c r="L906" s="55">
        <v>7.0000000000000007E-2</v>
      </c>
      <c r="M906" s="55">
        <v>0.5</v>
      </c>
      <c r="N906" s="55">
        <v>3</v>
      </c>
      <c r="O906" s="55">
        <v>0</v>
      </c>
      <c r="P906" s="47" t="s">
        <v>51</v>
      </c>
    </row>
    <row r="907" spans="1:16" ht="18" customHeight="1">
      <c r="A907" s="47"/>
      <c r="B907" s="48" t="s">
        <v>1647</v>
      </c>
      <c r="C907" s="54"/>
      <c r="D907" s="55">
        <v>62</v>
      </c>
      <c r="E907" s="55">
        <v>3.1</v>
      </c>
      <c r="F907" s="55">
        <v>11.34</v>
      </c>
      <c r="G907" s="55">
        <v>0.1</v>
      </c>
      <c r="H907" s="55">
        <v>56</v>
      </c>
      <c r="I907" s="55">
        <v>0.8</v>
      </c>
      <c r="J907" s="55">
        <v>0</v>
      </c>
      <c r="K907" s="55">
        <v>0.03</v>
      </c>
      <c r="L907" s="55">
        <v>7.0000000000000007E-2</v>
      </c>
      <c r="M907" s="55">
        <v>0.5</v>
      </c>
      <c r="N907" s="55">
        <v>3</v>
      </c>
      <c r="O907" s="55">
        <v>0</v>
      </c>
    </row>
    <row r="908" spans="1:16" ht="18" customHeight="1">
      <c r="A908" s="47" t="s">
        <v>1038</v>
      </c>
      <c r="B908" s="48" t="s">
        <v>1206</v>
      </c>
      <c r="C908" s="54" t="s">
        <v>1207</v>
      </c>
      <c r="D908" s="55">
        <v>36</v>
      </c>
      <c r="E908" s="55">
        <v>3.1</v>
      </c>
      <c r="F908" s="55">
        <v>0.6</v>
      </c>
      <c r="G908" s="55">
        <v>3.29</v>
      </c>
      <c r="H908" s="55">
        <v>24</v>
      </c>
      <c r="I908" s="55">
        <v>0.8</v>
      </c>
      <c r="J908" s="55">
        <v>348</v>
      </c>
      <c r="K908" s="55">
        <v>0.16</v>
      </c>
      <c r="L908" s="55">
        <v>0.33</v>
      </c>
      <c r="M908" s="55">
        <v>2.1</v>
      </c>
      <c r="N908" s="55">
        <v>26</v>
      </c>
      <c r="O908" s="55">
        <v>0</v>
      </c>
      <c r="P908" s="47" t="s">
        <v>51</v>
      </c>
    </row>
    <row r="909" spans="1:16" ht="18" customHeight="1">
      <c r="A909" s="47" t="s">
        <v>1038</v>
      </c>
      <c r="B909" s="48" t="s">
        <v>1208</v>
      </c>
      <c r="C909" s="54" t="s">
        <v>1209</v>
      </c>
      <c r="D909" s="55">
        <v>13</v>
      </c>
      <c r="E909" s="55">
        <v>1.3</v>
      </c>
      <c r="F909" s="55">
        <v>2</v>
      </c>
      <c r="G909" s="55">
        <v>0.14000000000000001</v>
      </c>
      <c r="H909" s="55">
        <v>17</v>
      </c>
      <c r="I909" s="55">
        <v>0.2</v>
      </c>
      <c r="J909" s="55">
        <v>0</v>
      </c>
      <c r="K909" s="55">
        <v>0.02</v>
      </c>
      <c r="L909" s="55">
        <v>0.01</v>
      </c>
      <c r="M909" s="55">
        <v>0.1</v>
      </c>
      <c r="N909" s="55">
        <v>0</v>
      </c>
      <c r="O909" s="55">
        <v>0</v>
      </c>
      <c r="P909" s="47" t="s">
        <v>51</v>
      </c>
    </row>
    <row r="910" spans="1:16" ht="18" customHeight="1">
      <c r="A910" s="47" t="s">
        <v>1038</v>
      </c>
      <c r="B910" s="48" t="s">
        <v>1210</v>
      </c>
      <c r="C910" s="54" t="s">
        <v>1211</v>
      </c>
      <c r="D910" s="55">
        <v>29</v>
      </c>
      <c r="E910" s="55">
        <v>3.1</v>
      </c>
      <c r="F910" s="55">
        <v>5.7</v>
      </c>
      <c r="G910" s="55">
        <v>0.1</v>
      </c>
      <c r="H910" s="55">
        <v>46</v>
      </c>
      <c r="I910" s="55">
        <v>0.9</v>
      </c>
      <c r="J910" s="55">
        <v>234</v>
      </c>
      <c r="K910" s="55">
        <v>0.04</v>
      </c>
      <c r="L910" s="55">
        <v>0.03</v>
      </c>
      <c r="M910" s="55">
        <v>0.2</v>
      </c>
      <c r="N910" s="55">
        <v>6</v>
      </c>
      <c r="O910" s="55">
        <v>0</v>
      </c>
      <c r="P910" s="47" t="s">
        <v>51</v>
      </c>
    </row>
    <row r="911" spans="1:16" ht="18" customHeight="1">
      <c r="A911" s="47" t="s">
        <v>1038</v>
      </c>
      <c r="B911" s="48" t="s">
        <v>1212</v>
      </c>
      <c r="C911" s="54" t="s">
        <v>1213</v>
      </c>
      <c r="D911" s="55">
        <v>14</v>
      </c>
      <c r="E911" s="55">
        <v>1.3</v>
      </c>
      <c r="F911" s="55">
        <v>2.09</v>
      </c>
      <c r="G911" s="55">
        <v>0.27</v>
      </c>
      <c r="H911" s="55">
        <v>90</v>
      </c>
      <c r="I911" s="55">
        <v>0.8</v>
      </c>
      <c r="J911" s="55">
        <v>345</v>
      </c>
      <c r="K911" s="55">
        <v>0.06</v>
      </c>
      <c r="L911" s="55">
        <v>7.0000000000000007E-2</v>
      </c>
      <c r="M911" s="55">
        <v>0.6</v>
      </c>
      <c r="N911" s="55">
        <v>48</v>
      </c>
      <c r="O911" s="55">
        <v>9</v>
      </c>
      <c r="P911" s="47" t="s">
        <v>51</v>
      </c>
    </row>
    <row r="912" spans="1:16" ht="18" customHeight="1">
      <c r="A912" s="47" t="s">
        <v>1038</v>
      </c>
      <c r="B912" s="48" t="s">
        <v>1214</v>
      </c>
      <c r="C912" s="54" t="s">
        <v>1215</v>
      </c>
      <c r="D912" s="55">
        <v>31</v>
      </c>
      <c r="E912" s="55">
        <v>3.3</v>
      </c>
      <c r="F912" s="55">
        <v>5.4</v>
      </c>
      <c r="G912" s="55">
        <v>0.4</v>
      </c>
      <c r="H912" s="55">
        <v>124</v>
      </c>
      <c r="I912" s="55">
        <v>2.2999999999999998</v>
      </c>
      <c r="J912" s="55">
        <v>594</v>
      </c>
      <c r="K912" s="55">
        <v>0.04</v>
      </c>
      <c r="L912" s="55">
        <v>0.1</v>
      </c>
      <c r="M912" s="55">
        <v>0.7</v>
      </c>
      <c r="N912" s="55">
        <v>14</v>
      </c>
      <c r="O912" s="55">
        <v>0</v>
      </c>
      <c r="P912" s="47" t="s">
        <v>51</v>
      </c>
    </row>
    <row r="913" spans="1:16" ht="18" customHeight="1">
      <c r="A913" s="47" t="s">
        <v>1038</v>
      </c>
      <c r="B913" s="48" t="s">
        <v>1216</v>
      </c>
      <c r="C913" s="54" t="s">
        <v>1216</v>
      </c>
      <c r="D913" s="55">
        <v>28</v>
      </c>
      <c r="E913" s="55">
        <v>0</v>
      </c>
      <c r="F913" s="55">
        <v>14.35</v>
      </c>
      <c r="G913" s="55">
        <v>0.16</v>
      </c>
      <c r="H913" s="55">
        <v>41</v>
      </c>
      <c r="I913" s="55">
        <v>0.8</v>
      </c>
      <c r="J913" s="55">
        <v>1</v>
      </c>
      <c r="K913" s="55">
        <v>0.04</v>
      </c>
      <c r="L913" s="55">
        <v>0.03</v>
      </c>
      <c r="M913" s="55">
        <v>0.4</v>
      </c>
      <c r="N913" s="55">
        <v>5</v>
      </c>
      <c r="O913" s="55">
        <v>18</v>
      </c>
      <c r="P913" s="47" t="s">
        <v>51</v>
      </c>
    </row>
    <row r="914" spans="1:16" ht="18" customHeight="1">
      <c r="A914" s="47" t="s">
        <v>1038</v>
      </c>
      <c r="B914" s="48" t="s">
        <v>1217</v>
      </c>
      <c r="C914" s="54" t="s">
        <v>1218</v>
      </c>
      <c r="D914" s="55">
        <v>23.3</v>
      </c>
      <c r="E914" s="55">
        <v>0.7</v>
      </c>
      <c r="F914" s="55">
        <v>3.85</v>
      </c>
      <c r="G914" s="55">
        <v>0.37</v>
      </c>
      <c r="H914" s="55">
        <v>100</v>
      </c>
      <c r="I914" s="55">
        <v>0.9</v>
      </c>
      <c r="J914" s="55">
        <v>360</v>
      </c>
      <c r="K914" s="55">
        <v>0.06</v>
      </c>
      <c r="L914" s="55">
        <v>0.1</v>
      </c>
      <c r="M914" s="55">
        <v>0.6</v>
      </c>
      <c r="N914" s="55">
        <v>24.4</v>
      </c>
      <c r="O914" s="55">
        <v>18</v>
      </c>
      <c r="P914" s="47" t="s">
        <v>51</v>
      </c>
    </row>
    <row r="915" spans="1:16" ht="18" customHeight="1">
      <c r="A915" s="47" t="s">
        <v>1038</v>
      </c>
      <c r="B915" s="48" t="s">
        <v>1219</v>
      </c>
      <c r="C915" s="54" t="s">
        <v>1219</v>
      </c>
      <c r="D915" s="55">
        <v>16</v>
      </c>
      <c r="E915" s="55">
        <v>2.9</v>
      </c>
      <c r="F915" s="55">
        <v>1.49</v>
      </c>
      <c r="G915" s="55">
        <v>1.4</v>
      </c>
      <c r="H915" s="55">
        <v>320</v>
      </c>
      <c r="I915" s="55">
        <v>1.2</v>
      </c>
      <c r="J915" s="55">
        <v>303</v>
      </c>
      <c r="K915" s="55">
        <v>0.14000000000000001</v>
      </c>
      <c r="L915" s="55">
        <v>0.25</v>
      </c>
      <c r="M915" s="55">
        <v>1.3</v>
      </c>
      <c r="N915" s="55">
        <v>83</v>
      </c>
      <c r="O915" s="55">
        <v>7</v>
      </c>
      <c r="P915" s="47" t="s">
        <v>51</v>
      </c>
    </row>
    <row r="916" spans="1:16" ht="18" customHeight="1">
      <c r="A916" s="47"/>
      <c r="B916" s="48" t="s">
        <v>1811</v>
      </c>
      <c r="C916" s="54" t="s">
        <v>1811</v>
      </c>
      <c r="D916" s="55">
        <v>273</v>
      </c>
      <c r="E916" s="55">
        <v>21</v>
      </c>
      <c r="F916" s="55">
        <v>43</v>
      </c>
      <c r="G916" s="55">
        <v>2</v>
      </c>
      <c r="H916" s="55">
        <v>0</v>
      </c>
      <c r="I916" s="55">
        <v>0</v>
      </c>
      <c r="J916" s="55">
        <v>0</v>
      </c>
      <c r="K916" s="55">
        <v>0</v>
      </c>
      <c r="L916" s="55">
        <v>0</v>
      </c>
      <c r="M916" s="55">
        <v>0</v>
      </c>
      <c r="N916" s="55">
        <v>0</v>
      </c>
      <c r="O916" s="55">
        <v>0</v>
      </c>
    </row>
    <row r="917" spans="1:16" ht="18" customHeight="1">
      <c r="A917" s="47" t="s">
        <v>1038</v>
      </c>
      <c r="B917" s="48" t="s">
        <v>1220</v>
      </c>
      <c r="C917" s="54" t="s">
        <v>1221</v>
      </c>
      <c r="D917" s="55">
        <v>30</v>
      </c>
      <c r="E917" s="55">
        <v>2</v>
      </c>
      <c r="F917" s="55">
        <v>1.6</v>
      </c>
      <c r="G917" s="55">
        <v>0.9</v>
      </c>
      <c r="H917" s="55">
        <v>31</v>
      </c>
      <c r="I917" s="55">
        <v>0.4</v>
      </c>
      <c r="J917" s="55">
        <v>0</v>
      </c>
      <c r="K917" s="55">
        <v>0.01</v>
      </c>
      <c r="L917" s="55">
        <v>0.03</v>
      </c>
      <c r="M917" s="55">
        <v>0.44</v>
      </c>
      <c r="N917" s="55">
        <v>6</v>
      </c>
      <c r="O917" s="55">
        <v>0</v>
      </c>
      <c r="P917" s="47" t="s">
        <v>51</v>
      </c>
    </row>
    <row r="918" spans="1:16" ht="18" customHeight="1">
      <c r="A918" s="47" t="s">
        <v>1038</v>
      </c>
      <c r="B918" s="48" t="s">
        <v>1222</v>
      </c>
      <c r="C918" s="54" t="s">
        <v>1222</v>
      </c>
      <c r="D918" s="55">
        <v>30</v>
      </c>
      <c r="E918" s="55">
        <v>5</v>
      </c>
      <c r="F918" s="55">
        <v>1.6</v>
      </c>
      <c r="G918" s="55">
        <v>0.3</v>
      </c>
      <c r="H918" s="55">
        <v>31</v>
      </c>
      <c r="I918" s="55">
        <v>0.6</v>
      </c>
      <c r="J918" s="55">
        <v>0</v>
      </c>
      <c r="K918" s="55">
        <v>0.09</v>
      </c>
      <c r="L918" s="55">
        <v>0.1</v>
      </c>
      <c r="M918" s="55">
        <v>0.7</v>
      </c>
      <c r="N918" s="55">
        <v>8</v>
      </c>
      <c r="O918" s="55">
        <v>0</v>
      </c>
      <c r="P918" s="47" t="s">
        <v>51</v>
      </c>
    </row>
    <row r="919" spans="1:16" ht="18" customHeight="1">
      <c r="A919" s="47" t="s">
        <v>1038</v>
      </c>
      <c r="B919" s="48" t="s">
        <v>1223</v>
      </c>
      <c r="C919" s="54" t="s">
        <v>1223</v>
      </c>
      <c r="D919" s="55">
        <v>77</v>
      </c>
      <c r="E919" s="55">
        <v>6.6</v>
      </c>
      <c r="F919" s="55">
        <v>16.399999999999999</v>
      </c>
      <c r="G919" s="55">
        <v>1.2</v>
      </c>
      <c r="H919" s="55">
        <v>33</v>
      </c>
      <c r="I919" s="55">
        <v>1.6</v>
      </c>
      <c r="J919" s="55">
        <v>6</v>
      </c>
      <c r="K919" s="55">
        <v>0.12</v>
      </c>
      <c r="L919" s="55">
        <v>0.16</v>
      </c>
      <c r="M919" s="55">
        <v>3.9</v>
      </c>
      <c r="N919" s="55">
        <v>16</v>
      </c>
      <c r="O919" s="55">
        <v>0</v>
      </c>
      <c r="P919" s="47" t="s">
        <v>51</v>
      </c>
    </row>
    <row r="920" spans="1:16" ht="18" customHeight="1">
      <c r="A920" s="47" t="s">
        <v>1038</v>
      </c>
      <c r="B920" s="48" t="s">
        <v>1224</v>
      </c>
      <c r="C920" s="54" t="s">
        <v>1225</v>
      </c>
      <c r="D920" s="55">
        <v>237</v>
      </c>
      <c r="E920" s="55">
        <v>6.2</v>
      </c>
      <c r="F920" s="55">
        <v>59.4</v>
      </c>
      <c r="G920" s="55">
        <v>0.2</v>
      </c>
      <c r="H920" s="55">
        <v>709</v>
      </c>
      <c r="I920" s="55">
        <v>7.5</v>
      </c>
      <c r="J920" s="55">
        <v>5</v>
      </c>
      <c r="K920" s="55">
        <v>0.09</v>
      </c>
      <c r="L920" s="55">
        <v>0.1</v>
      </c>
      <c r="M920" s="55">
        <v>2.8</v>
      </c>
      <c r="N920" s="55">
        <v>0</v>
      </c>
      <c r="O920" s="55">
        <v>0</v>
      </c>
      <c r="P920" s="47" t="s">
        <v>51</v>
      </c>
    </row>
    <row r="921" spans="1:16" ht="18" customHeight="1">
      <c r="A921" s="47" t="s">
        <v>1038</v>
      </c>
      <c r="B921" s="48" t="s">
        <v>1226</v>
      </c>
      <c r="C921" s="54" t="s">
        <v>1227</v>
      </c>
      <c r="D921" s="55">
        <v>15</v>
      </c>
      <c r="E921" s="55">
        <v>0.5</v>
      </c>
      <c r="F921" s="55">
        <v>59.4</v>
      </c>
      <c r="G921" s="55">
        <v>0.1</v>
      </c>
      <c r="H921" s="55">
        <v>270</v>
      </c>
      <c r="I921" s="55">
        <v>1.3</v>
      </c>
      <c r="J921" s="55">
        <v>0</v>
      </c>
      <c r="K921" s="55">
        <v>0</v>
      </c>
      <c r="L921" s="55">
        <v>0</v>
      </c>
      <c r="M921" s="55">
        <v>0</v>
      </c>
      <c r="N921" s="55">
        <v>0</v>
      </c>
      <c r="O921" s="55">
        <v>0</v>
      </c>
      <c r="P921" s="47" t="s">
        <v>51</v>
      </c>
    </row>
    <row r="922" spans="1:16" ht="18" customHeight="1">
      <c r="A922" s="47" t="s">
        <v>1038</v>
      </c>
      <c r="B922" s="48" t="s">
        <v>1228</v>
      </c>
      <c r="C922" s="54" t="s">
        <v>1229</v>
      </c>
      <c r="D922" s="55">
        <v>18</v>
      </c>
      <c r="E922" s="55">
        <v>0.7</v>
      </c>
      <c r="F922" s="55">
        <v>59.4</v>
      </c>
      <c r="G922" s="55">
        <v>0.1</v>
      </c>
      <c r="H922" s="55">
        <v>66</v>
      </c>
      <c r="I922" s="57">
        <v>0.1</v>
      </c>
      <c r="J922" s="57">
        <v>100</v>
      </c>
      <c r="K922" s="57">
        <v>0.01</v>
      </c>
      <c r="L922" s="57">
        <v>0.01</v>
      </c>
      <c r="M922" s="57">
        <v>0.5</v>
      </c>
      <c r="N922" s="55">
        <v>8</v>
      </c>
      <c r="O922" s="55">
        <v>20</v>
      </c>
      <c r="P922" s="47" t="s">
        <v>51</v>
      </c>
    </row>
    <row r="923" spans="1:16" ht="18" customHeight="1">
      <c r="A923" s="47" t="s">
        <v>1038</v>
      </c>
      <c r="B923" s="48" t="s">
        <v>1767</v>
      </c>
      <c r="C923" s="54" t="s">
        <v>1231</v>
      </c>
      <c r="D923" s="55">
        <v>117</v>
      </c>
      <c r="E923" s="55">
        <v>1.7</v>
      </c>
      <c r="F923" s="55">
        <v>27.2</v>
      </c>
      <c r="G923" s="55">
        <v>0.1</v>
      </c>
      <c r="H923" s="55">
        <v>16</v>
      </c>
      <c r="I923" s="55">
        <v>0.9</v>
      </c>
      <c r="J923" s="55">
        <v>84</v>
      </c>
      <c r="K923" s="55">
        <v>0.13</v>
      </c>
      <c r="L923" s="55">
        <v>0.05</v>
      </c>
      <c r="M923" s="55">
        <v>1.2</v>
      </c>
      <c r="N923" s="55">
        <v>19</v>
      </c>
      <c r="O923" s="55">
        <v>0</v>
      </c>
      <c r="P923" s="47" t="s">
        <v>51</v>
      </c>
    </row>
    <row r="924" spans="1:16" ht="18" customHeight="1">
      <c r="A924" s="47" t="s">
        <v>1038</v>
      </c>
      <c r="B924" s="48" t="s">
        <v>1230</v>
      </c>
      <c r="C924" s="54" t="s">
        <v>1231</v>
      </c>
      <c r="D924" s="55">
        <v>117</v>
      </c>
      <c r="E924" s="55">
        <v>1.7</v>
      </c>
      <c r="F924" s="55">
        <v>27.2</v>
      </c>
      <c r="G924" s="55">
        <v>0.1</v>
      </c>
      <c r="H924" s="55">
        <v>16</v>
      </c>
      <c r="I924" s="55">
        <v>0.9</v>
      </c>
      <c r="J924" s="55">
        <v>84</v>
      </c>
      <c r="K924" s="55">
        <v>0.13</v>
      </c>
      <c r="L924" s="55">
        <v>0.05</v>
      </c>
      <c r="M924" s="55">
        <v>1.2</v>
      </c>
      <c r="N924" s="55">
        <v>19</v>
      </c>
      <c r="O924" s="55">
        <v>0</v>
      </c>
      <c r="P924" s="47" t="s">
        <v>51</v>
      </c>
    </row>
    <row r="925" spans="1:16" ht="18" customHeight="1">
      <c r="A925" s="47" t="s">
        <v>1038</v>
      </c>
      <c r="B925" s="48" t="s">
        <v>1232</v>
      </c>
      <c r="C925" s="54" t="s">
        <v>1231</v>
      </c>
      <c r="D925" s="55">
        <v>13</v>
      </c>
      <c r="E925" s="55">
        <v>0.8</v>
      </c>
      <c r="F925" s="55">
        <v>14</v>
      </c>
      <c r="G925" s="55">
        <v>0.1</v>
      </c>
      <c r="H925" s="55">
        <v>10</v>
      </c>
      <c r="I925" s="57">
        <v>0.8</v>
      </c>
      <c r="J925" s="55">
        <v>40</v>
      </c>
      <c r="K925" s="55">
        <v>0.03</v>
      </c>
      <c r="L925" s="55">
        <v>0.02</v>
      </c>
      <c r="M925" s="55">
        <v>0.7</v>
      </c>
      <c r="N925" s="55">
        <v>5</v>
      </c>
      <c r="O925" s="55">
        <v>0</v>
      </c>
      <c r="P925" s="47" t="s">
        <v>51</v>
      </c>
    </row>
    <row r="926" spans="1:16" ht="18" customHeight="1">
      <c r="A926" s="47" t="s">
        <v>1038</v>
      </c>
      <c r="B926" s="48" t="s">
        <v>1231</v>
      </c>
      <c r="C926" s="54" t="s">
        <v>1233</v>
      </c>
      <c r="D926" s="55">
        <v>14</v>
      </c>
      <c r="E926" s="55">
        <v>0.9</v>
      </c>
      <c r="F926" s="55">
        <v>2.87</v>
      </c>
      <c r="G926" s="55">
        <v>0.3</v>
      </c>
      <c r="H926" s="55">
        <v>9</v>
      </c>
      <c r="I926" s="55">
        <v>0.3</v>
      </c>
      <c r="J926" s="55">
        <v>90</v>
      </c>
      <c r="K926" s="55">
        <v>0.04</v>
      </c>
      <c r="L926" s="55">
        <v>0.01</v>
      </c>
      <c r="M926" s="55">
        <v>0.6</v>
      </c>
      <c r="N926" s="55">
        <v>11</v>
      </c>
      <c r="O926" s="55">
        <v>1</v>
      </c>
      <c r="P926" s="47" t="s">
        <v>51</v>
      </c>
    </row>
    <row r="927" spans="1:16" ht="18" customHeight="1">
      <c r="A927" s="47" t="s">
        <v>1038</v>
      </c>
      <c r="B927" s="48" t="s">
        <v>1782</v>
      </c>
      <c r="C927" s="54" t="s">
        <v>1235</v>
      </c>
      <c r="D927" s="55">
        <v>87</v>
      </c>
      <c r="E927" s="55">
        <v>3.7</v>
      </c>
      <c r="F927" s="55">
        <v>19.8</v>
      </c>
      <c r="G927" s="55">
        <v>0.24</v>
      </c>
      <c r="H927" s="55">
        <v>45</v>
      </c>
      <c r="I927" s="55">
        <v>1.5</v>
      </c>
      <c r="J927" s="55">
        <v>333</v>
      </c>
      <c r="K927" s="55">
        <v>0.2</v>
      </c>
      <c r="L927" s="55">
        <v>0.14000000000000001</v>
      </c>
      <c r="M927" s="55">
        <v>3.6</v>
      </c>
      <c r="N927" s="55">
        <v>55</v>
      </c>
      <c r="O927" s="55">
        <v>0</v>
      </c>
      <c r="P927" s="47" t="s">
        <v>51</v>
      </c>
    </row>
    <row r="928" spans="1:16" ht="18" customHeight="1">
      <c r="A928" s="47" t="s">
        <v>1038</v>
      </c>
      <c r="B928" s="48" t="s">
        <v>1234</v>
      </c>
      <c r="C928" s="54" t="s">
        <v>1235</v>
      </c>
      <c r="D928" s="55">
        <v>87</v>
      </c>
      <c r="E928" s="55">
        <v>3.7</v>
      </c>
      <c r="F928" s="55">
        <v>19.8</v>
      </c>
      <c r="G928" s="55">
        <v>0.24</v>
      </c>
      <c r="H928" s="55">
        <v>45</v>
      </c>
      <c r="I928" s="55">
        <v>1.5</v>
      </c>
      <c r="J928" s="55">
        <v>333</v>
      </c>
      <c r="K928" s="55">
        <v>0.2</v>
      </c>
      <c r="L928" s="55">
        <v>0.14000000000000001</v>
      </c>
      <c r="M928" s="55">
        <v>3.6</v>
      </c>
      <c r="N928" s="55">
        <v>55</v>
      </c>
      <c r="O928" s="55">
        <v>0</v>
      </c>
      <c r="P928" s="47" t="s">
        <v>59</v>
      </c>
    </row>
    <row r="929" spans="1:16" ht="18" customHeight="1">
      <c r="A929" s="47" t="s">
        <v>1038</v>
      </c>
      <c r="B929" s="48" t="s">
        <v>1236</v>
      </c>
      <c r="C929" s="54" t="s">
        <v>1236</v>
      </c>
      <c r="D929" s="55">
        <v>40</v>
      </c>
      <c r="E929" s="55">
        <v>1.9</v>
      </c>
      <c r="F929" s="55">
        <v>9.1</v>
      </c>
      <c r="G929" s="55">
        <v>0.15</v>
      </c>
      <c r="H929" s="55">
        <v>19</v>
      </c>
      <c r="I929" s="55">
        <v>0.8</v>
      </c>
      <c r="J929" s="55">
        <v>163.30000000000001</v>
      </c>
      <c r="K929" s="55">
        <v>0.09</v>
      </c>
      <c r="L929" s="55">
        <v>7.0000000000000007E-2</v>
      </c>
      <c r="M929" s="55">
        <v>1.5</v>
      </c>
      <c r="N929" s="55">
        <v>20</v>
      </c>
      <c r="O929" s="55">
        <v>0</v>
      </c>
      <c r="P929" s="47" t="s">
        <v>51</v>
      </c>
    </row>
    <row r="930" spans="1:16" ht="18" customHeight="1">
      <c r="A930" s="47" t="s">
        <v>1038</v>
      </c>
      <c r="B930" s="48" t="s">
        <v>1237</v>
      </c>
      <c r="C930" s="54" t="s">
        <v>1238</v>
      </c>
      <c r="D930" s="55">
        <v>13</v>
      </c>
      <c r="E930" s="55">
        <v>0</v>
      </c>
      <c r="F930" s="55">
        <v>4.46</v>
      </c>
      <c r="G930" s="55">
        <v>0.37</v>
      </c>
      <c r="H930" s="55">
        <v>75</v>
      </c>
      <c r="I930" s="55">
        <v>0.8</v>
      </c>
      <c r="J930" s="55">
        <v>120</v>
      </c>
      <c r="K930" s="55">
        <v>0.05</v>
      </c>
      <c r="L930" s="55">
        <v>0.08</v>
      </c>
      <c r="M930" s="55">
        <v>0.4</v>
      </c>
      <c r="N930" s="55">
        <v>24</v>
      </c>
      <c r="O930" s="55">
        <v>0</v>
      </c>
      <c r="P930" s="47" t="s">
        <v>51</v>
      </c>
    </row>
    <row r="931" spans="1:16" ht="18" customHeight="1">
      <c r="A931" s="47" t="s">
        <v>1038</v>
      </c>
      <c r="B931" s="48" t="s">
        <v>1239</v>
      </c>
      <c r="C931" s="54" t="s">
        <v>1238</v>
      </c>
      <c r="D931" s="55">
        <v>26</v>
      </c>
      <c r="E931" s="55">
        <v>0</v>
      </c>
      <c r="F931" s="55">
        <v>4.46</v>
      </c>
      <c r="G931" s="55">
        <v>0.26</v>
      </c>
      <c r="H931" s="55">
        <v>81</v>
      </c>
      <c r="I931" s="55">
        <v>1</v>
      </c>
      <c r="J931" s="55">
        <v>129</v>
      </c>
      <c r="K931" s="55">
        <v>0.06</v>
      </c>
      <c r="L931" s="55">
        <v>0.09</v>
      </c>
      <c r="M931" s="55">
        <v>0.6</v>
      </c>
      <c r="N931" s="55">
        <v>21</v>
      </c>
      <c r="O931" s="55">
        <v>0</v>
      </c>
      <c r="P931" s="47" t="s">
        <v>51</v>
      </c>
    </row>
    <row r="932" spans="1:16" ht="18" customHeight="1">
      <c r="A932" s="47" t="s">
        <v>1038</v>
      </c>
      <c r="B932" s="48" t="s">
        <v>1240</v>
      </c>
      <c r="C932" s="54" t="s">
        <v>1238</v>
      </c>
      <c r="D932" s="55">
        <v>25</v>
      </c>
      <c r="E932" s="55">
        <v>2</v>
      </c>
      <c r="F932" s="55">
        <v>3.57</v>
      </c>
      <c r="G932" s="55">
        <v>0.17</v>
      </c>
      <c r="H932" s="55">
        <v>96</v>
      </c>
      <c r="I932" s="55">
        <v>1.1000000000000001</v>
      </c>
      <c r="J932" s="55">
        <v>106</v>
      </c>
      <c r="K932" s="55">
        <v>0.05</v>
      </c>
      <c r="L932" s="55">
        <v>0.09</v>
      </c>
      <c r="M932" s="55">
        <v>0.5</v>
      </c>
      <c r="N932" s="55">
        <v>18</v>
      </c>
      <c r="O932" s="55">
        <v>24</v>
      </c>
      <c r="P932" s="47" t="s">
        <v>51</v>
      </c>
    </row>
    <row r="933" spans="1:16" ht="18" customHeight="1">
      <c r="A933" s="47" t="s">
        <v>1038</v>
      </c>
      <c r="B933" s="48" t="s">
        <v>1714</v>
      </c>
      <c r="C933" s="54" t="s">
        <v>1241</v>
      </c>
      <c r="D933" s="55">
        <v>31</v>
      </c>
      <c r="E933" s="55">
        <v>3.2</v>
      </c>
      <c r="F933" s="55">
        <v>41.3</v>
      </c>
      <c r="G933" s="55">
        <v>0.6</v>
      </c>
      <c r="H933" s="55">
        <v>206</v>
      </c>
      <c r="I933" s="55">
        <v>1.5</v>
      </c>
      <c r="J933" s="55">
        <v>490</v>
      </c>
      <c r="K933" s="55">
        <v>0.17</v>
      </c>
      <c r="L933" s="55">
        <v>0.24</v>
      </c>
      <c r="M933" s="55">
        <v>1.4</v>
      </c>
      <c r="N933" s="55">
        <v>139</v>
      </c>
      <c r="O933" s="55">
        <v>26</v>
      </c>
      <c r="P933" s="47" t="s">
        <v>51</v>
      </c>
    </row>
    <row r="934" spans="1:16" ht="18" customHeight="1">
      <c r="A934" s="47" t="s">
        <v>1038</v>
      </c>
      <c r="B934" s="48" t="s">
        <v>1242</v>
      </c>
      <c r="C934" s="54" t="s">
        <v>1243</v>
      </c>
      <c r="D934" s="55">
        <v>24</v>
      </c>
      <c r="E934" s="55">
        <v>0</v>
      </c>
      <c r="F934" s="55">
        <v>4.4400000000000004</v>
      </c>
      <c r="G934" s="55">
        <v>0.08</v>
      </c>
      <c r="H934" s="55">
        <v>8</v>
      </c>
      <c r="I934" s="55">
        <v>0.7</v>
      </c>
      <c r="J934" s="55">
        <v>389</v>
      </c>
      <c r="K934" s="55">
        <v>0.06</v>
      </c>
      <c r="L934" s="55">
        <v>0.09</v>
      </c>
      <c r="M934" s="55">
        <v>1.1000000000000001</v>
      </c>
      <c r="N934" s="55">
        <v>191</v>
      </c>
      <c r="O934" s="55">
        <v>13</v>
      </c>
    </row>
    <row r="935" spans="1:16" ht="18" customHeight="1">
      <c r="A935" s="47" t="s">
        <v>1038</v>
      </c>
      <c r="B935" s="48" t="s">
        <v>1779</v>
      </c>
      <c r="C935" s="54" t="s">
        <v>1243</v>
      </c>
      <c r="D935" s="55">
        <v>24</v>
      </c>
      <c r="E935" s="55">
        <v>0</v>
      </c>
      <c r="F935" s="55">
        <v>4.4400000000000004</v>
      </c>
      <c r="G935" s="55">
        <v>0.08</v>
      </c>
      <c r="H935" s="55">
        <v>8</v>
      </c>
      <c r="I935" s="55">
        <v>0.7</v>
      </c>
      <c r="J935" s="55">
        <v>389</v>
      </c>
      <c r="K935" s="55">
        <v>0.06</v>
      </c>
      <c r="L935" s="55">
        <v>0.09</v>
      </c>
      <c r="M935" s="55">
        <v>1.1000000000000001</v>
      </c>
      <c r="N935" s="55">
        <v>191</v>
      </c>
      <c r="O935" s="55">
        <v>13</v>
      </c>
    </row>
    <row r="936" spans="1:16" ht="18" customHeight="1">
      <c r="A936" s="47" t="s">
        <v>1038</v>
      </c>
      <c r="B936" s="48" t="s">
        <v>1244</v>
      </c>
      <c r="C936" s="54" t="s">
        <v>1245</v>
      </c>
      <c r="D936" s="55">
        <v>17</v>
      </c>
      <c r="E936" s="55">
        <v>0</v>
      </c>
      <c r="F936" s="55">
        <v>3.18</v>
      </c>
      <c r="G936" s="55">
        <v>0.14000000000000001</v>
      </c>
      <c r="H936" s="55">
        <v>10</v>
      </c>
      <c r="I936" s="55">
        <v>0.5</v>
      </c>
      <c r="J936" s="55">
        <v>64</v>
      </c>
      <c r="K936" s="55">
        <v>0.03</v>
      </c>
      <c r="L936" s="55">
        <v>7.0000000000000007E-2</v>
      </c>
      <c r="M936" s="55">
        <v>0.7</v>
      </c>
      <c r="N936" s="55">
        <v>53</v>
      </c>
      <c r="O936" s="55">
        <v>14</v>
      </c>
      <c r="P936" s="47" t="s">
        <v>51</v>
      </c>
    </row>
    <row r="937" spans="1:16" ht="18" customHeight="1">
      <c r="A937" s="47" t="s">
        <v>1038</v>
      </c>
      <c r="B937" s="48" t="s">
        <v>1780</v>
      </c>
      <c r="C937" s="54" t="s">
        <v>1245</v>
      </c>
      <c r="D937" s="55">
        <v>17</v>
      </c>
      <c r="E937" s="55">
        <v>0</v>
      </c>
      <c r="F937" s="55">
        <v>3.18</v>
      </c>
      <c r="G937" s="55">
        <v>0.14000000000000001</v>
      </c>
      <c r="H937" s="55">
        <v>10</v>
      </c>
      <c r="I937" s="55">
        <v>0.5</v>
      </c>
      <c r="J937" s="55">
        <v>64</v>
      </c>
      <c r="K937" s="55">
        <v>0.03</v>
      </c>
      <c r="L937" s="55">
        <v>7.0000000000000007E-2</v>
      </c>
      <c r="M937" s="55">
        <v>0.7</v>
      </c>
      <c r="N937" s="55">
        <v>53</v>
      </c>
      <c r="O937" s="55">
        <v>14</v>
      </c>
      <c r="P937" s="47" t="s">
        <v>59</v>
      </c>
    </row>
    <row r="938" spans="1:16" ht="18" customHeight="1">
      <c r="A938" s="47"/>
      <c r="B938" s="48" t="s">
        <v>1771</v>
      </c>
      <c r="C938" s="54" t="s">
        <v>1245</v>
      </c>
      <c r="D938" s="55">
        <v>17</v>
      </c>
      <c r="E938" s="55">
        <v>0</v>
      </c>
      <c r="F938" s="55">
        <v>3.18</v>
      </c>
      <c r="G938" s="55">
        <v>0.14000000000000001</v>
      </c>
      <c r="H938" s="55">
        <v>10</v>
      </c>
      <c r="I938" s="55">
        <v>0.5</v>
      </c>
      <c r="J938" s="55">
        <v>64</v>
      </c>
      <c r="K938" s="55">
        <v>0.03</v>
      </c>
      <c r="L938" s="55">
        <v>7.0000000000000007E-2</v>
      </c>
      <c r="M938" s="55">
        <v>0.7</v>
      </c>
      <c r="N938" s="55">
        <v>53</v>
      </c>
      <c r="O938" s="55">
        <v>14</v>
      </c>
    </row>
    <row r="939" spans="1:16" ht="18" customHeight="1">
      <c r="A939" s="47"/>
      <c r="B939" s="48" t="s">
        <v>1992</v>
      </c>
      <c r="C939" s="54" t="s">
        <v>1245</v>
      </c>
      <c r="D939" s="55">
        <v>17</v>
      </c>
      <c r="E939" s="55">
        <v>0</v>
      </c>
      <c r="F939" s="55">
        <v>3.18</v>
      </c>
      <c r="G939" s="55">
        <v>0.14000000000000001</v>
      </c>
      <c r="H939" s="55">
        <v>10</v>
      </c>
      <c r="I939" s="55">
        <v>0.5</v>
      </c>
      <c r="J939" s="55">
        <v>64</v>
      </c>
      <c r="K939" s="55">
        <v>0.03</v>
      </c>
      <c r="L939" s="55">
        <v>7.0000000000000007E-2</v>
      </c>
      <c r="M939" s="55">
        <v>0.7</v>
      </c>
      <c r="N939" s="55">
        <v>53</v>
      </c>
      <c r="O939" s="55">
        <v>14</v>
      </c>
    </row>
    <row r="940" spans="1:16" ht="18" customHeight="1">
      <c r="A940" s="47" t="s">
        <v>1056</v>
      </c>
      <c r="B940" s="48" t="s">
        <v>18</v>
      </c>
      <c r="C940" s="54" t="s">
        <v>1246</v>
      </c>
      <c r="D940" s="55">
        <v>24</v>
      </c>
      <c r="E940" s="55">
        <v>2</v>
      </c>
      <c r="F940" s="55">
        <v>7.4</v>
      </c>
      <c r="G940" s="55">
        <v>0.19</v>
      </c>
      <c r="H940" s="55">
        <v>15</v>
      </c>
      <c r="I940" s="55">
        <v>0.7</v>
      </c>
      <c r="J940" s="55">
        <v>31</v>
      </c>
      <c r="K940" s="55">
        <v>0.06</v>
      </c>
      <c r="L940" s="55">
        <v>0.15</v>
      </c>
      <c r="M940" s="55">
        <v>0</v>
      </c>
      <c r="N940" s="55">
        <v>8</v>
      </c>
      <c r="O940" s="55">
        <v>17</v>
      </c>
    </row>
    <row r="941" spans="1:16" ht="18" customHeight="1">
      <c r="A941" s="47" t="s">
        <v>1038</v>
      </c>
      <c r="B941" s="48" t="s">
        <v>1247</v>
      </c>
      <c r="C941" s="54" t="s">
        <v>1248</v>
      </c>
      <c r="D941" s="55">
        <v>27</v>
      </c>
      <c r="E941" s="55">
        <v>0.9</v>
      </c>
      <c r="F941" s="55">
        <v>10.119999999999999</v>
      </c>
      <c r="G941" s="55">
        <v>0.16</v>
      </c>
      <c r="H941" s="55">
        <v>28</v>
      </c>
      <c r="I941" s="55">
        <v>0.8</v>
      </c>
      <c r="J941" s="55">
        <v>119</v>
      </c>
      <c r="K941" s="55">
        <v>0.04</v>
      </c>
      <c r="L941" s="55">
        <v>0.04</v>
      </c>
      <c r="M941" s="55">
        <v>0.5</v>
      </c>
      <c r="N941" s="55">
        <v>15</v>
      </c>
      <c r="O941" s="55">
        <v>17</v>
      </c>
      <c r="P941" s="47" t="s">
        <v>51</v>
      </c>
    </row>
    <row r="942" spans="1:16" ht="18" customHeight="1">
      <c r="A942" s="47" t="s">
        <v>1038</v>
      </c>
      <c r="B942" s="48" t="s">
        <v>1249</v>
      </c>
      <c r="C942" s="54" t="s">
        <v>1250</v>
      </c>
      <c r="D942" s="55">
        <v>29</v>
      </c>
      <c r="E942" s="55">
        <v>1.7</v>
      </c>
      <c r="F942" s="55">
        <v>4.55</v>
      </c>
      <c r="G942" s="55">
        <v>0.46</v>
      </c>
      <c r="H942" s="55">
        <v>22</v>
      </c>
      <c r="I942" s="55">
        <v>0.4</v>
      </c>
      <c r="J942" s="55">
        <v>191</v>
      </c>
      <c r="K942" s="55">
        <v>0.04</v>
      </c>
      <c r="L942" s="55">
        <v>0.03</v>
      </c>
      <c r="M942" s="55">
        <v>0.5</v>
      </c>
      <c r="N942" s="55">
        <v>19</v>
      </c>
      <c r="O942" s="55">
        <v>17</v>
      </c>
      <c r="P942" s="47" t="s">
        <v>51</v>
      </c>
    </row>
    <row r="943" spans="1:16" ht="18" customHeight="1">
      <c r="A943" s="47" t="s">
        <v>1038</v>
      </c>
      <c r="B943" s="48" t="s">
        <v>1251</v>
      </c>
      <c r="C943" s="54" t="s">
        <v>1252</v>
      </c>
      <c r="D943" s="55">
        <v>38</v>
      </c>
      <c r="E943" s="55">
        <v>1.1000000000000001</v>
      </c>
      <c r="F943" s="55">
        <v>61</v>
      </c>
      <c r="G943" s="55">
        <v>0.16</v>
      </c>
      <c r="H943" s="55">
        <v>19</v>
      </c>
      <c r="I943" s="55">
        <v>0.3</v>
      </c>
      <c r="J943" s="55">
        <v>27</v>
      </c>
      <c r="K943" s="55">
        <v>7.0000000000000007E-2</v>
      </c>
      <c r="L943" s="55">
        <v>0.04</v>
      </c>
      <c r="M943" s="55">
        <v>0.5</v>
      </c>
      <c r="N943" s="55">
        <v>35</v>
      </c>
      <c r="O943" s="55">
        <v>3</v>
      </c>
      <c r="P943" s="47" t="s">
        <v>51</v>
      </c>
    </row>
    <row r="944" spans="1:16" ht="18" customHeight="1">
      <c r="A944" s="47" t="s">
        <v>1038</v>
      </c>
      <c r="B944" s="48" t="s">
        <v>1253</v>
      </c>
      <c r="C944" s="54" t="s">
        <v>1254</v>
      </c>
      <c r="D944" s="55">
        <v>260</v>
      </c>
      <c r="E944" s="55">
        <v>14.8</v>
      </c>
      <c r="F944" s="55">
        <v>61</v>
      </c>
      <c r="G944" s="55">
        <v>0.7</v>
      </c>
      <c r="H944" s="55">
        <v>165</v>
      </c>
      <c r="I944" s="55">
        <v>4</v>
      </c>
      <c r="J944" s="55">
        <v>231</v>
      </c>
      <c r="K944" s="55">
        <v>0.23</v>
      </c>
      <c r="L944" s="55">
        <v>0.19</v>
      </c>
      <c r="M944" s="55">
        <v>6</v>
      </c>
      <c r="N944" s="55">
        <v>26</v>
      </c>
      <c r="O944" s="55">
        <v>0</v>
      </c>
      <c r="P944" s="47" t="s">
        <v>51</v>
      </c>
    </row>
    <row r="945" spans="1:16" ht="18" customHeight="1">
      <c r="A945" s="47" t="s">
        <v>1038</v>
      </c>
      <c r="B945" s="48" t="s">
        <v>1255</v>
      </c>
      <c r="C945" s="54" t="s">
        <v>1256</v>
      </c>
      <c r="D945" s="55">
        <v>36</v>
      </c>
      <c r="E945" s="55">
        <v>3</v>
      </c>
      <c r="F945" s="55">
        <v>5.4</v>
      </c>
      <c r="G945" s="55">
        <v>0.4</v>
      </c>
      <c r="H945" s="55">
        <v>149</v>
      </c>
      <c r="I945" s="55">
        <v>9.1999999999999993</v>
      </c>
      <c r="J945" s="55">
        <v>390</v>
      </c>
      <c r="K945" s="55">
        <v>0.05</v>
      </c>
      <c r="L945" s="55">
        <v>0.15</v>
      </c>
      <c r="M945" s="55">
        <v>2</v>
      </c>
      <c r="N945" s="55">
        <v>36</v>
      </c>
      <c r="O945" s="55">
        <v>0</v>
      </c>
      <c r="P945" s="47" t="s">
        <v>51</v>
      </c>
    </row>
    <row r="946" spans="1:16" ht="18" customHeight="1">
      <c r="A946" s="47" t="s">
        <v>1038</v>
      </c>
      <c r="B946" s="48" t="s">
        <v>1257</v>
      </c>
      <c r="C946" s="54" t="s">
        <v>1258</v>
      </c>
      <c r="D946" s="55">
        <v>27</v>
      </c>
      <c r="E946" s="55">
        <v>3.2</v>
      </c>
      <c r="F946" s="55">
        <v>3.31</v>
      </c>
      <c r="G946" s="55">
        <v>0.43</v>
      </c>
      <c r="H946" s="55">
        <v>96</v>
      </c>
      <c r="I946" s="55">
        <v>2</v>
      </c>
      <c r="J946" s="55">
        <v>592</v>
      </c>
      <c r="K946" s="55">
        <v>0.15</v>
      </c>
      <c r="L946" s="55">
        <v>0.17</v>
      </c>
      <c r="M946" s="55">
        <v>0.8</v>
      </c>
      <c r="N946" s="55">
        <v>37</v>
      </c>
      <c r="O946" s="55">
        <v>28</v>
      </c>
      <c r="P946" s="47" t="s">
        <v>51</v>
      </c>
    </row>
    <row r="947" spans="1:16" ht="18" customHeight="1">
      <c r="A947" s="47" t="s">
        <v>1259</v>
      </c>
      <c r="B947" s="48" t="s">
        <v>1260</v>
      </c>
      <c r="C947" s="54" t="s">
        <v>1261</v>
      </c>
      <c r="D947" s="55">
        <v>80</v>
      </c>
      <c r="E947" s="55">
        <v>13</v>
      </c>
      <c r="F947" s="55">
        <v>1.63</v>
      </c>
      <c r="G947" s="55">
        <v>0.7</v>
      </c>
      <c r="H947" s="55">
        <v>53</v>
      </c>
      <c r="I947" s="55">
        <v>1</v>
      </c>
      <c r="J947" s="55">
        <v>0</v>
      </c>
      <c r="K947" s="55">
        <v>0.05</v>
      </c>
      <c r="L947" s="55">
        <v>0.33</v>
      </c>
      <c r="M947" s="55">
        <v>1.6</v>
      </c>
      <c r="N947" s="55">
        <v>1</v>
      </c>
      <c r="O947" s="55">
        <v>57</v>
      </c>
      <c r="P947" s="47" t="s">
        <v>51</v>
      </c>
    </row>
    <row r="948" spans="1:16" ht="18" customHeight="1">
      <c r="A948" s="47" t="s">
        <v>1259</v>
      </c>
      <c r="B948" s="48" t="s">
        <v>1262</v>
      </c>
      <c r="C948" s="54" t="s">
        <v>1263</v>
      </c>
      <c r="D948" s="55">
        <v>86</v>
      </c>
      <c r="E948" s="55">
        <v>5</v>
      </c>
      <c r="F948" s="55">
        <v>4.0999999999999996</v>
      </c>
      <c r="G948" s="55">
        <v>0.39</v>
      </c>
      <c r="H948" s="55">
        <v>31</v>
      </c>
      <c r="I948" s="55">
        <v>1</v>
      </c>
      <c r="J948" s="55">
        <v>2</v>
      </c>
      <c r="K948" s="55">
        <v>0.02</v>
      </c>
      <c r="L948" s="55">
        <v>0.03</v>
      </c>
      <c r="M948" s="55">
        <v>0.4</v>
      </c>
      <c r="N948" s="55">
        <v>0</v>
      </c>
      <c r="O948" s="55">
        <v>0</v>
      </c>
      <c r="P948" s="47" t="s">
        <v>51</v>
      </c>
    </row>
    <row r="949" spans="1:16" ht="18" customHeight="1">
      <c r="A949" s="47" t="s">
        <v>1259</v>
      </c>
      <c r="B949" s="48" t="s">
        <v>1264</v>
      </c>
      <c r="C949" s="54" t="s">
        <v>1264</v>
      </c>
      <c r="D949" s="55">
        <v>81</v>
      </c>
      <c r="E949" s="55">
        <v>14.5</v>
      </c>
      <c r="F949" s="55">
        <v>0.36</v>
      </c>
      <c r="G949" s="55">
        <v>1.2</v>
      </c>
      <c r="H949" s="55">
        <v>113</v>
      </c>
      <c r="I949" s="55">
        <v>7.9</v>
      </c>
      <c r="J949" s="55">
        <v>49</v>
      </c>
      <c r="K949" s="55">
        <v>0.04</v>
      </c>
      <c r="L949" s="55">
        <v>0.16</v>
      </c>
      <c r="M949" s="55">
        <v>2</v>
      </c>
      <c r="N949" s="55">
        <v>2</v>
      </c>
      <c r="O949" s="55">
        <v>74</v>
      </c>
      <c r="P949" s="47" t="s">
        <v>51</v>
      </c>
    </row>
    <row r="950" spans="1:16" ht="18" customHeight="1">
      <c r="A950" s="47" t="s">
        <v>1259</v>
      </c>
      <c r="B950" s="48" t="s">
        <v>1265</v>
      </c>
      <c r="C950" s="54" t="s">
        <v>1266</v>
      </c>
      <c r="D950" s="55">
        <v>74</v>
      </c>
      <c r="E950" s="55">
        <v>11.7</v>
      </c>
      <c r="F950" s="55">
        <v>2</v>
      </c>
      <c r="G950" s="55">
        <v>0.22</v>
      </c>
      <c r="H950" s="55">
        <v>161</v>
      </c>
      <c r="I950" s="55">
        <v>11.9</v>
      </c>
      <c r="J950" s="55">
        <v>0</v>
      </c>
      <c r="K950" s="55">
        <v>0.03</v>
      </c>
      <c r="L950" s="55">
        <v>0.22</v>
      </c>
      <c r="M950" s="55">
        <v>3.4</v>
      </c>
      <c r="N950" s="55">
        <v>3</v>
      </c>
      <c r="O950" s="55">
        <v>77</v>
      </c>
      <c r="P950" s="47" t="s">
        <v>51</v>
      </c>
    </row>
    <row r="951" spans="1:16" ht="18" customHeight="1">
      <c r="A951" s="47" t="s">
        <v>1259</v>
      </c>
      <c r="B951" s="48" t="s">
        <v>1267</v>
      </c>
      <c r="C951" s="54" t="s">
        <v>1268</v>
      </c>
      <c r="D951" s="55">
        <v>68</v>
      </c>
      <c r="E951" s="55">
        <v>13</v>
      </c>
      <c r="F951" s="55">
        <v>0.15</v>
      </c>
      <c r="G951" s="55">
        <v>0.36</v>
      </c>
      <c r="H951" s="55">
        <v>90</v>
      </c>
      <c r="I951" s="55">
        <v>13.3</v>
      </c>
      <c r="J951" s="55">
        <v>14</v>
      </c>
      <c r="K951" s="55">
        <v>0.04</v>
      </c>
      <c r="L951" s="55">
        <v>0.15</v>
      </c>
      <c r="M951" s="55">
        <v>2.4</v>
      </c>
      <c r="N951" s="55">
        <v>2</v>
      </c>
      <c r="O951" s="55">
        <v>79</v>
      </c>
      <c r="P951" s="47" t="s">
        <v>51</v>
      </c>
    </row>
    <row r="952" spans="1:16" ht="18" customHeight="1">
      <c r="A952" s="47" t="s">
        <v>1259</v>
      </c>
      <c r="B952" s="48" t="s">
        <v>1269</v>
      </c>
      <c r="C952" s="54" t="s">
        <v>1269</v>
      </c>
      <c r="D952" s="55">
        <v>76</v>
      </c>
      <c r="E952" s="55">
        <v>14.5</v>
      </c>
      <c r="F952" s="55">
        <v>0.5</v>
      </c>
      <c r="G952" s="55">
        <v>0.34</v>
      </c>
      <c r="H952" s="55">
        <v>61</v>
      </c>
      <c r="I952" s="55">
        <v>3.2</v>
      </c>
      <c r="J952" s="55">
        <v>0</v>
      </c>
      <c r="K952" s="55">
        <v>0.03</v>
      </c>
      <c r="L952" s="55">
        <v>0.32</v>
      </c>
      <c r="M952" s="55">
        <v>2.8</v>
      </c>
      <c r="N952" s="55">
        <v>1</v>
      </c>
      <c r="O952" s="55">
        <v>64</v>
      </c>
      <c r="P952" s="47" t="s">
        <v>51</v>
      </c>
    </row>
    <row r="953" spans="1:16" ht="18" customHeight="1">
      <c r="A953" s="47" t="s">
        <v>1259</v>
      </c>
      <c r="B953" s="48" t="s">
        <v>1270</v>
      </c>
      <c r="C953" s="54" t="s">
        <v>1271</v>
      </c>
      <c r="D953" s="55">
        <v>64</v>
      </c>
      <c r="E953" s="55">
        <v>8.9</v>
      </c>
      <c r="F953" s="55">
        <v>1.04</v>
      </c>
      <c r="G953" s="55">
        <v>0.26</v>
      </c>
      <c r="H953" s="55">
        <v>43</v>
      </c>
      <c r="I953" s="55">
        <v>3.9</v>
      </c>
      <c r="J953" s="55">
        <v>20</v>
      </c>
      <c r="K953" s="55">
        <v>0.13</v>
      </c>
      <c r="L953" s="55">
        <v>0.18</v>
      </c>
      <c r="M953" s="55">
        <v>1.8</v>
      </c>
      <c r="N953" s="55">
        <v>5</v>
      </c>
      <c r="O953" s="55">
        <v>72</v>
      </c>
      <c r="P953" s="47" t="s">
        <v>51</v>
      </c>
    </row>
    <row r="954" spans="1:16" ht="18" customHeight="1">
      <c r="A954" s="47" t="s">
        <v>1259</v>
      </c>
      <c r="B954" s="48" t="s">
        <v>1272</v>
      </c>
      <c r="C954" s="54" t="s">
        <v>1273</v>
      </c>
      <c r="D954" s="55">
        <v>79</v>
      </c>
      <c r="E954" s="55">
        <v>14.9</v>
      </c>
      <c r="F954" s="55">
        <v>0.66</v>
      </c>
      <c r="G954" s="55">
        <v>0.1</v>
      </c>
      <c r="H954" s="55">
        <v>52</v>
      </c>
      <c r="I954" s="55">
        <v>1.3</v>
      </c>
      <c r="J954" s="55">
        <v>4</v>
      </c>
      <c r="K954" s="55">
        <v>0.01</v>
      </c>
      <c r="L954" s="55">
        <v>0.17</v>
      </c>
      <c r="M954" s="55">
        <v>1.1000000000000001</v>
      </c>
      <c r="N954" s="55">
        <v>0</v>
      </c>
      <c r="O954" s="55">
        <v>67</v>
      </c>
      <c r="P954" s="47" t="s">
        <v>51</v>
      </c>
    </row>
    <row r="955" spans="1:16" ht="18" customHeight="1">
      <c r="A955" s="47" t="s">
        <v>1259</v>
      </c>
      <c r="B955" s="48" t="s">
        <v>1274</v>
      </c>
      <c r="C955" s="54" t="s">
        <v>1274</v>
      </c>
      <c r="D955" s="55">
        <v>128</v>
      </c>
      <c r="E955" s="55">
        <v>19.600000000000001</v>
      </c>
      <c r="F955" s="55">
        <v>10.9</v>
      </c>
      <c r="G955" s="55">
        <v>0.43</v>
      </c>
      <c r="H955" s="55">
        <v>49</v>
      </c>
      <c r="I955" s="55">
        <v>7.6</v>
      </c>
      <c r="J955" s="55">
        <v>7.4</v>
      </c>
      <c r="K955" s="55">
        <v>0.02</v>
      </c>
      <c r="L955" s="55">
        <v>0.04</v>
      </c>
      <c r="M955" s="55">
        <v>2</v>
      </c>
      <c r="N955" s="55">
        <v>0</v>
      </c>
      <c r="O955" s="55">
        <v>0</v>
      </c>
      <c r="P955" s="47" t="s">
        <v>51</v>
      </c>
    </row>
    <row r="956" spans="1:16" ht="18" customHeight="1">
      <c r="A956" s="47" t="s">
        <v>1259</v>
      </c>
      <c r="B956" s="48" t="s">
        <v>1275</v>
      </c>
      <c r="C956" s="54" t="s">
        <v>1275</v>
      </c>
      <c r="D956" s="55">
        <v>99</v>
      </c>
      <c r="E956" s="55">
        <v>16.3</v>
      </c>
      <c r="F956" s="55">
        <v>0.08</v>
      </c>
      <c r="G956" s="55">
        <v>0.3</v>
      </c>
      <c r="H956" s="55">
        <v>56</v>
      </c>
      <c r="I956" s="55">
        <v>4.0999999999999996</v>
      </c>
      <c r="J956" s="55">
        <v>16</v>
      </c>
      <c r="K956" s="55">
        <v>0.02</v>
      </c>
      <c r="L956" s="55">
        <v>0.13</v>
      </c>
      <c r="M956" s="55">
        <v>2.6</v>
      </c>
      <c r="N956" s="55">
        <v>2</v>
      </c>
      <c r="O956" s="55">
        <v>54</v>
      </c>
      <c r="P956" s="47" t="s">
        <v>51</v>
      </c>
    </row>
    <row r="957" spans="1:16" ht="18" customHeight="1">
      <c r="A957" s="47" t="s">
        <v>1259</v>
      </c>
      <c r="B957" s="48" t="s">
        <v>1276</v>
      </c>
      <c r="C957" s="54" t="s">
        <v>1276</v>
      </c>
      <c r="D957" s="55">
        <v>94</v>
      </c>
      <c r="E957" s="55">
        <v>12.5</v>
      </c>
      <c r="F957" s="55">
        <v>0.93</v>
      </c>
      <c r="G957" s="55">
        <v>0.32</v>
      </c>
      <c r="H957" s="55">
        <v>181</v>
      </c>
      <c r="I957" s="57">
        <v>21</v>
      </c>
      <c r="J957" s="55">
        <v>8</v>
      </c>
      <c r="K957" s="55">
        <v>0.09</v>
      </c>
      <c r="L957" s="55">
        <v>0.21</v>
      </c>
      <c r="M957" s="55">
        <v>2.6</v>
      </c>
      <c r="N957" s="55">
        <v>2</v>
      </c>
      <c r="O957" s="55">
        <v>84</v>
      </c>
      <c r="P957" s="47" t="s">
        <v>51</v>
      </c>
    </row>
    <row r="958" spans="1:16" ht="18" customHeight="1">
      <c r="A958" s="47" t="s">
        <v>1259</v>
      </c>
      <c r="B958" s="48" t="s">
        <v>1277</v>
      </c>
      <c r="C958" s="54" t="s">
        <v>1278</v>
      </c>
      <c r="D958" s="55">
        <v>79</v>
      </c>
      <c r="E958" s="55">
        <v>12.9</v>
      </c>
      <c r="F958" s="55">
        <v>2.16</v>
      </c>
      <c r="G958" s="55">
        <v>1.1000000000000001</v>
      </c>
      <c r="H958" s="55">
        <v>23</v>
      </c>
      <c r="I958" s="55">
        <v>1.9</v>
      </c>
      <c r="J958" s="55">
        <v>7</v>
      </c>
      <c r="K958" s="55">
        <v>0.19</v>
      </c>
      <c r="L958" s="55">
        <v>0.11</v>
      </c>
      <c r="M958" s="55">
        <v>1.4</v>
      </c>
      <c r="N958" s="55">
        <v>0</v>
      </c>
      <c r="O958" s="55">
        <v>54</v>
      </c>
      <c r="P958" s="47" t="s">
        <v>51</v>
      </c>
    </row>
    <row r="959" spans="1:16" ht="18" customHeight="1">
      <c r="A959" s="47" t="s">
        <v>1259</v>
      </c>
      <c r="B959" s="48" t="s">
        <v>1279</v>
      </c>
      <c r="C959" s="54" t="s">
        <v>570</v>
      </c>
      <c r="D959" s="55">
        <v>67</v>
      </c>
      <c r="E959" s="55">
        <v>10</v>
      </c>
      <c r="F959" s="55">
        <v>3.5</v>
      </c>
      <c r="G959" s="55">
        <v>0.47</v>
      </c>
      <c r="H959" s="55">
        <v>119</v>
      </c>
      <c r="I959" s="55">
        <v>7.5</v>
      </c>
      <c r="J959" s="56">
        <v>7</v>
      </c>
      <c r="K959" s="56">
        <v>0.02</v>
      </c>
      <c r="L959" s="56">
        <v>0.21</v>
      </c>
      <c r="M959" s="56">
        <v>1.7</v>
      </c>
      <c r="N959" s="55">
        <v>0</v>
      </c>
      <c r="O959" s="55">
        <v>0</v>
      </c>
      <c r="P959" s="47" t="s">
        <v>51</v>
      </c>
    </row>
    <row r="960" spans="1:16" ht="18" customHeight="1">
      <c r="A960" s="47" t="s">
        <v>1259</v>
      </c>
      <c r="B960" s="48" t="s">
        <v>1280</v>
      </c>
      <c r="C960" s="54" t="s">
        <v>1281</v>
      </c>
      <c r="D960" s="55">
        <v>49</v>
      </c>
      <c r="E960" s="55">
        <v>7.1</v>
      </c>
      <c r="F960" s="55">
        <v>0.57999999999999996</v>
      </c>
      <c r="G960" s="55">
        <v>0.28999999999999998</v>
      </c>
      <c r="H960" s="55">
        <v>75</v>
      </c>
      <c r="I960" s="55">
        <v>4.5</v>
      </c>
      <c r="J960" s="55">
        <v>7</v>
      </c>
      <c r="K960" s="55">
        <v>0.04</v>
      </c>
      <c r="L960" s="55">
        <v>0.22</v>
      </c>
      <c r="M960" s="55">
        <v>1.2</v>
      </c>
      <c r="N960" s="55">
        <v>0</v>
      </c>
      <c r="O960" s="56">
        <v>80</v>
      </c>
      <c r="P960" s="47" t="s">
        <v>51</v>
      </c>
    </row>
    <row r="961" spans="1:16" ht="18" customHeight="1">
      <c r="A961" s="47" t="s">
        <v>1259</v>
      </c>
      <c r="B961" s="48" t="s">
        <v>1282</v>
      </c>
      <c r="C961" s="54" t="s">
        <v>1281</v>
      </c>
      <c r="D961" s="55">
        <v>101</v>
      </c>
      <c r="E961" s="55">
        <v>16.399999999999999</v>
      </c>
      <c r="F961" s="55">
        <v>7.01</v>
      </c>
      <c r="G961" s="55">
        <v>0.41</v>
      </c>
      <c r="H961" s="55">
        <v>85</v>
      </c>
      <c r="I961" s="55">
        <v>6.3</v>
      </c>
      <c r="J961" s="55">
        <v>19</v>
      </c>
      <c r="K961" s="55">
        <v>0.02</v>
      </c>
      <c r="L961" s="55">
        <v>0.14000000000000001</v>
      </c>
      <c r="M961" s="55">
        <v>3</v>
      </c>
      <c r="N961" s="55">
        <v>2</v>
      </c>
      <c r="O961" s="55">
        <v>52</v>
      </c>
      <c r="P961" s="47" t="s">
        <v>51</v>
      </c>
    </row>
    <row r="962" spans="1:16" ht="18" customHeight="1">
      <c r="A962" s="47" t="s">
        <v>1259</v>
      </c>
      <c r="B962" s="48" t="s">
        <v>1283</v>
      </c>
      <c r="C962" s="54" t="s">
        <v>1281</v>
      </c>
      <c r="D962" s="55">
        <v>56</v>
      </c>
      <c r="E962" s="55">
        <v>10.1</v>
      </c>
      <c r="F962" s="55">
        <v>5.71</v>
      </c>
      <c r="G962" s="55">
        <v>0.96</v>
      </c>
      <c r="H962" s="55">
        <v>94</v>
      </c>
      <c r="I962" s="55">
        <v>2.6</v>
      </c>
      <c r="J962" s="55">
        <v>0</v>
      </c>
      <c r="K962" s="55">
        <v>0.03</v>
      </c>
      <c r="L962" s="55">
        <v>0.1</v>
      </c>
      <c r="M962" s="55">
        <v>2.1</v>
      </c>
      <c r="N962" s="55">
        <v>2</v>
      </c>
      <c r="O962" s="55">
        <v>77</v>
      </c>
      <c r="P962" s="47" t="s">
        <v>51</v>
      </c>
    </row>
    <row r="963" spans="1:16" ht="18" customHeight="1">
      <c r="A963" s="47" t="s">
        <v>1259</v>
      </c>
      <c r="B963" s="48" t="s">
        <v>1284</v>
      </c>
      <c r="C963" s="54" t="s">
        <v>1285</v>
      </c>
      <c r="D963" s="55">
        <v>93</v>
      </c>
      <c r="E963" s="55">
        <v>15.9</v>
      </c>
      <c r="F963" s="55">
        <v>5.46</v>
      </c>
      <c r="G963" s="55">
        <v>0.18</v>
      </c>
      <c r="H963" s="55">
        <v>81</v>
      </c>
      <c r="I963" s="55">
        <v>6.8</v>
      </c>
      <c r="J963" s="55">
        <v>51</v>
      </c>
      <c r="K963" s="55">
        <v>0.03</v>
      </c>
      <c r="L963" s="55">
        <v>0.21</v>
      </c>
      <c r="M963" s="55">
        <v>3.4</v>
      </c>
      <c r="N963" s="55">
        <v>3</v>
      </c>
      <c r="O963" s="55">
        <v>71</v>
      </c>
      <c r="P963" s="47" t="s">
        <v>51</v>
      </c>
    </row>
    <row r="964" spans="1:16" ht="18" customHeight="1">
      <c r="A964" s="47" t="s">
        <v>1259</v>
      </c>
      <c r="B964" s="48" t="s">
        <v>1286</v>
      </c>
      <c r="C964" s="54" t="s">
        <v>1287</v>
      </c>
      <c r="D964" s="55">
        <v>83</v>
      </c>
      <c r="E964" s="55">
        <v>11.8</v>
      </c>
      <c r="F964" s="55">
        <v>4.5599999999999996</v>
      </c>
      <c r="G964" s="55">
        <v>0.38</v>
      </c>
      <c r="H964" s="55">
        <v>60</v>
      </c>
      <c r="I964" s="55">
        <v>7.4</v>
      </c>
      <c r="J964" s="55">
        <v>48</v>
      </c>
      <c r="K964" s="55">
        <v>0.16</v>
      </c>
      <c r="L964" s="55">
        <v>0.24</v>
      </c>
      <c r="M964" s="55">
        <v>2.2999999999999998</v>
      </c>
      <c r="N964" s="55">
        <v>3</v>
      </c>
      <c r="O964" s="55">
        <v>54</v>
      </c>
      <c r="P964" s="47" t="s">
        <v>51</v>
      </c>
    </row>
    <row r="965" spans="1:16" ht="18" customHeight="1">
      <c r="A965" s="47" t="s">
        <v>1259</v>
      </c>
      <c r="B965" s="48" t="s">
        <v>1288</v>
      </c>
      <c r="C965" s="54" t="s">
        <v>1289</v>
      </c>
      <c r="D965" s="55">
        <v>68</v>
      </c>
      <c r="E965" s="55">
        <v>11.9</v>
      </c>
      <c r="F965" s="55">
        <v>3.18</v>
      </c>
      <c r="G965" s="55">
        <v>1.5</v>
      </c>
      <c r="H965" s="55">
        <v>64</v>
      </c>
      <c r="I965" s="55">
        <v>5.8</v>
      </c>
      <c r="J965" s="55">
        <v>0</v>
      </c>
      <c r="K965" s="55">
        <v>0.03</v>
      </c>
      <c r="L965" s="55">
        <v>0.15</v>
      </c>
      <c r="M965" s="55">
        <v>1.9</v>
      </c>
      <c r="N965" s="55">
        <v>2</v>
      </c>
      <c r="O965" s="55">
        <v>70</v>
      </c>
      <c r="P965" s="47" t="s">
        <v>51</v>
      </c>
    </row>
    <row r="966" spans="1:16" ht="18" customHeight="1">
      <c r="A966" s="47" t="s">
        <v>1259</v>
      </c>
      <c r="B966" s="48" t="s">
        <v>1290</v>
      </c>
      <c r="C966" s="54" t="s">
        <v>1291</v>
      </c>
      <c r="D966" s="55">
        <v>74</v>
      </c>
      <c r="E966" s="55">
        <v>9.4</v>
      </c>
      <c r="F966" s="55">
        <v>2.2799999999999998</v>
      </c>
      <c r="G966" s="55">
        <v>0.57999999999999996</v>
      </c>
      <c r="H966" s="55">
        <v>266</v>
      </c>
      <c r="I966" s="55">
        <v>18.2</v>
      </c>
      <c r="J966" s="55">
        <v>4</v>
      </c>
      <c r="K966" s="55">
        <v>0.03</v>
      </c>
      <c r="L966" s="55">
        <v>0.23</v>
      </c>
      <c r="M966" s="55">
        <v>2.1</v>
      </c>
      <c r="N966" s="55">
        <v>2</v>
      </c>
      <c r="O966" s="55">
        <v>62</v>
      </c>
      <c r="P966" s="47" t="s">
        <v>51</v>
      </c>
    </row>
    <row r="967" spans="1:16" ht="18" customHeight="1">
      <c r="A967" s="47" t="s">
        <v>1259</v>
      </c>
      <c r="B967" s="48" t="s">
        <v>1292</v>
      </c>
      <c r="C967" s="54" t="s">
        <v>1293</v>
      </c>
      <c r="D967" s="55">
        <v>104</v>
      </c>
      <c r="E967" s="55">
        <v>15.3</v>
      </c>
      <c r="F967" s="55">
        <v>2.9</v>
      </c>
      <c r="G967" s="55">
        <v>2.2000000000000002</v>
      </c>
      <c r="H967" s="55">
        <v>59</v>
      </c>
      <c r="I967" s="55">
        <v>2.2000000000000002</v>
      </c>
      <c r="J967" s="55">
        <v>0</v>
      </c>
      <c r="K967" s="55">
        <v>0.02</v>
      </c>
      <c r="L967" s="55">
        <v>0.03</v>
      </c>
      <c r="M967" s="55">
        <v>1.3</v>
      </c>
      <c r="N967" s="55">
        <v>0</v>
      </c>
      <c r="O967" s="55">
        <v>0</v>
      </c>
      <c r="P967" s="47" t="s">
        <v>51</v>
      </c>
    </row>
    <row r="968" spans="1:16" ht="18" customHeight="1">
      <c r="A968" s="47" t="s">
        <v>1259</v>
      </c>
      <c r="B968" s="48" t="s">
        <v>1294</v>
      </c>
      <c r="C968" s="54" t="s">
        <v>1295</v>
      </c>
      <c r="D968" s="55">
        <v>57</v>
      </c>
      <c r="E968" s="55">
        <v>10.3</v>
      </c>
      <c r="F968" s="55">
        <v>0.42</v>
      </c>
      <c r="G968" s="55">
        <v>10.199999999999999</v>
      </c>
      <c r="H968" s="55">
        <v>38</v>
      </c>
      <c r="I968" s="55">
        <v>8.1999999999999993</v>
      </c>
      <c r="J968" s="55">
        <v>8</v>
      </c>
      <c r="K968" s="55">
        <v>0.04</v>
      </c>
      <c r="L968" s="55">
        <v>0.14000000000000001</v>
      </c>
      <c r="M968" s="55">
        <v>1.8</v>
      </c>
      <c r="N968" s="55">
        <v>2</v>
      </c>
      <c r="O968" s="55">
        <v>47</v>
      </c>
      <c r="P968" s="47" t="s">
        <v>51</v>
      </c>
    </row>
    <row r="969" spans="1:16" ht="18" customHeight="1">
      <c r="A969" s="47" t="s">
        <v>1259</v>
      </c>
      <c r="B969" s="48" t="s">
        <v>1296</v>
      </c>
      <c r="C969" s="54" t="s">
        <v>1297</v>
      </c>
      <c r="D969" s="55">
        <v>93</v>
      </c>
      <c r="E969" s="55">
        <v>10.3</v>
      </c>
      <c r="F969" s="55">
        <v>0.46</v>
      </c>
      <c r="G969" s="55">
        <v>8.3000000000000007</v>
      </c>
      <c r="H969" s="55">
        <v>87</v>
      </c>
      <c r="I969" s="55">
        <v>5.0999999999999996</v>
      </c>
      <c r="J969" s="55">
        <v>35</v>
      </c>
      <c r="K969" s="55">
        <v>0.18</v>
      </c>
      <c r="L969" s="55">
        <v>0.26</v>
      </c>
      <c r="M969" s="55">
        <v>2.6</v>
      </c>
      <c r="N969" s="55">
        <v>2</v>
      </c>
      <c r="O969" s="55">
        <v>0</v>
      </c>
      <c r="P969" s="47" t="s">
        <v>51</v>
      </c>
    </row>
    <row r="970" spans="1:16" ht="18" customHeight="1">
      <c r="A970" s="47" t="s">
        <v>1259</v>
      </c>
      <c r="B970" s="48" t="s">
        <v>1298</v>
      </c>
      <c r="C970" s="54" t="s">
        <v>1299</v>
      </c>
      <c r="D970" s="55">
        <v>391</v>
      </c>
      <c r="E970" s="55">
        <v>56.1</v>
      </c>
      <c r="F970" s="55">
        <v>14.1</v>
      </c>
      <c r="G970" s="55">
        <v>10.199999999999999</v>
      </c>
      <c r="H970" s="55">
        <v>225</v>
      </c>
      <c r="I970" s="55">
        <v>17.3</v>
      </c>
      <c r="J970" s="55">
        <v>86</v>
      </c>
      <c r="K970" s="55">
        <v>0.14000000000000001</v>
      </c>
      <c r="L970" s="55">
        <v>0.52</v>
      </c>
      <c r="M970" s="55">
        <v>5.5</v>
      </c>
      <c r="N970" s="55">
        <v>8</v>
      </c>
      <c r="O970" s="55">
        <v>0</v>
      </c>
      <c r="P970" s="47" t="s">
        <v>51</v>
      </c>
    </row>
    <row r="971" spans="1:16" ht="18" customHeight="1">
      <c r="A971" s="47" t="s">
        <v>1259</v>
      </c>
      <c r="B971" s="48" t="s">
        <v>1300</v>
      </c>
      <c r="C971" s="54" t="s">
        <v>1299</v>
      </c>
      <c r="D971" s="55">
        <v>94</v>
      </c>
      <c r="E971" s="55">
        <v>15.8</v>
      </c>
      <c r="F971" s="55">
        <v>1.3</v>
      </c>
      <c r="G971" s="55">
        <v>2.2999999999999998</v>
      </c>
      <c r="H971" s="55">
        <v>165</v>
      </c>
      <c r="I971" s="55">
        <v>10</v>
      </c>
      <c r="J971" s="55">
        <v>0</v>
      </c>
      <c r="K971" s="55">
        <v>0.56000000000000005</v>
      </c>
      <c r="L971" s="55">
        <v>0.13</v>
      </c>
      <c r="M971" s="55">
        <v>3.4</v>
      </c>
      <c r="N971" s="55">
        <v>0</v>
      </c>
      <c r="O971" s="55">
        <v>0</v>
      </c>
      <c r="P971" s="47" t="s">
        <v>51</v>
      </c>
    </row>
    <row r="972" spans="1:16" ht="18" customHeight="1">
      <c r="A972" s="47" t="s">
        <v>1259</v>
      </c>
      <c r="B972" s="48" t="s">
        <v>1299</v>
      </c>
      <c r="C972" s="54" t="s">
        <v>1301</v>
      </c>
      <c r="D972" s="55">
        <v>73</v>
      </c>
      <c r="E972" s="55">
        <v>10.199999999999999</v>
      </c>
      <c r="F972" s="55">
        <v>14.1</v>
      </c>
      <c r="G972" s="55">
        <v>0.56000000000000005</v>
      </c>
      <c r="H972" s="55">
        <v>58</v>
      </c>
      <c r="I972" s="55">
        <v>2.8</v>
      </c>
      <c r="J972" s="55">
        <v>0</v>
      </c>
      <c r="K972" s="55">
        <v>0.02</v>
      </c>
      <c r="L972" s="55">
        <v>0.18</v>
      </c>
      <c r="M972" s="55">
        <v>1.9</v>
      </c>
      <c r="N972" s="55">
        <v>3</v>
      </c>
      <c r="O972" s="55">
        <v>67</v>
      </c>
      <c r="P972" s="47" t="s">
        <v>51</v>
      </c>
    </row>
    <row r="973" spans="1:16" ht="18" customHeight="1">
      <c r="A973" s="47" t="s">
        <v>1259</v>
      </c>
      <c r="B973" s="48" t="s">
        <v>1302</v>
      </c>
      <c r="C973" s="54"/>
      <c r="D973" s="55">
        <v>104</v>
      </c>
      <c r="E973" s="55">
        <v>17.7</v>
      </c>
      <c r="F973" s="55">
        <v>1.67</v>
      </c>
      <c r="G973" s="55">
        <v>0.7</v>
      </c>
      <c r="H973" s="55">
        <v>94</v>
      </c>
      <c r="I973" s="55">
        <v>2.2999999999999998</v>
      </c>
      <c r="J973" s="55">
        <v>3</v>
      </c>
      <c r="K973" s="55">
        <v>0.15</v>
      </c>
      <c r="L973" s="56">
        <v>0.24</v>
      </c>
      <c r="M973" s="55">
        <v>2.4</v>
      </c>
      <c r="N973" s="55">
        <v>1</v>
      </c>
      <c r="O973" s="55"/>
    </row>
    <row r="974" spans="1:16" ht="17.25" customHeight="1">
      <c r="A974" s="47" t="s">
        <v>135</v>
      </c>
      <c r="B974" s="48" t="s">
        <v>1303</v>
      </c>
      <c r="C974" s="54" t="s">
        <v>1304</v>
      </c>
      <c r="D974" s="55">
        <v>260</v>
      </c>
      <c r="E974" s="55">
        <v>35.5</v>
      </c>
      <c r="F974" s="55">
        <v>44.6</v>
      </c>
      <c r="G974" s="55">
        <v>0</v>
      </c>
      <c r="H974" s="55">
        <v>412</v>
      </c>
      <c r="I974" s="55">
        <v>18.600000000000001</v>
      </c>
      <c r="J974" s="55">
        <v>1000</v>
      </c>
      <c r="K974" s="55">
        <v>1.1499999999999999</v>
      </c>
      <c r="L974" s="55">
        <v>2.7</v>
      </c>
      <c r="M974" s="55">
        <v>11.9</v>
      </c>
      <c r="N974" s="55">
        <v>71</v>
      </c>
      <c r="O974" s="55">
        <v>0</v>
      </c>
      <c r="P974" s="47" t="s">
        <v>51</v>
      </c>
    </row>
    <row r="975" spans="1:16" ht="17.25" customHeight="1">
      <c r="A975" s="47" t="s">
        <v>135</v>
      </c>
      <c r="B975" s="48" t="s">
        <v>1305</v>
      </c>
      <c r="C975" s="54" t="s">
        <v>1304</v>
      </c>
      <c r="D975" s="55">
        <v>260</v>
      </c>
      <c r="E975" s="55">
        <v>35.5</v>
      </c>
      <c r="F975" s="55">
        <v>40.200000000000003</v>
      </c>
      <c r="G975" s="55">
        <v>0</v>
      </c>
      <c r="H975" s="55">
        <v>412</v>
      </c>
      <c r="I975" s="55">
        <v>18.600000000000001</v>
      </c>
      <c r="J975" s="55">
        <v>1000</v>
      </c>
      <c r="K975" s="55">
        <v>1.1499999999999999</v>
      </c>
      <c r="L975" s="55">
        <v>2.7</v>
      </c>
      <c r="M975" s="55">
        <v>11.9</v>
      </c>
      <c r="N975" s="55">
        <v>71</v>
      </c>
      <c r="O975" s="55">
        <v>0</v>
      </c>
      <c r="P975" s="47" t="s">
        <v>51</v>
      </c>
    </row>
    <row r="976" spans="1:16" ht="18" customHeight="1">
      <c r="A976" s="47" t="s">
        <v>135</v>
      </c>
      <c r="B976" s="48" t="s">
        <v>1306</v>
      </c>
      <c r="C976" s="54" t="s">
        <v>1307</v>
      </c>
      <c r="D976" s="55">
        <v>272</v>
      </c>
      <c r="E976" s="55">
        <v>20</v>
      </c>
      <c r="F976" s="55">
        <v>41.1</v>
      </c>
      <c r="G976" s="55">
        <v>2.2999999999999998</v>
      </c>
      <c r="H976" s="55">
        <v>410</v>
      </c>
      <c r="I976" s="55">
        <v>5</v>
      </c>
      <c r="J976" s="55">
        <v>240</v>
      </c>
      <c r="K976" s="55">
        <v>0.3</v>
      </c>
      <c r="L976" s="55">
        <v>0.1</v>
      </c>
      <c r="M976" s="55">
        <v>5</v>
      </c>
      <c r="N976" s="55">
        <v>37</v>
      </c>
      <c r="O976" s="55">
        <v>0</v>
      </c>
      <c r="P976" s="47" t="s">
        <v>51</v>
      </c>
    </row>
    <row r="977" spans="1:16" ht="18" customHeight="1">
      <c r="A977" s="47" t="s">
        <v>135</v>
      </c>
      <c r="B977" s="48" t="s">
        <v>1308</v>
      </c>
      <c r="C977" s="54" t="s">
        <v>137</v>
      </c>
      <c r="D977" s="55">
        <v>270</v>
      </c>
      <c r="E977" s="55">
        <v>42.3</v>
      </c>
      <c r="F977" s="55">
        <v>36.5</v>
      </c>
      <c r="G977" s="55">
        <v>0</v>
      </c>
      <c r="H977" s="55">
        <v>300</v>
      </c>
      <c r="I977" s="55">
        <v>10.6</v>
      </c>
      <c r="J977" s="55">
        <v>2431</v>
      </c>
      <c r="K977" s="55">
        <v>0.79</v>
      </c>
      <c r="L977" s="55">
        <v>3.62</v>
      </c>
      <c r="M977" s="55">
        <v>11.3</v>
      </c>
      <c r="N977" s="55">
        <v>157</v>
      </c>
      <c r="O977" s="55">
        <v>0</v>
      </c>
      <c r="P977" s="47" t="s">
        <v>51</v>
      </c>
    </row>
    <row r="978" spans="1:16" ht="18" customHeight="1">
      <c r="A978" s="47" t="s">
        <v>135</v>
      </c>
      <c r="B978" s="48" t="s">
        <v>1309</v>
      </c>
      <c r="C978" s="54" t="s">
        <v>1310</v>
      </c>
      <c r="D978" s="55">
        <v>479</v>
      </c>
      <c r="E978" s="55">
        <v>25.1</v>
      </c>
      <c r="F978" s="55">
        <v>41.1</v>
      </c>
      <c r="G978" s="55">
        <v>0</v>
      </c>
      <c r="H978" s="55">
        <v>230</v>
      </c>
      <c r="I978" s="55">
        <v>18</v>
      </c>
      <c r="J978" s="55">
        <v>3450</v>
      </c>
      <c r="K978" s="55">
        <v>0.96</v>
      </c>
      <c r="L978" s="55">
        <v>2.8</v>
      </c>
      <c r="M978" s="55">
        <v>8.3000000000000007</v>
      </c>
      <c r="N978" s="55">
        <v>70</v>
      </c>
      <c r="O978" s="55">
        <v>0</v>
      </c>
      <c r="P978" s="47" t="s">
        <v>51</v>
      </c>
    </row>
    <row r="979" spans="1:16" ht="18" customHeight="1">
      <c r="A979" s="47" t="s">
        <v>135</v>
      </c>
      <c r="B979" s="48" t="s">
        <v>1311</v>
      </c>
      <c r="C979" s="54" t="s">
        <v>1312</v>
      </c>
      <c r="D979" s="55">
        <v>252</v>
      </c>
      <c r="E979" s="55">
        <v>38.6</v>
      </c>
      <c r="F979" s="55">
        <v>40.299999999999997</v>
      </c>
      <c r="G979" s="55">
        <v>0</v>
      </c>
      <c r="H979" s="55">
        <v>325</v>
      </c>
      <c r="I979" s="55">
        <v>17.600000000000001</v>
      </c>
      <c r="J979" s="55">
        <v>3750</v>
      </c>
      <c r="K979" s="55">
        <v>1.2</v>
      </c>
      <c r="L979" s="55">
        <v>2.95</v>
      </c>
      <c r="M979" s="55">
        <v>10.4</v>
      </c>
      <c r="N979" s="55">
        <v>93</v>
      </c>
      <c r="O979" s="55">
        <v>0</v>
      </c>
      <c r="P979" s="47" t="s">
        <v>51</v>
      </c>
    </row>
    <row r="980" spans="1:16" ht="18" customHeight="1">
      <c r="A980" s="47" t="s">
        <v>135</v>
      </c>
      <c r="B980" s="48" t="s">
        <v>1686</v>
      </c>
      <c r="C980" s="54" t="s">
        <v>1313</v>
      </c>
      <c r="D980" s="55">
        <v>265</v>
      </c>
      <c r="E980" s="55">
        <v>37.799999999999997</v>
      </c>
      <c r="F980" s="55">
        <v>42.9</v>
      </c>
      <c r="G980" s="55">
        <v>2.2999999999999998</v>
      </c>
      <c r="H980" s="55">
        <v>230</v>
      </c>
      <c r="I980" s="55">
        <v>18</v>
      </c>
      <c r="J980" s="55">
        <v>3450</v>
      </c>
      <c r="K980" s="55">
        <v>0.96</v>
      </c>
      <c r="L980" s="55">
        <v>2.8</v>
      </c>
      <c r="M980" s="55">
        <v>8.3000000000000007</v>
      </c>
      <c r="N980" s="55">
        <v>70</v>
      </c>
      <c r="O980" s="55">
        <v>0</v>
      </c>
      <c r="P980" s="47" t="s">
        <v>51</v>
      </c>
    </row>
    <row r="981" spans="1:16" ht="18" customHeight="1">
      <c r="A981" s="47"/>
      <c r="B981" s="48" t="s">
        <v>1314</v>
      </c>
      <c r="C981" s="54"/>
      <c r="D981" s="55">
        <v>243</v>
      </c>
      <c r="E981" s="55">
        <v>41.8</v>
      </c>
      <c r="F981" s="55">
        <v>42.9</v>
      </c>
      <c r="G981" s="55">
        <v>0</v>
      </c>
      <c r="H981" s="55">
        <v>265</v>
      </c>
      <c r="I981" s="55">
        <v>15.3</v>
      </c>
      <c r="J981" s="55">
        <v>1948</v>
      </c>
      <c r="K981" s="55">
        <v>0.65</v>
      </c>
      <c r="L981" s="55">
        <v>1.1299999999999999</v>
      </c>
      <c r="M981" s="55">
        <v>9.8000000000000007</v>
      </c>
      <c r="N981" s="55">
        <v>16</v>
      </c>
      <c r="O981" s="55">
        <v>0</v>
      </c>
    </row>
    <row r="982" spans="1:16" ht="18" customHeight="1">
      <c r="A982" s="47" t="s">
        <v>135</v>
      </c>
      <c r="B982" s="48" t="s">
        <v>1680</v>
      </c>
      <c r="C982" s="54" t="s">
        <v>1315</v>
      </c>
      <c r="D982" s="55">
        <v>243</v>
      </c>
      <c r="E982" s="55">
        <v>41.8</v>
      </c>
      <c r="F982" s="55">
        <v>41.1</v>
      </c>
      <c r="G982" s="55">
        <v>0</v>
      </c>
      <c r="H982" s="55">
        <v>265</v>
      </c>
      <c r="I982" s="55">
        <v>15.3</v>
      </c>
      <c r="J982" s="55">
        <v>1948</v>
      </c>
      <c r="K982" s="55">
        <v>0.65</v>
      </c>
      <c r="L982" s="55">
        <v>1.1299999999999999</v>
      </c>
      <c r="M982" s="55">
        <v>9.8000000000000007</v>
      </c>
      <c r="N982" s="55">
        <v>16</v>
      </c>
      <c r="O982" s="55">
        <v>0</v>
      </c>
      <c r="P982" s="47" t="s">
        <v>51</v>
      </c>
    </row>
    <row r="983" spans="1:16" ht="18" customHeight="1">
      <c r="A983" s="47" t="s">
        <v>135</v>
      </c>
      <c r="B983" s="48" t="s">
        <v>1316</v>
      </c>
      <c r="C983" s="54" t="s">
        <v>1315</v>
      </c>
      <c r="D983" s="55">
        <v>466</v>
      </c>
      <c r="E983" s="55">
        <v>25.1</v>
      </c>
      <c r="F983" s="55">
        <v>42.9</v>
      </c>
      <c r="G983" s="55">
        <v>0</v>
      </c>
      <c r="H983" s="55">
        <v>230</v>
      </c>
      <c r="I983" s="55">
        <v>18</v>
      </c>
      <c r="J983" s="55">
        <v>3450</v>
      </c>
      <c r="K983" s="55">
        <v>0.96</v>
      </c>
      <c r="L983" s="55">
        <v>2.8</v>
      </c>
      <c r="M983" s="55">
        <v>8.3000000000000007</v>
      </c>
      <c r="N983" s="55">
        <v>70</v>
      </c>
      <c r="O983" s="55">
        <v>0</v>
      </c>
      <c r="P983" s="47" t="s">
        <v>51</v>
      </c>
    </row>
    <row r="984" spans="1:16" ht="18" customHeight="1">
      <c r="A984" s="47" t="s">
        <v>135</v>
      </c>
      <c r="B984" s="48" t="s">
        <v>1317</v>
      </c>
      <c r="C984" s="54" t="s">
        <v>1318</v>
      </c>
      <c r="D984" s="55">
        <v>243</v>
      </c>
      <c r="E984" s="55">
        <v>41.8</v>
      </c>
      <c r="F984" s="55">
        <v>40.299999999999997</v>
      </c>
      <c r="G984" s="55">
        <v>0</v>
      </c>
      <c r="H984" s="55">
        <v>265</v>
      </c>
      <c r="I984" s="55">
        <v>15.3</v>
      </c>
      <c r="J984" s="55">
        <v>1948</v>
      </c>
      <c r="K984" s="55">
        <v>0.65</v>
      </c>
      <c r="L984" s="55">
        <v>1.1299999999999999</v>
      </c>
      <c r="M984" s="55">
        <v>9.8000000000000007</v>
      </c>
      <c r="N984" s="55">
        <v>16</v>
      </c>
      <c r="O984" s="55">
        <v>0</v>
      </c>
      <c r="P984" s="47" t="s">
        <v>51</v>
      </c>
    </row>
    <row r="985" spans="1:16" ht="18" customHeight="1">
      <c r="A985" s="47" t="s">
        <v>135</v>
      </c>
      <c r="B985" s="48" t="s">
        <v>1319</v>
      </c>
      <c r="C985" s="54" t="s">
        <v>1320</v>
      </c>
      <c r="D985" s="55">
        <v>232</v>
      </c>
      <c r="E985" s="55">
        <v>32.700000000000003</v>
      </c>
      <c r="F985" s="55">
        <v>40.1</v>
      </c>
      <c r="G985" s="55">
        <v>0</v>
      </c>
      <c r="H985" s="55">
        <v>196</v>
      </c>
      <c r="I985" s="55">
        <v>17.600000000000001</v>
      </c>
      <c r="J985" s="55">
        <v>3375</v>
      </c>
      <c r="K985" s="55">
        <v>0.4</v>
      </c>
      <c r="L985" s="55">
        <v>3.36</v>
      </c>
      <c r="M985" s="55">
        <v>5.4</v>
      </c>
      <c r="N985" s="55">
        <v>21</v>
      </c>
      <c r="O985" s="55">
        <v>0</v>
      </c>
      <c r="P985" s="47" t="s">
        <v>51</v>
      </c>
    </row>
    <row r="986" spans="1:16" ht="18" customHeight="1">
      <c r="A986" s="47" t="s">
        <v>135</v>
      </c>
      <c r="B986" s="48" t="s">
        <v>1321</v>
      </c>
      <c r="C986" s="54" t="s">
        <v>1321</v>
      </c>
      <c r="D986" s="55">
        <v>28</v>
      </c>
      <c r="E986" s="55">
        <v>1.8</v>
      </c>
      <c r="F986" s="55">
        <v>6.2</v>
      </c>
      <c r="G986" s="55">
        <v>0.2</v>
      </c>
      <c r="H986" s="55">
        <v>630</v>
      </c>
      <c r="I986" s="55">
        <v>6.9</v>
      </c>
      <c r="J986" s="55">
        <v>39</v>
      </c>
      <c r="K986" s="55">
        <v>0.02</v>
      </c>
      <c r="L986" s="55">
        <v>0.2</v>
      </c>
      <c r="M986" s="55">
        <v>0.5</v>
      </c>
      <c r="N986" s="55">
        <v>9</v>
      </c>
      <c r="O986" s="55">
        <v>0</v>
      </c>
      <c r="P986" s="47" t="s">
        <v>51</v>
      </c>
    </row>
    <row r="987" spans="1:16" ht="18" customHeight="1">
      <c r="A987" s="47" t="s">
        <v>135</v>
      </c>
      <c r="B987" s="48" t="s">
        <v>1322</v>
      </c>
      <c r="C987" s="54" t="s">
        <v>1323</v>
      </c>
      <c r="D987" s="55">
        <v>189</v>
      </c>
      <c r="E987" s="55">
        <v>7.4</v>
      </c>
      <c r="F987" s="55">
        <v>45.2</v>
      </c>
      <c r="G987" s="55">
        <v>1.1000000000000001</v>
      </c>
      <c r="H987" s="55">
        <v>708</v>
      </c>
      <c r="I987" s="55">
        <v>6.3</v>
      </c>
      <c r="J987" s="55">
        <v>96</v>
      </c>
      <c r="K987" s="55">
        <v>0.22</v>
      </c>
      <c r="L987" s="55">
        <v>0.45</v>
      </c>
      <c r="M987" s="55">
        <v>4.5</v>
      </c>
      <c r="N987" s="55">
        <v>18</v>
      </c>
      <c r="O987" s="55">
        <v>0</v>
      </c>
      <c r="P987" s="47" t="s">
        <v>51</v>
      </c>
    </row>
    <row r="988" spans="1:16" ht="18" customHeight="1">
      <c r="A988" s="47"/>
      <c r="B988" s="48" t="s">
        <v>1324</v>
      </c>
      <c r="C988" s="54"/>
      <c r="D988" s="55">
        <v>19</v>
      </c>
      <c r="E988" s="55">
        <v>1.1000000000000001</v>
      </c>
      <c r="F988" s="55">
        <v>4.2</v>
      </c>
      <c r="G988" s="55">
        <v>1.3</v>
      </c>
      <c r="H988" s="55">
        <v>103</v>
      </c>
      <c r="I988" s="55">
        <v>2.4</v>
      </c>
      <c r="J988" s="55">
        <v>129</v>
      </c>
      <c r="K988" s="55">
        <v>0.03</v>
      </c>
      <c r="L988" s="55">
        <v>0.13</v>
      </c>
      <c r="M988" s="55">
        <v>1.1000000000000001</v>
      </c>
      <c r="N988" s="55">
        <v>14</v>
      </c>
      <c r="O988" s="55">
        <v>0</v>
      </c>
    </row>
    <row r="989" spans="1:16" ht="18" customHeight="1">
      <c r="A989" s="47" t="s">
        <v>135</v>
      </c>
      <c r="B989" s="48" t="s">
        <v>1325</v>
      </c>
      <c r="C989" s="54" t="s">
        <v>1326</v>
      </c>
      <c r="D989" s="55">
        <v>19</v>
      </c>
      <c r="E989" s="55">
        <v>1.1000000000000001</v>
      </c>
      <c r="F989" s="55">
        <v>4.2</v>
      </c>
      <c r="G989" s="55">
        <v>0.3</v>
      </c>
      <c r="H989" s="55">
        <v>103</v>
      </c>
      <c r="I989" s="55">
        <v>2.4</v>
      </c>
      <c r="J989" s="55">
        <v>129</v>
      </c>
      <c r="K989" s="55">
        <v>0.03</v>
      </c>
      <c r="L989" s="55">
        <v>0.13</v>
      </c>
      <c r="M989" s="55">
        <v>1.1000000000000001</v>
      </c>
      <c r="N989" s="55">
        <v>14</v>
      </c>
      <c r="O989" s="55">
        <v>0</v>
      </c>
      <c r="P989" s="47" t="s">
        <v>51</v>
      </c>
    </row>
    <row r="990" spans="1:16" ht="18" customHeight="1">
      <c r="A990" s="47" t="s">
        <v>135</v>
      </c>
      <c r="B990" s="48" t="s">
        <v>1327</v>
      </c>
      <c r="C990" s="54" t="s">
        <v>1328</v>
      </c>
      <c r="D990" s="55">
        <v>24</v>
      </c>
      <c r="E990" s="55">
        <v>1.2</v>
      </c>
      <c r="F990" s="55">
        <v>6</v>
      </c>
      <c r="G990" s="55">
        <v>23</v>
      </c>
      <c r="H990" s="55">
        <v>145</v>
      </c>
      <c r="I990" s="55">
        <v>1.4</v>
      </c>
      <c r="J990" s="55">
        <v>21</v>
      </c>
      <c r="K990" s="55">
        <v>0.03</v>
      </c>
      <c r="L990" s="55">
        <v>0.05</v>
      </c>
      <c r="M990" s="55">
        <v>0.2</v>
      </c>
      <c r="N990" s="55">
        <v>0</v>
      </c>
      <c r="O990" s="55">
        <v>0</v>
      </c>
    </row>
    <row r="991" spans="1:16" ht="18" customHeight="1">
      <c r="A991" s="47" t="s">
        <v>135</v>
      </c>
      <c r="B991" s="48" t="s">
        <v>1329</v>
      </c>
      <c r="C991" s="54" t="s">
        <v>1330</v>
      </c>
      <c r="D991" s="55">
        <v>398</v>
      </c>
      <c r="E991" s="55">
        <v>3.6</v>
      </c>
      <c r="F991" s="55">
        <v>58.8</v>
      </c>
      <c r="G991" s="55">
        <v>0.3</v>
      </c>
      <c r="H991" s="55">
        <v>240</v>
      </c>
      <c r="I991" s="55">
        <v>5</v>
      </c>
      <c r="J991" s="55">
        <v>85</v>
      </c>
      <c r="K991" s="55">
        <v>0.03</v>
      </c>
      <c r="L991" s="55">
        <v>0.09</v>
      </c>
      <c r="M991" s="55">
        <v>0.8</v>
      </c>
      <c r="N991" s="55">
        <v>17</v>
      </c>
      <c r="O991" s="55">
        <v>0</v>
      </c>
      <c r="P991" s="47" t="s">
        <v>51</v>
      </c>
    </row>
    <row r="992" spans="1:16" ht="18" customHeight="1">
      <c r="A992" s="47" t="s">
        <v>135</v>
      </c>
      <c r="B992" s="48" t="s">
        <v>1331</v>
      </c>
      <c r="C992" s="54" t="s">
        <v>1332</v>
      </c>
      <c r="D992" s="55">
        <v>28</v>
      </c>
      <c r="E992" s="55">
        <v>3</v>
      </c>
      <c r="F992" s="55">
        <v>5.0999999999999996</v>
      </c>
      <c r="G992" s="55">
        <v>0.2</v>
      </c>
      <c r="H992" s="55">
        <v>149</v>
      </c>
      <c r="I992" s="55">
        <v>1.1000000000000001</v>
      </c>
      <c r="J992" s="55">
        <v>315</v>
      </c>
      <c r="K992" s="55">
        <v>0.06</v>
      </c>
      <c r="L992" s="55">
        <v>0.14000000000000001</v>
      </c>
      <c r="M992" s="55">
        <v>1.3</v>
      </c>
      <c r="N992" s="55">
        <v>15</v>
      </c>
      <c r="O992" s="55">
        <v>0</v>
      </c>
      <c r="P992" s="47" t="s">
        <v>51</v>
      </c>
    </row>
    <row r="993" spans="1:16" ht="18" customHeight="1">
      <c r="A993" s="47" t="s">
        <v>135</v>
      </c>
      <c r="B993" s="48" t="s">
        <v>1877</v>
      </c>
      <c r="C993" s="54" t="s">
        <v>1332</v>
      </c>
      <c r="D993" s="55">
        <v>28</v>
      </c>
      <c r="E993" s="55">
        <v>3</v>
      </c>
      <c r="F993" s="55">
        <v>5.0999999999999996</v>
      </c>
      <c r="G993" s="55">
        <v>0.2</v>
      </c>
      <c r="H993" s="55">
        <v>149</v>
      </c>
      <c r="I993" s="55">
        <v>1.1000000000000001</v>
      </c>
      <c r="J993" s="55">
        <v>315</v>
      </c>
      <c r="K993" s="55">
        <v>0.06</v>
      </c>
      <c r="L993" s="55">
        <v>0.14000000000000001</v>
      </c>
      <c r="M993" s="55">
        <v>1.3</v>
      </c>
      <c r="N993" s="55">
        <v>15</v>
      </c>
      <c r="O993" s="55">
        <v>0</v>
      </c>
      <c r="P993" s="47" t="s">
        <v>51</v>
      </c>
    </row>
    <row r="994" spans="1:16" ht="18" customHeight="1">
      <c r="A994" s="47" t="s">
        <v>135</v>
      </c>
      <c r="B994" s="48" t="s">
        <v>1333</v>
      </c>
      <c r="C994" s="54" t="s">
        <v>1334</v>
      </c>
      <c r="D994" s="55">
        <v>539</v>
      </c>
      <c r="E994" s="55">
        <v>3.2</v>
      </c>
      <c r="F994" s="69">
        <v>26.4</v>
      </c>
      <c r="G994" s="55">
        <v>0</v>
      </c>
      <c r="H994" s="55">
        <v>792</v>
      </c>
      <c r="I994" s="55">
        <v>14.2</v>
      </c>
      <c r="J994" s="55">
        <v>93</v>
      </c>
      <c r="K994" s="55">
        <v>0.08</v>
      </c>
      <c r="L994" s="55">
        <v>0.09</v>
      </c>
      <c r="M994" s="55">
        <v>3.6</v>
      </c>
      <c r="N994" s="55">
        <v>0</v>
      </c>
      <c r="O994" s="55">
        <v>0</v>
      </c>
      <c r="P994" s="47" t="s">
        <v>51</v>
      </c>
    </row>
    <row r="995" spans="1:16" ht="18" customHeight="1">
      <c r="A995" s="47" t="s">
        <v>135</v>
      </c>
      <c r="B995" s="48" t="s">
        <v>1335</v>
      </c>
      <c r="C995" s="54" t="s">
        <v>1336</v>
      </c>
      <c r="D995" s="55">
        <v>190</v>
      </c>
      <c r="E995" s="55">
        <v>13.5</v>
      </c>
      <c r="F995" s="55">
        <v>36.299999999999997</v>
      </c>
      <c r="G995" s="55">
        <v>0.9</v>
      </c>
      <c r="H995" s="55">
        <v>920</v>
      </c>
      <c r="I995" s="55">
        <v>7.6</v>
      </c>
      <c r="J995" s="55">
        <v>60</v>
      </c>
      <c r="K995" s="55">
        <v>0.25</v>
      </c>
      <c r="L995" s="55">
        <v>1.05</v>
      </c>
      <c r="M995" s="55">
        <v>8</v>
      </c>
      <c r="N995" s="55">
        <v>14</v>
      </c>
      <c r="O995" s="55">
        <v>0</v>
      </c>
      <c r="P995" s="47" t="s">
        <v>51</v>
      </c>
    </row>
    <row r="996" spans="1:16" ht="18" customHeight="1">
      <c r="A996" s="47" t="s">
        <v>135</v>
      </c>
      <c r="B996" s="48" t="s">
        <v>1337</v>
      </c>
      <c r="C996" s="54" t="s">
        <v>1338</v>
      </c>
      <c r="D996" s="55">
        <v>21</v>
      </c>
      <c r="E996" s="55">
        <v>1</v>
      </c>
      <c r="F996" s="55">
        <v>57.1</v>
      </c>
      <c r="G996" s="55">
        <v>0.2</v>
      </c>
      <c r="H996" s="55">
        <v>138</v>
      </c>
      <c r="I996" s="55">
        <v>1.5</v>
      </c>
      <c r="J996" s="55">
        <v>8</v>
      </c>
      <c r="K996" s="55">
        <v>0.01</v>
      </c>
      <c r="L996" s="55">
        <v>0.02</v>
      </c>
      <c r="M996" s="55">
        <v>0.2</v>
      </c>
      <c r="N996" s="55">
        <v>1</v>
      </c>
      <c r="O996" s="55">
        <v>0</v>
      </c>
      <c r="P996" s="47" t="s">
        <v>51</v>
      </c>
    </row>
    <row r="997" spans="1:16" ht="18" customHeight="1">
      <c r="A997" s="47" t="s">
        <v>135</v>
      </c>
      <c r="B997" s="48" t="s">
        <v>1339</v>
      </c>
      <c r="C997" s="54" t="s">
        <v>1338</v>
      </c>
      <c r="D997" s="55">
        <v>22</v>
      </c>
      <c r="E997" s="55">
        <v>1.8</v>
      </c>
      <c r="F997" s="55">
        <v>0.08</v>
      </c>
      <c r="G997" s="55">
        <v>0.1</v>
      </c>
      <c r="H997" s="55">
        <v>120</v>
      </c>
      <c r="I997" s="55">
        <v>0.4</v>
      </c>
      <c r="J997" s="55">
        <v>60</v>
      </c>
      <c r="K997" s="55">
        <v>0.03</v>
      </c>
      <c r="L997" s="55">
        <v>0.06</v>
      </c>
      <c r="M997" s="55">
        <v>0.4</v>
      </c>
      <c r="N997" s="55">
        <v>12</v>
      </c>
      <c r="O997" s="55">
        <v>0</v>
      </c>
    </row>
    <row r="998" spans="1:16" ht="18" customHeight="1">
      <c r="A998" s="47" t="s">
        <v>135</v>
      </c>
      <c r="B998" s="48" t="s">
        <v>1340</v>
      </c>
      <c r="C998" s="54" t="s">
        <v>1340</v>
      </c>
      <c r="D998" s="55">
        <v>55</v>
      </c>
      <c r="E998" s="55">
        <v>6</v>
      </c>
      <c r="F998" s="55">
        <v>51.4</v>
      </c>
      <c r="G998" s="55">
        <v>0.2</v>
      </c>
      <c r="H998" s="55">
        <v>178</v>
      </c>
      <c r="I998" s="55">
        <v>3.2</v>
      </c>
      <c r="J998" s="55">
        <v>162</v>
      </c>
      <c r="K998" s="55">
        <v>0.04</v>
      </c>
      <c r="L998" s="55">
        <v>0.08</v>
      </c>
      <c r="M998" s="55">
        <v>3.1</v>
      </c>
      <c r="N998" s="55">
        <v>3</v>
      </c>
      <c r="O998" s="55">
        <v>0</v>
      </c>
      <c r="P998" s="47" t="s">
        <v>51</v>
      </c>
    </row>
    <row r="999" spans="1:16" ht="18" customHeight="1">
      <c r="A999" s="47" t="s">
        <v>135</v>
      </c>
      <c r="B999" s="48" t="s">
        <v>1341</v>
      </c>
      <c r="C999" s="54" t="s">
        <v>1342</v>
      </c>
      <c r="D999" s="55">
        <v>89</v>
      </c>
      <c r="E999" s="55">
        <v>4.2</v>
      </c>
      <c r="F999" s="69">
        <v>18.5</v>
      </c>
      <c r="G999" s="55">
        <v>0.8</v>
      </c>
      <c r="H999" s="55">
        <v>183</v>
      </c>
      <c r="I999" s="55">
        <v>3.9</v>
      </c>
      <c r="J999" s="55">
        <v>360</v>
      </c>
      <c r="K999" s="55">
        <v>0.04</v>
      </c>
      <c r="L999" s="55">
        <v>0.43</v>
      </c>
      <c r="M999" s="55">
        <v>1.1000000000000001</v>
      </c>
      <c r="N999" s="55">
        <v>15</v>
      </c>
      <c r="O999" s="55">
        <v>0</v>
      </c>
      <c r="P999" s="47" t="s">
        <v>51</v>
      </c>
    </row>
    <row r="1000" spans="1:16" ht="18" customHeight="1">
      <c r="A1000" s="47" t="s">
        <v>135</v>
      </c>
      <c r="B1000" s="48" t="s">
        <v>1343</v>
      </c>
      <c r="C1000" s="54" t="s">
        <v>1344</v>
      </c>
      <c r="D1000" s="55">
        <v>273</v>
      </c>
      <c r="E1000" s="55">
        <v>2.2999999999999998</v>
      </c>
      <c r="F1000" s="69">
        <v>74.599999999999994</v>
      </c>
      <c r="G1000" s="55">
        <v>0.5</v>
      </c>
      <c r="H1000" s="55">
        <v>523</v>
      </c>
      <c r="I1000" s="55">
        <v>7.8</v>
      </c>
      <c r="J1000" s="55">
        <v>0</v>
      </c>
      <c r="K1000" s="55">
        <v>0</v>
      </c>
      <c r="L1000" s="55">
        <v>0</v>
      </c>
      <c r="M1000" s="55">
        <v>0</v>
      </c>
      <c r="N1000" s="55">
        <v>0</v>
      </c>
      <c r="O1000" s="55">
        <v>0</v>
      </c>
      <c r="P1000" s="47" t="s">
        <v>51</v>
      </c>
    </row>
    <row r="1001" spans="1:16" ht="18" customHeight="1">
      <c r="A1001" s="47" t="s">
        <v>135</v>
      </c>
      <c r="B1001" s="48" t="s">
        <v>1345</v>
      </c>
      <c r="C1001" s="54" t="s">
        <v>1346</v>
      </c>
      <c r="D1001" s="55">
        <v>229</v>
      </c>
      <c r="E1001" s="55">
        <v>13.8</v>
      </c>
      <c r="F1001" s="69">
        <v>62.6</v>
      </c>
      <c r="G1001" s="55">
        <v>0.8</v>
      </c>
      <c r="H1001" s="55">
        <v>0</v>
      </c>
      <c r="I1001" s="55">
        <v>0</v>
      </c>
      <c r="J1001" s="55">
        <v>0</v>
      </c>
      <c r="K1001" s="55">
        <v>0</v>
      </c>
      <c r="L1001" s="55">
        <v>0</v>
      </c>
      <c r="M1001" s="55">
        <v>0</v>
      </c>
      <c r="N1001" s="55">
        <v>0</v>
      </c>
      <c r="O1001" s="55">
        <v>0</v>
      </c>
      <c r="P1001" s="47" t="s">
        <v>51</v>
      </c>
    </row>
    <row r="1002" spans="1:16" ht="18" customHeight="1">
      <c r="A1002" s="47" t="s">
        <v>135</v>
      </c>
      <c r="B1002" s="48" t="s">
        <v>1347</v>
      </c>
      <c r="C1002" s="54" t="s">
        <v>1348</v>
      </c>
      <c r="D1002" s="55">
        <v>9</v>
      </c>
      <c r="E1002" s="55">
        <v>0.4</v>
      </c>
      <c r="F1002" s="69">
        <v>1.6</v>
      </c>
      <c r="G1002" s="55">
        <v>0.2</v>
      </c>
      <c r="H1002" s="55">
        <v>71</v>
      </c>
      <c r="I1002" s="55">
        <v>6.6</v>
      </c>
      <c r="J1002" s="55">
        <v>77</v>
      </c>
      <c r="K1002" s="55">
        <v>0.01</v>
      </c>
      <c r="L1002" s="55">
        <v>0.01</v>
      </c>
      <c r="M1002" s="55">
        <v>0.1</v>
      </c>
      <c r="N1002" s="55">
        <v>2</v>
      </c>
      <c r="O1002" s="55">
        <v>0</v>
      </c>
      <c r="P1002" s="47" t="s">
        <v>51</v>
      </c>
    </row>
    <row r="1003" spans="1:16" ht="18" customHeight="1">
      <c r="A1003" s="47" t="s">
        <v>135</v>
      </c>
      <c r="B1003" s="48" t="s">
        <v>1349</v>
      </c>
      <c r="C1003" s="54" t="s">
        <v>1350</v>
      </c>
      <c r="D1003" s="55">
        <v>24</v>
      </c>
      <c r="E1003" s="55">
        <v>1.3</v>
      </c>
      <c r="F1003" s="69">
        <v>4</v>
      </c>
      <c r="G1003" s="55">
        <v>24.4</v>
      </c>
      <c r="H1003" s="55">
        <v>88</v>
      </c>
      <c r="I1003" s="55">
        <v>1.4</v>
      </c>
      <c r="J1003" s="55">
        <v>126</v>
      </c>
      <c r="K1003" s="55">
        <v>0.01</v>
      </c>
      <c r="L1003" s="55">
        <v>0.05</v>
      </c>
      <c r="M1003" s="55">
        <v>0.3</v>
      </c>
      <c r="N1003" s="55">
        <v>28</v>
      </c>
      <c r="O1003" s="55">
        <v>0</v>
      </c>
      <c r="P1003" s="47" t="s">
        <v>51</v>
      </c>
    </row>
    <row r="1004" spans="1:16" ht="18" customHeight="1">
      <c r="A1004" s="47" t="s">
        <v>135</v>
      </c>
      <c r="B1004" s="48" t="s">
        <v>1351</v>
      </c>
      <c r="C1004" s="54" t="s">
        <v>1352</v>
      </c>
      <c r="D1004" s="55">
        <v>19</v>
      </c>
      <c r="E1004" s="55">
        <v>3.1</v>
      </c>
      <c r="F1004" s="69">
        <v>3</v>
      </c>
      <c r="G1004" s="55">
        <v>19.3</v>
      </c>
      <c r="H1004" s="55">
        <v>85</v>
      </c>
      <c r="I1004" s="55">
        <v>7.8</v>
      </c>
      <c r="J1004" s="55">
        <v>374</v>
      </c>
      <c r="K1004" s="55">
        <v>0.09</v>
      </c>
      <c r="L1004" s="55">
        <v>0.17</v>
      </c>
      <c r="M1004" s="55">
        <v>0.4</v>
      </c>
      <c r="N1004" s="55">
        <v>13</v>
      </c>
      <c r="O1004" s="55">
        <v>0</v>
      </c>
      <c r="P1004" s="47" t="s">
        <v>51</v>
      </c>
    </row>
    <row r="1005" spans="1:16" ht="18" customHeight="1">
      <c r="A1005" s="47"/>
      <c r="B1005" s="48" t="s">
        <v>1353</v>
      </c>
      <c r="C1005" s="54" t="s">
        <v>1354</v>
      </c>
      <c r="D1005" s="55">
        <v>213</v>
      </c>
      <c r="E1005" s="55">
        <v>23.8</v>
      </c>
      <c r="F1005" s="55">
        <v>42.1</v>
      </c>
      <c r="G1005" s="55">
        <v>0.7</v>
      </c>
      <c r="H1005" s="55">
        <v>652</v>
      </c>
      <c r="I1005" s="55">
        <v>17.2</v>
      </c>
      <c r="J1005" s="55">
        <v>0</v>
      </c>
      <c r="K1005" s="55">
        <v>0.4</v>
      </c>
      <c r="L1005" s="55">
        <v>0.52</v>
      </c>
      <c r="M1005" s="55">
        <v>10</v>
      </c>
      <c r="N1005" s="55">
        <v>10</v>
      </c>
      <c r="O1005" s="55">
        <v>0</v>
      </c>
    </row>
    <row r="1006" spans="1:16" ht="18" customHeight="1">
      <c r="A1006" s="47" t="s">
        <v>135</v>
      </c>
      <c r="B1006" s="48" t="s">
        <v>1355</v>
      </c>
      <c r="C1006" s="54" t="s">
        <v>1354</v>
      </c>
      <c r="D1006" s="55">
        <v>213</v>
      </c>
      <c r="E1006" s="55">
        <v>23.8</v>
      </c>
      <c r="F1006" s="55">
        <v>42.1</v>
      </c>
      <c r="G1006" s="55">
        <v>0.6</v>
      </c>
      <c r="H1006" s="55">
        <v>652</v>
      </c>
      <c r="I1006" s="55">
        <v>17.2</v>
      </c>
      <c r="J1006" s="55">
        <v>0</v>
      </c>
      <c r="K1006" s="55">
        <v>0.4</v>
      </c>
      <c r="L1006" s="55">
        <v>0.52</v>
      </c>
      <c r="M1006" s="55">
        <v>10</v>
      </c>
      <c r="N1006" s="55">
        <v>10</v>
      </c>
      <c r="O1006" s="55">
        <v>0</v>
      </c>
      <c r="P1006" s="47" t="s">
        <v>51</v>
      </c>
    </row>
    <row r="1007" spans="1:16" ht="18" customHeight="1">
      <c r="A1007" s="47"/>
      <c r="B1007" s="48" t="s">
        <v>1356</v>
      </c>
      <c r="C1007" s="54" t="s">
        <v>1357</v>
      </c>
      <c r="D1007" s="55">
        <v>354</v>
      </c>
      <c r="E1007" s="55">
        <v>29.5</v>
      </c>
      <c r="F1007" s="55">
        <v>30.5</v>
      </c>
      <c r="G1007" s="55">
        <v>2.1</v>
      </c>
      <c r="H1007" s="55">
        <v>127</v>
      </c>
      <c r="I1007" s="55">
        <v>7.6</v>
      </c>
      <c r="J1007" s="55">
        <v>0</v>
      </c>
      <c r="K1007" s="55">
        <v>0.56000000000000005</v>
      </c>
      <c r="L1007" s="55">
        <v>0.16</v>
      </c>
      <c r="M1007" s="55">
        <v>0</v>
      </c>
      <c r="N1007" s="55">
        <v>0</v>
      </c>
      <c r="O1007" s="55">
        <v>0</v>
      </c>
    </row>
    <row r="1008" spans="1:16" ht="18" customHeight="1">
      <c r="A1008" s="47"/>
      <c r="B1008" s="48" t="s">
        <v>2210</v>
      </c>
      <c r="C1008" s="54"/>
      <c r="D1008" s="55">
        <v>188</v>
      </c>
      <c r="E1008" s="55">
        <v>4.0999999999999996</v>
      </c>
      <c r="F1008" s="55">
        <v>51.2</v>
      </c>
      <c r="G1008" s="55">
        <v>4.9000000000000004</v>
      </c>
      <c r="H1008" s="55">
        <v>4</v>
      </c>
      <c r="I1008" s="55">
        <v>0.5</v>
      </c>
      <c r="J1008" s="55">
        <v>0</v>
      </c>
      <c r="K1008" s="55">
        <v>0.02</v>
      </c>
      <c r="L1008" s="55">
        <v>0.01</v>
      </c>
      <c r="M1008" s="55">
        <v>1.8</v>
      </c>
      <c r="N1008" s="55">
        <v>0</v>
      </c>
      <c r="O1008" s="55">
        <v>0</v>
      </c>
    </row>
    <row r="1009" spans="1:16" ht="18" customHeight="1">
      <c r="A1009" s="47"/>
      <c r="B1009" s="48" t="s">
        <v>1358</v>
      </c>
      <c r="C1009" s="54" t="s">
        <v>1359</v>
      </c>
      <c r="D1009" s="55">
        <v>188</v>
      </c>
      <c r="E1009" s="55">
        <v>4.0999999999999996</v>
      </c>
      <c r="F1009" s="55">
        <v>51.2</v>
      </c>
      <c r="G1009" s="55">
        <v>4.9000000000000004</v>
      </c>
      <c r="H1009" s="55">
        <v>4</v>
      </c>
      <c r="I1009" s="55">
        <v>0.5</v>
      </c>
      <c r="J1009" s="55">
        <v>0</v>
      </c>
      <c r="K1009" s="55">
        <v>0.02</v>
      </c>
      <c r="L1009" s="55">
        <v>0.01</v>
      </c>
      <c r="M1009" s="55">
        <v>1.8</v>
      </c>
      <c r="N1009" s="55">
        <v>0</v>
      </c>
      <c r="O1009" s="55">
        <v>0</v>
      </c>
    </row>
    <row r="1010" spans="1:16" ht="18" customHeight="1">
      <c r="A1010" s="47"/>
      <c r="B1010" s="48" t="s">
        <v>1360</v>
      </c>
      <c r="C1010" s="54" t="s">
        <v>1359</v>
      </c>
      <c r="D1010" s="55">
        <v>188</v>
      </c>
      <c r="E1010" s="55">
        <v>4.0999999999999996</v>
      </c>
      <c r="F1010" s="55">
        <v>14.7</v>
      </c>
      <c r="G1010" s="55">
        <v>2.2000000000000002</v>
      </c>
      <c r="H1010" s="55">
        <v>4</v>
      </c>
      <c r="I1010" s="55">
        <v>0.5</v>
      </c>
      <c r="J1010" s="55">
        <v>0</v>
      </c>
      <c r="K1010" s="55">
        <v>0.02</v>
      </c>
      <c r="L1010" s="55">
        <v>0.01</v>
      </c>
      <c r="M1010" s="55">
        <v>1.8</v>
      </c>
      <c r="N1010" s="55">
        <v>0</v>
      </c>
      <c r="O1010" s="55">
        <v>0</v>
      </c>
    </row>
    <row r="1011" spans="1:16" ht="18" customHeight="1">
      <c r="A1011" s="47"/>
      <c r="B1011" s="48" t="s">
        <v>1361</v>
      </c>
      <c r="C1011" s="54" t="s">
        <v>1359</v>
      </c>
      <c r="D1011" s="55">
        <v>188</v>
      </c>
      <c r="E1011" s="55">
        <v>4.0999999999999996</v>
      </c>
      <c r="F1011" s="55">
        <v>51.2</v>
      </c>
      <c r="G1011" s="55">
        <v>1.5</v>
      </c>
      <c r="H1011" s="55">
        <v>4</v>
      </c>
      <c r="I1011" s="55">
        <v>0.5</v>
      </c>
      <c r="J1011" s="55">
        <v>0</v>
      </c>
      <c r="K1011" s="55">
        <v>0.02</v>
      </c>
      <c r="L1011" s="55">
        <v>0.01</v>
      </c>
      <c r="M1011" s="55">
        <v>1.8</v>
      </c>
      <c r="N1011" s="55">
        <v>0</v>
      </c>
      <c r="O1011" s="55">
        <v>0</v>
      </c>
    </row>
    <row r="1012" spans="1:16" ht="18" customHeight="1">
      <c r="A1012" s="47"/>
      <c r="B1012" s="48" t="s">
        <v>1362</v>
      </c>
      <c r="C1012" s="54" t="s">
        <v>1363</v>
      </c>
      <c r="D1012" s="55">
        <v>155.19999999999999</v>
      </c>
      <c r="E1012" s="55">
        <v>4.57</v>
      </c>
      <c r="F1012" s="55">
        <v>16.399999999999999</v>
      </c>
      <c r="G1012" s="55">
        <v>4.0999999999999996</v>
      </c>
      <c r="H1012" s="55">
        <v>41.1</v>
      </c>
      <c r="I1012" s="55">
        <v>2.1</v>
      </c>
      <c r="J1012" s="55">
        <v>50</v>
      </c>
      <c r="K1012" s="55">
        <v>0.1</v>
      </c>
      <c r="L1012" s="55">
        <v>7.0000000000000007E-2</v>
      </c>
      <c r="M1012" s="55">
        <v>0.02</v>
      </c>
      <c r="N1012" s="55">
        <v>5.6</v>
      </c>
      <c r="O1012" s="55">
        <v>0</v>
      </c>
    </row>
    <row r="1013" spans="1:16" ht="18" customHeight="1">
      <c r="A1013" s="47"/>
      <c r="B1013" s="48" t="s">
        <v>1993</v>
      </c>
      <c r="C1013" s="54" t="s">
        <v>919</v>
      </c>
      <c r="D1013" s="55">
        <v>165</v>
      </c>
      <c r="E1013" s="55">
        <v>5.5</v>
      </c>
      <c r="F1013" s="55">
        <v>19.7</v>
      </c>
      <c r="G1013" s="55">
        <v>4.78</v>
      </c>
      <c r="H1013" s="55">
        <v>70</v>
      </c>
      <c r="I1013" s="55">
        <v>0.4</v>
      </c>
      <c r="J1013" s="55">
        <v>15</v>
      </c>
      <c r="K1013" s="55">
        <v>0.06</v>
      </c>
      <c r="L1013" s="55">
        <v>0.18</v>
      </c>
      <c r="M1013" s="55">
        <v>0.5</v>
      </c>
      <c r="N1013" s="55">
        <v>0</v>
      </c>
      <c r="O1013" s="55">
        <v>0</v>
      </c>
    </row>
    <row r="1014" spans="1:16" ht="18" customHeight="1">
      <c r="A1014" s="47"/>
      <c r="B1014" s="48" t="s">
        <v>1364</v>
      </c>
      <c r="C1014" s="54" t="s">
        <v>919</v>
      </c>
      <c r="D1014" s="55">
        <v>165</v>
      </c>
      <c r="E1014" s="55">
        <v>5.5</v>
      </c>
      <c r="F1014" s="55">
        <v>19.7</v>
      </c>
      <c r="G1014" s="55">
        <v>4.78</v>
      </c>
      <c r="H1014" s="55">
        <v>70</v>
      </c>
      <c r="I1014" s="55">
        <v>0.4</v>
      </c>
      <c r="J1014" s="55">
        <v>15</v>
      </c>
      <c r="K1014" s="55">
        <v>0.06</v>
      </c>
      <c r="L1014" s="55">
        <v>0.18</v>
      </c>
      <c r="M1014" s="55">
        <v>0.5</v>
      </c>
      <c r="N1014" s="55">
        <v>0</v>
      </c>
      <c r="O1014" s="55">
        <v>0</v>
      </c>
    </row>
    <row r="1015" spans="1:16" ht="18" customHeight="1">
      <c r="A1015" s="47" t="s">
        <v>853</v>
      </c>
      <c r="B1015" s="48" t="s">
        <v>1791</v>
      </c>
      <c r="C1015" s="54" t="s">
        <v>857</v>
      </c>
      <c r="D1015" s="55">
        <v>165</v>
      </c>
      <c r="E1015" s="55">
        <v>5.5</v>
      </c>
      <c r="F1015" s="55">
        <v>24.5</v>
      </c>
      <c r="G1015" s="55">
        <v>4</v>
      </c>
      <c r="H1015" s="55">
        <v>70</v>
      </c>
      <c r="I1015" s="55">
        <v>0.4</v>
      </c>
      <c r="J1015" s="55">
        <v>15</v>
      </c>
      <c r="K1015" s="55">
        <v>0.06</v>
      </c>
      <c r="L1015" s="55">
        <v>0.18</v>
      </c>
      <c r="M1015" s="55">
        <v>0.5</v>
      </c>
      <c r="N1015" s="55">
        <v>0</v>
      </c>
      <c r="O1015" s="55">
        <v>0</v>
      </c>
      <c r="P1015" s="47" t="s">
        <v>51</v>
      </c>
    </row>
    <row r="1016" spans="1:16" ht="18" customHeight="1">
      <c r="A1016" s="47" t="s">
        <v>853</v>
      </c>
      <c r="B1016" s="48" t="s">
        <v>1365</v>
      </c>
      <c r="C1016" s="54" t="s">
        <v>857</v>
      </c>
      <c r="D1016" s="55">
        <v>165</v>
      </c>
      <c r="E1016" s="55">
        <v>5.5</v>
      </c>
      <c r="F1016" s="55">
        <v>3.27</v>
      </c>
      <c r="G1016" s="55">
        <v>16.399999999999999</v>
      </c>
      <c r="H1016" s="55">
        <v>70</v>
      </c>
      <c r="I1016" s="55">
        <v>0.4</v>
      </c>
      <c r="J1016" s="55">
        <v>15</v>
      </c>
      <c r="K1016" s="55">
        <v>0.06</v>
      </c>
      <c r="L1016" s="55">
        <v>0.18</v>
      </c>
      <c r="M1016" s="55">
        <v>0.5</v>
      </c>
      <c r="N1016" s="55">
        <v>0</v>
      </c>
      <c r="O1016" s="55">
        <v>0</v>
      </c>
      <c r="P1016" s="47" t="s">
        <v>51</v>
      </c>
    </row>
    <row r="1017" spans="1:16" ht="18" customHeight="1">
      <c r="A1017" s="47"/>
      <c r="B1017" s="48" t="s">
        <v>2097</v>
      </c>
      <c r="C1017" s="54"/>
      <c r="D1017" s="55">
        <v>625</v>
      </c>
      <c r="E1017" s="55">
        <v>5</v>
      </c>
      <c r="F1017" s="55">
        <v>45</v>
      </c>
      <c r="G1017" s="55">
        <v>45</v>
      </c>
      <c r="H1017" s="55"/>
      <c r="I1017" s="55"/>
      <c r="J1017" s="55"/>
      <c r="K1017" s="55"/>
      <c r="L1017" s="55"/>
      <c r="M1017" s="55"/>
      <c r="N1017" s="55"/>
      <c r="O1017" s="55"/>
    </row>
    <row r="1018" spans="1:16" ht="18" customHeight="1">
      <c r="A1018" s="47"/>
      <c r="B1018" s="48" t="s">
        <v>2098</v>
      </c>
      <c r="C1018" s="54"/>
      <c r="D1018" s="55">
        <v>400</v>
      </c>
      <c r="E1018" s="55">
        <v>9</v>
      </c>
      <c r="F1018" s="55">
        <v>50</v>
      </c>
      <c r="G1018" s="55">
        <v>18</v>
      </c>
      <c r="H1018" s="55"/>
      <c r="I1018" s="55"/>
      <c r="J1018" s="55"/>
      <c r="K1018" s="55"/>
      <c r="L1018" s="55"/>
      <c r="M1018" s="55"/>
      <c r="N1018" s="55"/>
      <c r="O1018" s="55"/>
    </row>
    <row r="1019" spans="1:16" ht="18" customHeight="1">
      <c r="A1019" s="47"/>
      <c r="B1019" s="48" t="s">
        <v>1366</v>
      </c>
      <c r="C1019" s="54"/>
      <c r="D1019" s="55">
        <v>195</v>
      </c>
      <c r="E1019" s="55">
        <v>19.600000000000001</v>
      </c>
      <c r="F1019" s="55">
        <v>0.06</v>
      </c>
      <c r="G1019" s="55">
        <v>7.38</v>
      </c>
      <c r="H1019" s="55">
        <v>84</v>
      </c>
      <c r="I1019" s="55">
        <v>1.9</v>
      </c>
      <c r="J1019" s="55">
        <v>504</v>
      </c>
      <c r="K1019" s="55">
        <v>0.01</v>
      </c>
      <c r="L1019" s="55">
        <v>0.11</v>
      </c>
      <c r="M1019" s="55">
        <v>2.9</v>
      </c>
      <c r="N1019" s="55"/>
      <c r="O1019" s="55"/>
    </row>
    <row r="1020" spans="1:16" ht="18" customHeight="1">
      <c r="A1020" s="47"/>
      <c r="B1020" s="48" t="s">
        <v>2099</v>
      </c>
      <c r="C1020" s="54"/>
      <c r="D1020" s="55">
        <v>35</v>
      </c>
      <c r="E1020" s="55"/>
      <c r="F1020" s="55">
        <v>9</v>
      </c>
      <c r="G1020" s="55"/>
      <c r="H1020" s="55"/>
      <c r="I1020" s="55"/>
      <c r="J1020" s="55"/>
      <c r="K1020" s="55"/>
      <c r="L1020" s="55"/>
      <c r="M1020" s="55"/>
      <c r="N1020" s="55"/>
      <c r="O1020" s="55"/>
    </row>
    <row r="1021" spans="1:16" ht="18" customHeight="1">
      <c r="A1021" s="47"/>
      <c r="B1021" s="48"/>
      <c r="C1021" s="54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</row>
    <row r="1022" spans="1:16" ht="18" customHeight="1">
      <c r="A1022" s="47"/>
      <c r="B1022" s="48" t="s">
        <v>1367</v>
      </c>
      <c r="C1022" s="54"/>
      <c r="D1022" s="55">
        <v>298</v>
      </c>
      <c r="E1022" s="55">
        <v>45.7</v>
      </c>
      <c r="F1022" s="55">
        <v>2.6</v>
      </c>
      <c r="G1022" s="55">
        <v>1.2</v>
      </c>
      <c r="H1022" s="55">
        <v>2010</v>
      </c>
      <c r="I1022" s="55">
        <v>1.1000000000000001</v>
      </c>
      <c r="J1022" s="55">
        <v>79</v>
      </c>
      <c r="K1022" s="55">
        <v>0.04</v>
      </c>
      <c r="L1022" s="55">
        <v>0.05</v>
      </c>
      <c r="M1022" s="55">
        <v>3.1</v>
      </c>
      <c r="N1022" s="55">
        <v>1</v>
      </c>
      <c r="O1022" s="55">
        <v>0</v>
      </c>
    </row>
    <row r="1023" spans="1:16" ht="18" customHeight="1">
      <c r="A1023" s="47"/>
      <c r="B1023" s="48" t="s">
        <v>1368</v>
      </c>
      <c r="C1023" s="54"/>
      <c r="D1023" s="55">
        <v>116</v>
      </c>
      <c r="E1023" s="55">
        <v>6.7</v>
      </c>
      <c r="F1023" s="55">
        <v>15.2</v>
      </c>
      <c r="G1023" s="55">
        <v>0.8</v>
      </c>
      <c r="H1023" s="55">
        <v>188.57</v>
      </c>
      <c r="I1023" s="55">
        <v>0.76</v>
      </c>
      <c r="J1023" s="55"/>
      <c r="K1023" s="55">
        <v>7.0000000000000001E-3</v>
      </c>
      <c r="L1023" s="55"/>
      <c r="M1023" s="55">
        <v>5.2</v>
      </c>
      <c r="N1023" s="55">
        <v>1.53</v>
      </c>
      <c r="O1023" s="55">
        <v>0</v>
      </c>
    </row>
    <row r="1024" spans="1:16" ht="18" customHeight="1">
      <c r="A1024" s="47"/>
      <c r="B1024" s="48" t="s">
        <v>1369</v>
      </c>
      <c r="C1024" s="54"/>
      <c r="D1024" s="55">
        <v>116</v>
      </c>
      <c r="E1024" s="55">
        <v>6.7</v>
      </c>
      <c r="F1024" s="55">
        <v>15.2</v>
      </c>
      <c r="G1024" s="55">
        <v>0.6</v>
      </c>
      <c r="H1024" s="55">
        <v>206</v>
      </c>
      <c r="I1024" s="55">
        <v>0.76</v>
      </c>
      <c r="J1024" s="55"/>
      <c r="K1024" s="55">
        <v>7.0000000000000001E-3</v>
      </c>
      <c r="L1024" s="55"/>
      <c r="M1024" s="55">
        <v>5.2</v>
      </c>
      <c r="N1024" s="55">
        <v>1.53</v>
      </c>
      <c r="O1024" s="55">
        <v>0</v>
      </c>
    </row>
    <row r="1025" spans="1:16" ht="18" customHeight="1">
      <c r="A1025" s="47"/>
      <c r="B1025" s="48" t="s">
        <v>1370</v>
      </c>
      <c r="C1025" s="54"/>
      <c r="D1025" s="55">
        <v>365</v>
      </c>
      <c r="E1025" s="55">
        <v>6.3</v>
      </c>
      <c r="F1025" s="69">
        <v>33.6</v>
      </c>
      <c r="G1025" s="55">
        <v>22.5</v>
      </c>
      <c r="H1025" s="55">
        <v>60</v>
      </c>
      <c r="I1025" s="55">
        <v>2.1</v>
      </c>
      <c r="J1025" s="55">
        <v>3</v>
      </c>
      <c r="K1025" s="55">
        <v>0.22</v>
      </c>
      <c r="L1025" s="55"/>
      <c r="M1025" s="55"/>
      <c r="N1025" s="55"/>
      <c r="O1025" s="55"/>
      <c r="P1025" s="52"/>
    </row>
    <row r="1026" spans="1:16" ht="18" customHeight="1">
      <c r="A1026" s="47"/>
      <c r="B1026" s="48" t="s">
        <v>1371</v>
      </c>
      <c r="C1026" s="54"/>
      <c r="D1026" s="55">
        <v>107</v>
      </c>
      <c r="E1026" s="55">
        <v>7.7</v>
      </c>
      <c r="F1026" s="69">
        <v>18.3</v>
      </c>
      <c r="G1026" s="55">
        <v>0</v>
      </c>
      <c r="H1026" s="55">
        <v>25</v>
      </c>
      <c r="I1026" s="55">
        <v>1.2</v>
      </c>
      <c r="J1026" s="55">
        <v>0</v>
      </c>
      <c r="K1026" s="55">
        <v>0</v>
      </c>
      <c r="L1026" s="55">
        <v>7.0000000000000007E-2</v>
      </c>
      <c r="M1026" s="55">
        <v>0.8</v>
      </c>
      <c r="N1026" s="56">
        <v>0</v>
      </c>
      <c r="O1026" s="55">
        <v>0</v>
      </c>
      <c r="P1026" s="52"/>
    </row>
    <row r="1027" spans="1:16" ht="18" customHeight="1">
      <c r="A1027" s="47"/>
      <c r="B1027" s="48" t="s">
        <v>1372</v>
      </c>
      <c r="C1027" s="54"/>
      <c r="D1027" s="55">
        <v>242.8</v>
      </c>
      <c r="E1027" s="55">
        <v>2</v>
      </c>
      <c r="F1027" s="69">
        <v>72</v>
      </c>
      <c r="G1027" s="55">
        <v>7.2</v>
      </c>
      <c r="H1027" s="55">
        <v>16.72</v>
      </c>
      <c r="I1027" s="55">
        <v>2.2000000000000002</v>
      </c>
      <c r="J1027" s="55">
        <v>302</v>
      </c>
      <c r="K1027" s="55">
        <v>0.05</v>
      </c>
      <c r="L1027" s="55">
        <v>0.14000000000000001</v>
      </c>
      <c r="M1027" s="55">
        <v>1</v>
      </c>
      <c r="N1027" s="55">
        <v>1.42</v>
      </c>
      <c r="O1027" s="55">
        <v>0</v>
      </c>
      <c r="P1027" s="52"/>
    </row>
    <row r="1028" spans="1:16" ht="18" customHeight="1">
      <c r="A1028" s="47"/>
      <c r="B1028" s="48" t="s">
        <v>1373</v>
      </c>
      <c r="C1028" s="54"/>
      <c r="D1028" s="55">
        <v>130</v>
      </c>
      <c r="E1028" s="55">
        <v>12.5</v>
      </c>
      <c r="F1028" s="55">
        <v>2.8</v>
      </c>
      <c r="G1028" s="55">
        <v>9.0299999999999994</v>
      </c>
      <c r="H1028" s="55">
        <v>49</v>
      </c>
      <c r="I1028" s="55">
        <v>1.9</v>
      </c>
      <c r="J1028" s="55">
        <v>50</v>
      </c>
      <c r="K1028" s="55">
        <v>0.15</v>
      </c>
      <c r="L1028" s="55">
        <v>0.12</v>
      </c>
      <c r="M1028" s="55">
        <v>1</v>
      </c>
      <c r="N1028" s="55">
        <v>0</v>
      </c>
      <c r="O1028" s="55">
        <v>0</v>
      </c>
      <c r="P1028" s="52"/>
    </row>
    <row r="1029" spans="1:16" ht="18" customHeight="1">
      <c r="A1029" s="47"/>
      <c r="B1029" s="48" t="s">
        <v>1911</v>
      </c>
      <c r="C1029" s="54"/>
      <c r="D1029" s="55">
        <v>130</v>
      </c>
      <c r="E1029" s="55">
        <v>12.5</v>
      </c>
      <c r="F1029" s="55">
        <v>2.8</v>
      </c>
      <c r="G1029" s="55">
        <v>9.0299999999999994</v>
      </c>
      <c r="H1029" s="55">
        <v>49</v>
      </c>
      <c r="I1029" s="55">
        <v>1.9</v>
      </c>
      <c r="J1029" s="55">
        <v>50</v>
      </c>
      <c r="K1029" s="55">
        <v>0.15</v>
      </c>
      <c r="L1029" s="55">
        <v>0.12</v>
      </c>
      <c r="M1029" s="55">
        <v>1</v>
      </c>
      <c r="N1029" s="55">
        <v>0</v>
      </c>
      <c r="O1029" s="55">
        <v>0</v>
      </c>
      <c r="P1029" s="52"/>
    </row>
    <row r="1030" spans="1:16" ht="18" customHeight="1">
      <c r="A1030" s="47"/>
      <c r="B1030" s="48" t="s">
        <v>1374</v>
      </c>
      <c r="C1030" s="54"/>
      <c r="D1030" s="55">
        <v>48</v>
      </c>
      <c r="E1030" s="55">
        <v>3.5</v>
      </c>
      <c r="F1030" s="55">
        <v>10.4</v>
      </c>
      <c r="G1030" s="55">
        <v>1.7</v>
      </c>
      <c r="H1030" s="55">
        <v>20</v>
      </c>
      <c r="I1030" s="55">
        <v>0.8</v>
      </c>
      <c r="J1030" s="55">
        <v>266</v>
      </c>
      <c r="K1030" s="55">
        <v>0</v>
      </c>
      <c r="L1030" s="55">
        <v>0</v>
      </c>
      <c r="M1030" s="55">
        <v>0</v>
      </c>
      <c r="N1030" s="55">
        <v>0</v>
      </c>
      <c r="O1030" s="55">
        <v>0</v>
      </c>
      <c r="P1030" s="52"/>
    </row>
    <row r="1031" spans="1:16" ht="18" customHeight="1">
      <c r="A1031" s="47"/>
      <c r="B1031" s="48" t="s">
        <v>1652</v>
      </c>
      <c r="C1031" s="54"/>
      <c r="D1031" s="55">
        <v>48</v>
      </c>
      <c r="E1031" s="55">
        <v>3.5</v>
      </c>
      <c r="F1031" s="55">
        <v>4.4000000000000004</v>
      </c>
      <c r="G1031" s="55">
        <v>0.4</v>
      </c>
      <c r="H1031" s="55">
        <v>20</v>
      </c>
      <c r="I1031" s="55">
        <v>0.8</v>
      </c>
      <c r="J1031" s="55">
        <v>266</v>
      </c>
      <c r="K1031" s="55"/>
      <c r="L1031" s="55"/>
      <c r="M1031" s="55"/>
      <c r="N1031" s="55"/>
      <c r="O1031" s="55"/>
      <c r="P1031" s="52"/>
    </row>
    <row r="1032" spans="1:16" ht="18" customHeight="1">
      <c r="A1032" s="47"/>
      <c r="B1032" s="48" t="s">
        <v>1375</v>
      </c>
      <c r="C1032" s="54"/>
      <c r="D1032" s="55">
        <v>234.3</v>
      </c>
      <c r="E1032" s="55">
        <v>18.18</v>
      </c>
      <c r="F1032" s="55">
        <v>0.3</v>
      </c>
      <c r="G1032" s="55">
        <v>6.9</v>
      </c>
      <c r="H1032" s="55">
        <v>10.16</v>
      </c>
      <c r="I1032" s="55">
        <v>0.94</v>
      </c>
      <c r="J1032" s="55">
        <v>15.84</v>
      </c>
      <c r="K1032" s="55">
        <v>7.0000000000000007E-2</v>
      </c>
      <c r="L1032" s="55">
        <v>0.17</v>
      </c>
      <c r="M1032" s="55">
        <v>5.58</v>
      </c>
      <c r="N1032" s="55">
        <v>2.64</v>
      </c>
      <c r="O1032" s="55">
        <v>0</v>
      </c>
      <c r="P1032" s="52"/>
    </row>
    <row r="1033" spans="1:16" ht="18" customHeight="1">
      <c r="A1033" s="47"/>
      <c r="B1033" s="48" t="s">
        <v>2216</v>
      </c>
      <c r="C1033" s="54"/>
      <c r="D1033" s="55">
        <v>98</v>
      </c>
      <c r="E1033" s="55">
        <v>8.6</v>
      </c>
      <c r="F1033" s="55">
        <v>12.9</v>
      </c>
      <c r="G1033" s="55">
        <v>1.3</v>
      </c>
      <c r="H1033" s="55"/>
      <c r="I1033" s="55"/>
      <c r="J1033" s="55"/>
      <c r="K1033" s="55"/>
      <c r="L1033" s="55"/>
      <c r="M1033" s="55"/>
      <c r="N1033" s="55"/>
      <c r="O1033" s="55"/>
      <c r="P1033" s="52"/>
    </row>
    <row r="1034" spans="1:16" ht="18" customHeight="1">
      <c r="A1034" s="47"/>
      <c r="B1034" s="48" t="s">
        <v>1376</v>
      </c>
      <c r="C1034" s="54"/>
      <c r="D1034" s="55">
        <v>110</v>
      </c>
      <c r="E1034" s="55">
        <v>7.5</v>
      </c>
      <c r="F1034" s="55">
        <v>7.0000000000000007E-2</v>
      </c>
      <c r="G1034" s="55">
        <v>7.18</v>
      </c>
      <c r="H1034" s="55">
        <v>11</v>
      </c>
      <c r="I1034" s="55">
        <v>1</v>
      </c>
      <c r="J1034" s="55">
        <v>14</v>
      </c>
      <c r="K1034" s="55">
        <v>0.05</v>
      </c>
      <c r="L1034" s="55">
        <v>0.06</v>
      </c>
      <c r="M1034" s="55">
        <v>0.3</v>
      </c>
      <c r="N1034" s="56">
        <v>0.2</v>
      </c>
      <c r="O1034" s="56">
        <v>0</v>
      </c>
      <c r="P1034" s="52"/>
    </row>
    <row r="1035" spans="1:16" ht="18" customHeight="1">
      <c r="A1035" s="47"/>
      <c r="B1035" s="48" t="s">
        <v>1377</v>
      </c>
      <c r="C1035" s="54"/>
      <c r="D1035" s="55">
        <v>110</v>
      </c>
      <c r="E1035" s="55">
        <v>7.5</v>
      </c>
      <c r="F1035" s="55">
        <v>0</v>
      </c>
      <c r="G1035" s="55">
        <v>2.1</v>
      </c>
      <c r="H1035" s="55">
        <v>11</v>
      </c>
      <c r="I1035" s="55">
        <v>1</v>
      </c>
      <c r="J1035" s="55">
        <v>14</v>
      </c>
      <c r="K1035" s="55">
        <v>0.05</v>
      </c>
      <c r="L1035" s="55">
        <v>0.06</v>
      </c>
      <c r="M1035" s="55">
        <v>0.3</v>
      </c>
      <c r="N1035" s="56">
        <v>0.2</v>
      </c>
      <c r="O1035" s="56">
        <v>0</v>
      </c>
      <c r="P1035" s="52"/>
    </row>
    <row r="1036" spans="1:16" ht="18" customHeight="1">
      <c r="A1036" s="47"/>
      <c r="B1036" s="48" t="s">
        <v>1378</v>
      </c>
      <c r="C1036" s="54"/>
      <c r="D1036" s="55">
        <v>103</v>
      </c>
      <c r="E1036" s="55">
        <v>5.5</v>
      </c>
      <c r="F1036" s="55">
        <v>7.0000000000000007E-2</v>
      </c>
      <c r="G1036" s="55">
        <v>0.78</v>
      </c>
      <c r="H1036" s="55">
        <v>11</v>
      </c>
      <c r="I1036" s="55">
        <v>1</v>
      </c>
      <c r="J1036" s="55">
        <v>14</v>
      </c>
      <c r="K1036" s="55">
        <v>0.05</v>
      </c>
      <c r="L1036" s="55">
        <v>0.06</v>
      </c>
      <c r="M1036" s="55">
        <v>0.3</v>
      </c>
      <c r="N1036" s="56">
        <v>0.2</v>
      </c>
      <c r="O1036" s="56">
        <v>0</v>
      </c>
      <c r="P1036" s="52"/>
    </row>
    <row r="1037" spans="1:16" ht="18" customHeight="1">
      <c r="A1037" s="47"/>
      <c r="B1037" s="48" t="s">
        <v>1379</v>
      </c>
      <c r="C1037" s="54"/>
      <c r="D1037" s="55">
        <v>77</v>
      </c>
      <c r="E1037" s="55">
        <v>5.5</v>
      </c>
      <c r="F1037" s="55">
        <v>0.08</v>
      </c>
      <c r="G1037" s="55">
        <v>7.18</v>
      </c>
      <c r="H1037" s="55">
        <v>11</v>
      </c>
      <c r="I1037" s="55">
        <v>1</v>
      </c>
      <c r="J1037" s="55">
        <v>14</v>
      </c>
      <c r="K1037" s="55">
        <v>0.05</v>
      </c>
      <c r="L1037" s="55">
        <v>0.06</v>
      </c>
      <c r="M1037" s="55">
        <v>0.3</v>
      </c>
      <c r="N1037" s="56">
        <v>0.2</v>
      </c>
      <c r="O1037" s="56">
        <v>0</v>
      </c>
      <c r="P1037" s="52"/>
    </row>
    <row r="1038" spans="1:16" ht="18" customHeight="1">
      <c r="A1038" s="47"/>
      <c r="B1038" s="48" t="s">
        <v>1380</v>
      </c>
      <c r="C1038" s="54"/>
      <c r="D1038" s="55">
        <v>168</v>
      </c>
      <c r="E1038" s="55">
        <v>18</v>
      </c>
      <c r="F1038" s="55">
        <v>7.0000000000000007E-2</v>
      </c>
      <c r="G1038" s="55">
        <v>3.43</v>
      </c>
      <c r="H1038" s="55">
        <v>14</v>
      </c>
      <c r="I1038" s="55">
        <v>1</v>
      </c>
      <c r="J1038" s="55">
        <v>55</v>
      </c>
      <c r="K1038" s="55">
        <v>0.2</v>
      </c>
      <c r="L1038" s="55">
        <v>0.2</v>
      </c>
      <c r="M1038" s="55">
        <v>7</v>
      </c>
      <c r="N1038" s="55">
        <v>2</v>
      </c>
      <c r="O1038" s="55">
        <v>0</v>
      </c>
      <c r="P1038" s="52"/>
    </row>
    <row r="1039" spans="1:16" ht="18" customHeight="1">
      <c r="A1039" s="47"/>
      <c r="B1039" s="48" t="s">
        <v>1704</v>
      </c>
      <c r="C1039" s="54"/>
      <c r="D1039" s="55">
        <v>371</v>
      </c>
      <c r="E1039" s="55">
        <v>10</v>
      </c>
      <c r="F1039" s="55">
        <v>0</v>
      </c>
      <c r="G1039" s="55">
        <v>6.9</v>
      </c>
      <c r="H1039" s="55">
        <v>47.5</v>
      </c>
      <c r="I1039" s="55">
        <v>4.2</v>
      </c>
      <c r="J1039" s="55"/>
      <c r="K1039" s="55"/>
      <c r="L1039" s="55"/>
      <c r="M1039" s="55"/>
      <c r="N1039" s="55"/>
      <c r="O1039" s="55"/>
      <c r="P1039" s="52"/>
    </row>
    <row r="1040" spans="1:16" ht="18" customHeight="1">
      <c r="A1040" s="47"/>
      <c r="B1040" s="48" t="s">
        <v>1381</v>
      </c>
      <c r="C1040" s="54"/>
      <c r="D1040" s="55">
        <v>371</v>
      </c>
      <c r="E1040" s="55">
        <v>10</v>
      </c>
      <c r="F1040" s="55">
        <v>0</v>
      </c>
      <c r="G1040" s="55">
        <v>6.9</v>
      </c>
      <c r="H1040" s="55">
        <v>47.5</v>
      </c>
      <c r="I1040" s="55">
        <v>4.2</v>
      </c>
      <c r="J1040" s="55"/>
      <c r="K1040" s="55"/>
      <c r="L1040" s="55"/>
      <c r="M1040" s="55"/>
      <c r="N1040" s="55"/>
      <c r="O1040" s="55"/>
      <c r="P1040" s="52"/>
    </row>
    <row r="1041" spans="1:16" ht="18" customHeight="1">
      <c r="A1041" s="47"/>
      <c r="B1041" s="48" t="s">
        <v>1681</v>
      </c>
      <c r="C1041" s="54"/>
      <c r="D1041" s="55">
        <v>371</v>
      </c>
      <c r="E1041" s="55">
        <v>10</v>
      </c>
      <c r="F1041" s="55">
        <v>0</v>
      </c>
      <c r="G1041" s="55">
        <v>0</v>
      </c>
      <c r="H1041" s="55">
        <v>47.5</v>
      </c>
      <c r="I1041" s="55">
        <v>4.2</v>
      </c>
      <c r="J1041" s="55"/>
      <c r="K1041" s="55"/>
      <c r="L1041" s="55"/>
      <c r="M1041" s="55"/>
      <c r="N1041" s="55"/>
      <c r="O1041" s="55"/>
      <c r="P1041" s="52"/>
    </row>
    <row r="1042" spans="1:16" ht="18" customHeight="1">
      <c r="A1042" s="47"/>
      <c r="B1042" s="48" t="s">
        <v>1690</v>
      </c>
      <c r="C1042" s="54"/>
      <c r="D1042" s="55">
        <v>365</v>
      </c>
      <c r="E1042" s="55">
        <v>6.3</v>
      </c>
      <c r="F1042" s="55">
        <v>0</v>
      </c>
      <c r="G1042" s="55">
        <v>19.3</v>
      </c>
      <c r="H1042" s="55">
        <v>60</v>
      </c>
      <c r="I1042" s="55">
        <v>2.1</v>
      </c>
      <c r="J1042" s="55">
        <v>0</v>
      </c>
      <c r="K1042" s="55">
        <v>0</v>
      </c>
      <c r="L1042" s="55">
        <v>0.22</v>
      </c>
      <c r="M1042" s="55">
        <v>0</v>
      </c>
      <c r="N1042" s="55">
        <v>1</v>
      </c>
      <c r="O1042" s="55">
        <v>0</v>
      </c>
      <c r="P1042" s="52"/>
    </row>
    <row r="1043" spans="1:16" ht="18" customHeight="1">
      <c r="A1043" s="47"/>
      <c r="B1043" s="48" t="s">
        <v>1382</v>
      </c>
      <c r="C1043" s="54"/>
      <c r="D1043" s="55">
        <v>365</v>
      </c>
      <c r="E1043" s="55">
        <v>6.3</v>
      </c>
      <c r="F1043" s="55">
        <v>0</v>
      </c>
      <c r="G1043" s="55">
        <v>19.3</v>
      </c>
      <c r="H1043" s="55">
        <v>60</v>
      </c>
      <c r="I1043" s="55">
        <v>2.1</v>
      </c>
      <c r="J1043" s="55">
        <v>0</v>
      </c>
      <c r="K1043" s="55">
        <v>0</v>
      </c>
      <c r="L1043" s="55">
        <v>0.22</v>
      </c>
      <c r="M1043" s="55">
        <v>0</v>
      </c>
      <c r="N1043" s="55">
        <v>1</v>
      </c>
      <c r="O1043" s="55">
        <v>0</v>
      </c>
      <c r="P1043" s="52"/>
    </row>
    <row r="1044" spans="1:16" ht="18" customHeight="1">
      <c r="A1044" s="47"/>
      <c r="B1044" s="48" t="s">
        <v>1383</v>
      </c>
      <c r="C1044" s="54" t="s">
        <v>1384</v>
      </c>
      <c r="D1044" s="55">
        <v>260</v>
      </c>
      <c r="E1044" s="55">
        <v>11.4</v>
      </c>
      <c r="F1044" s="55">
        <v>71.400000000000006</v>
      </c>
      <c r="G1044" s="55">
        <v>1.5</v>
      </c>
      <c r="H1044" s="55">
        <v>233</v>
      </c>
      <c r="I1044" s="55">
        <v>32.799999999999997</v>
      </c>
      <c r="J1044" s="55">
        <v>0</v>
      </c>
      <c r="K1044" s="55">
        <v>0.22</v>
      </c>
      <c r="L1044" s="55">
        <v>0.75</v>
      </c>
      <c r="M1044" s="55">
        <v>4.5999999999999996</v>
      </c>
      <c r="N1044" s="55">
        <v>0</v>
      </c>
      <c r="O1044" s="55">
        <v>0</v>
      </c>
      <c r="P1044" s="52"/>
    </row>
    <row r="1045" spans="1:16" ht="18" customHeight="1">
      <c r="A1045" s="47"/>
      <c r="B1045" s="48" t="s">
        <v>1385</v>
      </c>
      <c r="C1045" s="54" t="s">
        <v>1384</v>
      </c>
      <c r="D1045" s="55">
        <v>260</v>
      </c>
      <c r="E1045" s="55">
        <v>11.4</v>
      </c>
      <c r="F1045" s="55">
        <v>5.8</v>
      </c>
      <c r="G1045" s="55">
        <v>0.2</v>
      </c>
      <c r="H1045" s="55">
        <v>233</v>
      </c>
      <c r="I1045" s="55">
        <v>32.799999999999997</v>
      </c>
      <c r="J1045" s="55">
        <v>0</v>
      </c>
      <c r="K1045" s="55">
        <v>0.22</v>
      </c>
      <c r="L1045" s="55">
        <v>0.75</v>
      </c>
      <c r="M1045" s="55">
        <v>4.5999999999999996</v>
      </c>
      <c r="N1045" s="55">
        <v>0</v>
      </c>
      <c r="O1045" s="55">
        <v>0</v>
      </c>
      <c r="P1045" s="52"/>
    </row>
    <row r="1046" spans="1:16" ht="18" customHeight="1">
      <c r="A1046" s="47"/>
      <c r="B1046" s="48" t="s">
        <v>1386</v>
      </c>
      <c r="C1046" s="54"/>
      <c r="D1046" s="55">
        <v>16</v>
      </c>
      <c r="E1046" s="55">
        <v>0.9</v>
      </c>
      <c r="F1046" s="55">
        <v>3.27</v>
      </c>
      <c r="G1046" s="55">
        <v>0.1</v>
      </c>
      <c r="H1046" s="55">
        <v>14</v>
      </c>
      <c r="I1046" s="55">
        <v>0.4</v>
      </c>
      <c r="J1046" s="55">
        <v>5</v>
      </c>
      <c r="K1046" s="55">
        <v>0.03</v>
      </c>
      <c r="L1046" s="55">
        <v>0.05</v>
      </c>
      <c r="M1046" s="55">
        <v>0.05</v>
      </c>
      <c r="N1046" s="55">
        <v>6</v>
      </c>
      <c r="O1046" s="55">
        <v>0</v>
      </c>
      <c r="P1046" s="52"/>
    </row>
    <row r="1047" spans="1:16" ht="18" customHeight="1">
      <c r="A1047" s="47"/>
      <c r="B1047" s="48" t="s">
        <v>1387</v>
      </c>
      <c r="C1047" s="54"/>
      <c r="D1047" s="55">
        <v>114</v>
      </c>
      <c r="E1047" s="55">
        <v>16</v>
      </c>
      <c r="F1047" s="55">
        <v>0.05</v>
      </c>
      <c r="G1047" s="55">
        <v>0.62</v>
      </c>
      <c r="H1047" s="55">
        <v>200</v>
      </c>
      <c r="I1047" s="55">
        <v>6</v>
      </c>
      <c r="J1047" s="55">
        <v>0</v>
      </c>
      <c r="K1047" s="55">
        <v>0.02</v>
      </c>
      <c r="L1047" s="55">
        <v>0.06</v>
      </c>
      <c r="M1047" s="55">
        <v>4</v>
      </c>
      <c r="N1047" s="55">
        <v>0</v>
      </c>
      <c r="O1047" s="55">
        <v>0</v>
      </c>
      <c r="P1047" s="52"/>
    </row>
    <row r="1048" spans="1:16" ht="18" customHeight="1">
      <c r="A1048" s="47"/>
      <c r="B1048" s="48" t="s">
        <v>1388</v>
      </c>
      <c r="C1048" s="54"/>
      <c r="D1048" s="55">
        <v>304</v>
      </c>
      <c r="E1048" s="55">
        <v>2.2000000000000002</v>
      </c>
      <c r="F1048" s="55">
        <v>47.2</v>
      </c>
      <c r="G1048" s="55">
        <v>30.9</v>
      </c>
      <c r="H1048" s="55">
        <v>69</v>
      </c>
      <c r="I1048" s="55">
        <v>0</v>
      </c>
      <c r="J1048" s="55">
        <v>271</v>
      </c>
      <c r="K1048" s="55">
        <v>0.02</v>
      </c>
      <c r="L1048" s="55">
        <v>0.13</v>
      </c>
      <c r="M1048" s="55">
        <v>0</v>
      </c>
      <c r="N1048" s="55">
        <v>1</v>
      </c>
      <c r="O1048" s="55">
        <v>0</v>
      </c>
      <c r="P1048" s="52"/>
    </row>
    <row r="1049" spans="1:16" ht="18" customHeight="1">
      <c r="A1049" s="47"/>
      <c r="B1049" s="48" t="s">
        <v>1389</v>
      </c>
      <c r="C1049" s="54" t="s">
        <v>1390</v>
      </c>
      <c r="D1049" s="55">
        <v>217</v>
      </c>
      <c r="E1049" s="55">
        <v>3.4</v>
      </c>
      <c r="F1049" s="55">
        <v>44.2</v>
      </c>
      <c r="G1049" s="55">
        <v>9.4</v>
      </c>
      <c r="H1049" s="55">
        <v>37.5</v>
      </c>
      <c r="I1049" s="55">
        <v>5</v>
      </c>
      <c r="J1049" s="55">
        <v>0</v>
      </c>
      <c r="K1049" s="55">
        <v>0.01</v>
      </c>
      <c r="L1049" s="55">
        <v>0.02</v>
      </c>
      <c r="M1049" s="55">
        <v>25.56</v>
      </c>
      <c r="N1049" s="55">
        <v>0</v>
      </c>
      <c r="O1049" s="55">
        <v>0</v>
      </c>
      <c r="P1049" s="52"/>
    </row>
    <row r="1050" spans="1:16" ht="18" customHeight="1">
      <c r="A1050" s="47"/>
      <c r="B1050" s="48" t="s">
        <v>1391</v>
      </c>
      <c r="C1050" s="54"/>
      <c r="D1050" s="55">
        <v>217</v>
      </c>
      <c r="E1050" s="55">
        <v>3.4</v>
      </c>
      <c r="F1050" s="55">
        <v>44.2</v>
      </c>
      <c r="G1050" s="55">
        <v>8.4</v>
      </c>
      <c r="H1050" s="55">
        <v>37.5</v>
      </c>
      <c r="I1050" s="55">
        <v>5</v>
      </c>
      <c r="J1050" s="55">
        <v>0</v>
      </c>
      <c r="K1050" s="55">
        <v>0.01</v>
      </c>
      <c r="L1050" s="55">
        <v>0.02</v>
      </c>
      <c r="M1050" s="55">
        <v>25.56</v>
      </c>
      <c r="N1050" s="55">
        <v>0</v>
      </c>
      <c r="O1050" s="55">
        <v>0</v>
      </c>
      <c r="P1050" s="52"/>
    </row>
    <row r="1051" spans="1:16" ht="18" customHeight="1">
      <c r="A1051" s="47"/>
      <c r="B1051" s="48" t="s">
        <v>1392</v>
      </c>
      <c r="C1051" s="54"/>
      <c r="D1051" s="55">
        <v>259</v>
      </c>
      <c r="E1051" s="55">
        <v>13.2</v>
      </c>
      <c r="F1051" s="55">
        <v>30.2</v>
      </c>
      <c r="G1051" s="55">
        <v>18.2</v>
      </c>
      <c r="H1051" s="55">
        <v>45.3</v>
      </c>
      <c r="I1051" s="55">
        <v>1.8</v>
      </c>
      <c r="J1051" s="55">
        <v>2.6</v>
      </c>
      <c r="K1051" s="55">
        <v>0.5</v>
      </c>
      <c r="L1051" s="55">
        <v>0.2</v>
      </c>
      <c r="M1051" s="55">
        <v>0.1</v>
      </c>
      <c r="N1051" s="55">
        <v>1.2</v>
      </c>
      <c r="O1051" s="55">
        <v>0</v>
      </c>
      <c r="P1051" s="52"/>
    </row>
    <row r="1052" spans="1:16" ht="18" customHeight="1">
      <c r="A1052" s="47"/>
      <c r="B1052" s="48" t="s">
        <v>1696</v>
      </c>
      <c r="C1052" s="54"/>
      <c r="D1052" s="55">
        <v>172</v>
      </c>
      <c r="E1052" s="55">
        <v>13.2</v>
      </c>
      <c r="F1052" s="55">
        <v>30.2</v>
      </c>
      <c r="G1052" s="55">
        <v>11.9</v>
      </c>
      <c r="H1052" s="55">
        <v>45.3</v>
      </c>
      <c r="I1052" s="55">
        <v>1.8</v>
      </c>
      <c r="J1052" s="55">
        <v>2.6</v>
      </c>
      <c r="K1052" s="55">
        <v>0.5</v>
      </c>
      <c r="L1052" s="55">
        <v>0.2</v>
      </c>
      <c r="M1052" s="55">
        <v>0.1</v>
      </c>
      <c r="N1052" s="55">
        <v>1.2</v>
      </c>
      <c r="O1052" s="55">
        <v>0</v>
      </c>
      <c r="P1052" s="52"/>
    </row>
    <row r="1053" spans="1:16" ht="18" customHeight="1">
      <c r="A1053" s="47"/>
      <c r="B1053" s="48" t="s">
        <v>1393</v>
      </c>
      <c r="C1053" s="54"/>
      <c r="D1053" s="55">
        <v>259</v>
      </c>
      <c r="E1053" s="55">
        <v>13.2</v>
      </c>
      <c r="F1053" s="55">
        <v>30.2</v>
      </c>
      <c r="G1053" s="55">
        <v>11.9</v>
      </c>
      <c r="H1053" s="55">
        <v>45.3</v>
      </c>
      <c r="I1053" s="55">
        <v>1.8</v>
      </c>
      <c r="J1053" s="55">
        <v>2.6</v>
      </c>
      <c r="K1053" s="55">
        <v>0.5</v>
      </c>
      <c r="L1053" s="55">
        <v>0.2</v>
      </c>
      <c r="M1053" s="55">
        <v>0.1</v>
      </c>
      <c r="N1053" s="55">
        <v>1.2</v>
      </c>
      <c r="O1053" s="55">
        <v>0</v>
      </c>
      <c r="P1053" s="52"/>
    </row>
    <row r="1054" spans="1:16" ht="18" customHeight="1">
      <c r="A1054" s="47"/>
      <c r="B1054" s="48" t="s">
        <v>1394</v>
      </c>
      <c r="C1054" s="54"/>
      <c r="D1054" s="55">
        <v>96</v>
      </c>
      <c r="E1054" s="55">
        <v>2.7</v>
      </c>
      <c r="F1054" s="55">
        <v>18.3</v>
      </c>
      <c r="G1054" s="55">
        <v>2.2000000000000002</v>
      </c>
      <c r="H1054" s="55">
        <v>2</v>
      </c>
      <c r="I1054" s="55">
        <v>0.4</v>
      </c>
      <c r="J1054" s="55">
        <v>13</v>
      </c>
      <c r="K1054" s="55">
        <v>0.03</v>
      </c>
      <c r="L1054" s="55">
        <v>0.06</v>
      </c>
      <c r="M1054" s="55">
        <v>0.9</v>
      </c>
      <c r="N1054" s="55">
        <v>4</v>
      </c>
      <c r="O1054" s="55"/>
      <c r="P1054" s="52"/>
    </row>
    <row r="1055" spans="1:16" ht="18" customHeight="1">
      <c r="A1055" s="47"/>
      <c r="B1055" s="48" t="s">
        <v>1395</v>
      </c>
      <c r="C1055" s="54"/>
      <c r="D1055" s="55">
        <v>74</v>
      </c>
      <c r="E1055" s="55">
        <v>0.5</v>
      </c>
      <c r="F1055" s="55">
        <v>0</v>
      </c>
      <c r="G1055" s="55">
        <v>0.1</v>
      </c>
      <c r="H1055" s="55">
        <v>35</v>
      </c>
      <c r="I1055" s="55">
        <v>0.8</v>
      </c>
      <c r="J1055" s="55">
        <v>0</v>
      </c>
      <c r="K1055" s="55">
        <v>0.02</v>
      </c>
      <c r="L1055" s="55">
        <v>0.01</v>
      </c>
      <c r="M1055" s="55">
        <v>0.1</v>
      </c>
      <c r="N1055" s="55">
        <v>0</v>
      </c>
      <c r="O1055" s="55">
        <v>0</v>
      </c>
      <c r="P1055" s="52"/>
    </row>
    <row r="1056" spans="1:16" ht="18" customHeight="1">
      <c r="A1056" s="47"/>
      <c r="B1056" s="48" t="s">
        <v>1396</v>
      </c>
      <c r="C1056" s="54"/>
      <c r="D1056" s="55">
        <v>62</v>
      </c>
      <c r="E1056" s="55">
        <v>3.1</v>
      </c>
      <c r="F1056" s="55">
        <v>12.4</v>
      </c>
      <c r="G1056" s="55">
        <v>0.17</v>
      </c>
      <c r="H1056" s="55">
        <v>56</v>
      </c>
      <c r="I1056" s="55">
        <v>0.8</v>
      </c>
      <c r="J1056" s="55">
        <v>0</v>
      </c>
      <c r="K1056" s="55">
        <v>0.03</v>
      </c>
      <c r="L1056" s="55">
        <v>7.0000000000000007E-2</v>
      </c>
      <c r="M1056" s="55">
        <v>0.5</v>
      </c>
      <c r="N1056" s="55">
        <v>3</v>
      </c>
      <c r="O1056" s="55">
        <v>0</v>
      </c>
      <c r="P1056" s="52"/>
    </row>
    <row r="1057" spans="1:16" ht="18" customHeight="1">
      <c r="A1057" s="47"/>
      <c r="B1057" s="48" t="s">
        <v>1397</v>
      </c>
      <c r="C1057" s="54"/>
      <c r="D1057" s="55">
        <v>240</v>
      </c>
      <c r="E1057" s="55">
        <v>4.7</v>
      </c>
      <c r="F1057" s="55">
        <v>51.2</v>
      </c>
      <c r="G1057" s="55">
        <v>0.5</v>
      </c>
      <c r="H1057" s="55">
        <v>2</v>
      </c>
      <c r="I1057" s="55">
        <v>2</v>
      </c>
      <c r="J1057" s="55">
        <v>0</v>
      </c>
      <c r="K1057" s="55">
        <v>0.15</v>
      </c>
      <c r="L1057" s="55">
        <v>0.5</v>
      </c>
      <c r="M1057" s="55">
        <v>0</v>
      </c>
      <c r="N1057" s="55">
        <v>0</v>
      </c>
      <c r="O1057" s="55">
        <v>0</v>
      </c>
      <c r="P1057" s="52"/>
    </row>
    <row r="1058" spans="1:16" ht="18" customHeight="1">
      <c r="A1058" s="47"/>
      <c r="B1058" s="48" t="s">
        <v>1398</v>
      </c>
      <c r="C1058" s="54"/>
      <c r="D1058" s="55">
        <v>12</v>
      </c>
      <c r="E1058" s="55">
        <v>0.2</v>
      </c>
      <c r="F1058" s="55">
        <v>66</v>
      </c>
      <c r="G1058" s="55">
        <v>1</v>
      </c>
      <c r="H1058" s="55">
        <v>75</v>
      </c>
      <c r="I1058" s="55">
        <v>0.5</v>
      </c>
      <c r="J1058" s="55"/>
      <c r="K1058" s="55"/>
      <c r="L1058" s="55"/>
      <c r="M1058" s="55"/>
      <c r="N1058" s="55"/>
      <c r="O1058" s="55"/>
      <c r="P1058" s="52"/>
    </row>
    <row r="1059" spans="1:16" ht="18" customHeight="1">
      <c r="A1059" s="47"/>
      <c r="B1059" s="48" t="s">
        <v>1399</v>
      </c>
      <c r="C1059" s="54"/>
      <c r="D1059" s="55"/>
      <c r="E1059" s="55">
        <v>0.2</v>
      </c>
      <c r="F1059" s="55">
        <v>66</v>
      </c>
      <c r="G1059" s="55">
        <v>1</v>
      </c>
      <c r="H1059" s="55">
        <v>75</v>
      </c>
      <c r="I1059" s="55">
        <v>0.5</v>
      </c>
      <c r="J1059" s="55"/>
      <c r="K1059" s="55"/>
      <c r="L1059" s="55"/>
      <c r="M1059" s="55"/>
      <c r="N1059" s="55"/>
      <c r="O1059" s="55"/>
      <c r="P1059" s="52"/>
    </row>
    <row r="1060" spans="1:16" ht="18" customHeight="1">
      <c r="A1060" s="47"/>
      <c r="B1060" s="48" t="s">
        <v>1400</v>
      </c>
      <c r="C1060" s="54"/>
      <c r="D1060" s="55">
        <v>137</v>
      </c>
      <c r="E1060" s="55">
        <v>11.2</v>
      </c>
      <c r="F1060" s="55">
        <v>21</v>
      </c>
      <c r="G1060" s="55">
        <v>16</v>
      </c>
      <c r="H1060" s="55">
        <v>18.5</v>
      </c>
      <c r="I1060" s="55">
        <v>1</v>
      </c>
      <c r="J1060" s="55">
        <v>0</v>
      </c>
      <c r="K1060" s="55">
        <v>0.08</v>
      </c>
      <c r="L1060" s="55">
        <v>0.06</v>
      </c>
      <c r="M1060" s="55">
        <v>1.33</v>
      </c>
      <c r="N1060" s="55">
        <v>0.6</v>
      </c>
      <c r="O1060" s="55">
        <v>0</v>
      </c>
      <c r="P1060" s="52"/>
    </row>
    <row r="1061" spans="1:16" ht="18" customHeight="1">
      <c r="A1061" s="47"/>
      <c r="B1061" s="48" t="s">
        <v>1738</v>
      </c>
      <c r="C1061" s="54"/>
      <c r="D1061" s="55">
        <v>137</v>
      </c>
      <c r="E1061" s="55">
        <v>11.2</v>
      </c>
      <c r="F1061" s="55">
        <v>11.31</v>
      </c>
      <c r="G1061" s="55">
        <v>19.5</v>
      </c>
      <c r="H1061" s="55">
        <v>18.5</v>
      </c>
      <c r="I1061" s="55">
        <v>1</v>
      </c>
      <c r="J1061" s="55">
        <v>0</v>
      </c>
      <c r="K1061" s="55">
        <v>0.08</v>
      </c>
      <c r="L1061" s="55">
        <v>0.06</v>
      </c>
      <c r="M1061" s="55">
        <v>1.33</v>
      </c>
      <c r="N1061" s="55">
        <v>0.6</v>
      </c>
      <c r="O1061" s="55">
        <v>0</v>
      </c>
      <c r="P1061" s="52"/>
    </row>
    <row r="1062" spans="1:16" ht="18" customHeight="1">
      <c r="A1062" s="47"/>
      <c r="B1062" s="48" t="s">
        <v>1401</v>
      </c>
      <c r="C1062" s="54"/>
      <c r="D1062" s="55">
        <v>137</v>
      </c>
      <c r="E1062" s="55">
        <v>11.2</v>
      </c>
      <c r="F1062" s="55">
        <v>11.31</v>
      </c>
      <c r="G1062" s="55">
        <v>19.5</v>
      </c>
      <c r="H1062" s="55">
        <v>18.5</v>
      </c>
      <c r="I1062" s="55">
        <v>1</v>
      </c>
      <c r="J1062" s="55">
        <v>0</v>
      </c>
      <c r="K1062" s="55">
        <v>0.08</v>
      </c>
      <c r="L1062" s="55">
        <v>0.06</v>
      </c>
      <c r="M1062" s="55">
        <v>1.33</v>
      </c>
      <c r="N1062" s="55">
        <v>0.6</v>
      </c>
      <c r="O1062" s="55">
        <v>0</v>
      </c>
      <c r="P1062" s="52"/>
    </row>
    <row r="1063" spans="1:16" ht="18" customHeight="1">
      <c r="A1063" s="47"/>
      <c r="B1063" s="48" t="s">
        <v>12</v>
      </c>
      <c r="C1063" s="54"/>
      <c r="D1063" s="55">
        <v>137</v>
      </c>
      <c r="E1063" s="55">
        <v>11.2</v>
      </c>
      <c r="F1063" s="55">
        <v>11.31</v>
      </c>
      <c r="G1063" s="55">
        <v>19.5</v>
      </c>
      <c r="H1063" s="55">
        <v>18.5</v>
      </c>
      <c r="I1063" s="55">
        <v>1</v>
      </c>
      <c r="J1063" s="55">
        <v>0</v>
      </c>
      <c r="K1063" s="55">
        <v>0.08</v>
      </c>
      <c r="L1063" s="55">
        <v>0.06</v>
      </c>
      <c r="M1063" s="55">
        <v>1.33</v>
      </c>
      <c r="N1063" s="55">
        <v>0.6</v>
      </c>
      <c r="O1063" s="55">
        <v>0</v>
      </c>
      <c r="P1063" s="52"/>
    </row>
    <row r="1064" spans="1:16" ht="18" customHeight="1">
      <c r="A1064" s="47"/>
      <c r="B1064" s="48" t="s">
        <v>1772</v>
      </c>
      <c r="C1064" s="54"/>
      <c r="D1064" s="55">
        <v>137</v>
      </c>
      <c r="E1064" s="55">
        <v>11.2</v>
      </c>
      <c r="F1064" s="55">
        <v>11.31</v>
      </c>
      <c r="G1064" s="55">
        <v>19.5</v>
      </c>
      <c r="H1064" s="55">
        <v>18.5</v>
      </c>
      <c r="I1064" s="55">
        <v>1</v>
      </c>
      <c r="J1064" s="55">
        <v>0</v>
      </c>
      <c r="K1064" s="55">
        <v>0.08</v>
      </c>
      <c r="L1064" s="55">
        <v>0.06</v>
      </c>
      <c r="M1064" s="55">
        <v>1.33</v>
      </c>
      <c r="N1064" s="55">
        <v>0.6</v>
      </c>
      <c r="O1064" s="55">
        <v>0</v>
      </c>
      <c r="P1064" s="52"/>
    </row>
    <row r="1065" spans="1:16" ht="18" customHeight="1">
      <c r="A1065" s="47"/>
      <c r="B1065" s="48" t="s">
        <v>12</v>
      </c>
      <c r="C1065" s="54"/>
      <c r="D1065" s="55">
        <v>128</v>
      </c>
      <c r="E1065" s="55">
        <v>10.1</v>
      </c>
      <c r="F1065" s="55">
        <v>11.31</v>
      </c>
      <c r="G1065" s="55">
        <v>19.5</v>
      </c>
      <c r="H1065" s="55">
        <v>15.5</v>
      </c>
      <c r="I1065" s="55">
        <v>1</v>
      </c>
      <c r="J1065" s="55">
        <v>0</v>
      </c>
      <c r="K1065" s="55">
        <v>0.05</v>
      </c>
      <c r="L1065" s="55">
        <v>0.06</v>
      </c>
      <c r="M1065" s="55">
        <v>1.2</v>
      </c>
      <c r="N1065" s="55">
        <v>0.5</v>
      </c>
      <c r="O1065" s="55">
        <v>0</v>
      </c>
      <c r="P1065" s="52"/>
    </row>
    <row r="1066" spans="1:16" ht="18" customHeight="1">
      <c r="A1066" s="47"/>
      <c r="B1066" s="48" t="s">
        <v>1402</v>
      </c>
      <c r="C1066" s="54"/>
      <c r="D1066" s="55">
        <v>128</v>
      </c>
      <c r="E1066" s="55">
        <v>10.1</v>
      </c>
      <c r="F1066" s="55">
        <v>21</v>
      </c>
      <c r="G1066" s="55">
        <v>19.45</v>
      </c>
      <c r="H1066" s="55">
        <v>15.5</v>
      </c>
      <c r="I1066" s="55">
        <v>1</v>
      </c>
      <c r="J1066" s="55">
        <v>0</v>
      </c>
      <c r="K1066" s="55">
        <v>0.05</v>
      </c>
      <c r="L1066" s="55">
        <v>0.06</v>
      </c>
      <c r="M1066" s="55">
        <v>1.2</v>
      </c>
      <c r="N1066" s="55">
        <v>0.5</v>
      </c>
      <c r="O1066" s="55">
        <v>0</v>
      </c>
      <c r="P1066" s="52"/>
    </row>
    <row r="1067" spans="1:16" ht="18" customHeight="1">
      <c r="A1067" s="47"/>
      <c r="B1067" s="48" t="s">
        <v>1999</v>
      </c>
      <c r="C1067" s="54"/>
      <c r="D1067" s="55">
        <v>389</v>
      </c>
      <c r="E1067" s="55">
        <v>0</v>
      </c>
      <c r="F1067" s="55">
        <v>99.77</v>
      </c>
      <c r="G1067" s="55">
        <v>0</v>
      </c>
      <c r="H1067" s="55">
        <v>1</v>
      </c>
      <c r="I1067" s="55">
        <v>0.06</v>
      </c>
      <c r="J1067" s="55">
        <v>0</v>
      </c>
      <c r="K1067" s="55">
        <v>0</v>
      </c>
      <c r="L1067" s="55">
        <v>0.02</v>
      </c>
      <c r="M1067" s="55">
        <v>0</v>
      </c>
      <c r="N1067" s="55">
        <v>0</v>
      </c>
      <c r="O1067" s="55">
        <v>0</v>
      </c>
      <c r="P1067" s="52"/>
    </row>
    <row r="1068" spans="1:16" ht="18" customHeight="1">
      <c r="A1068" s="47"/>
      <c r="B1068" s="48" t="s">
        <v>1403</v>
      </c>
      <c r="C1068" s="54"/>
      <c r="D1068" s="55">
        <v>96</v>
      </c>
      <c r="E1068" s="55">
        <v>8.5</v>
      </c>
      <c r="F1068" s="55">
        <v>12.5</v>
      </c>
      <c r="G1068" s="55">
        <v>22.5</v>
      </c>
      <c r="H1068" s="55">
        <v>22.04</v>
      </c>
      <c r="I1068" s="55">
        <v>2</v>
      </c>
      <c r="J1068" s="55">
        <v>84</v>
      </c>
      <c r="K1068" s="55">
        <v>0.13</v>
      </c>
      <c r="L1068" s="55">
        <v>0.2</v>
      </c>
      <c r="M1068" s="55">
        <v>2.99</v>
      </c>
      <c r="N1068" s="55">
        <v>4.3</v>
      </c>
      <c r="O1068" s="55">
        <v>0</v>
      </c>
      <c r="P1068" s="52"/>
    </row>
    <row r="1069" spans="1:16" ht="18" customHeight="1">
      <c r="A1069" s="47"/>
      <c r="B1069" s="48" t="s">
        <v>1404</v>
      </c>
      <c r="C1069" s="54"/>
      <c r="D1069" s="55">
        <v>108</v>
      </c>
      <c r="E1069" s="55">
        <v>21.7</v>
      </c>
      <c r="F1069" s="55">
        <v>0.06</v>
      </c>
      <c r="G1069" s="55">
        <v>1.07</v>
      </c>
      <c r="H1069" s="55">
        <v>41</v>
      </c>
      <c r="I1069" s="55">
        <v>0.4</v>
      </c>
      <c r="J1069" s="55"/>
      <c r="K1069" s="55"/>
      <c r="L1069" s="55"/>
      <c r="M1069" s="55"/>
      <c r="N1069" s="55"/>
      <c r="O1069" s="55"/>
      <c r="P1069" s="52"/>
    </row>
    <row r="1070" spans="1:16" ht="18" customHeight="1">
      <c r="A1070" s="47"/>
      <c r="B1070" s="48" t="s">
        <v>1405</v>
      </c>
      <c r="C1070" s="54"/>
      <c r="D1070" s="55">
        <v>12</v>
      </c>
      <c r="E1070" s="55">
        <v>1.29</v>
      </c>
      <c r="F1070" s="55">
        <v>10</v>
      </c>
      <c r="G1070" s="55">
        <v>3</v>
      </c>
      <c r="H1070" s="55">
        <v>12</v>
      </c>
      <c r="I1070" s="55">
        <v>1.1599999999999999</v>
      </c>
      <c r="J1070" s="55">
        <v>164</v>
      </c>
      <c r="K1070" s="55">
        <v>0.03</v>
      </c>
      <c r="L1070" s="55">
        <v>0.08</v>
      </c>
      <c r="M1070" s="55">
        <v>0.18</v>
      </c>
      <c r="N1070" s="55">
        <v>4.5</v>
      </c>
      <c r="O1070" s="55">
        <v>0</v>
      </c>
      <c r="P1070" s="52"/>
    </row>
    <row r="1071" spans="1:16" ht="18" customHeight="1">
      <c r="A1071" s="47"/>
      <c r="B1071" s="48" t="s">
        <v>1406</v>
      </c>
      <c r="C1071" s="54"/>
      <c r="D1071" s="55">
        <v>322</v>
      </c>
      <c r="E1071" s="55">
        <v>3.6</v>
      </c>
      <c r="F1071" s="55">
        <v>79.7</v>
      </c>
      <c r="G1071" s="55">
        <v>0.3</v>
      </c>
      <c r="H1071" s="55">
        <v>1200</v>
      </c>
      <c r="I1071" s="55">
        <v>50</v>
      </c>
      <c r="J1071" s="55">
        <v>1</v>
      </c>
      <c r="K1071" s="55">
        <v>6</v>
      </c>
      <c r="L1071" s="55">
        <v>0.8</v>
      </c>
      <c r="M1071" s="55"/>
      <c r="N1071" s="55"/>
      <c r="O1071" s="55"/>
      <c r="P1071" s="52"/>
    </row>
    <row r="1072" spans="1:16" ht="18" customHeight="1">
      <c r="A1072" s="47"/>
      <c r="B1072" s="48" t="s">
        <v>1407</v>
      </c>
      <c r="C1072" s="54"/>
      <c r="D1072" s="55">
        <v>322</v>
      </c>
      <c r="E1072" s="55">
        <v>3.6</v>
      </c>
      <c r="F1072" s="55">
        <v>89</v>
      </c>
      <c r="G1072" s="55">
        <v>0.57999999999999996</v>
      </c>
      <c r="H1072" s="55">
        <v>1200</v>
      </c>
      <c r="I1072" s="55">
        <v>50</v>
      </c>
      <c r="J1072" s="55">
        <v>1</v>
      </c>
      <c r="K1072" s="55">
        <v>6</v>
      </c>
      <c r="L1072" s="55">
        <v>0.8</v>
      </c>
      <c r="M1072" s="55"/>
      <c r="N1072" s="55"/>
      <c r="O1072" s="55"/>
      <c r="P1072" s="52"/>
    </row>
    <row r="1073" spans="1:16" ht="18" customHeight="1">
      <c r="A1073" s="47"/>
      <c r="B1073" s="48" t="s">
        <v>1787</v>
      </c>
      <c r="C1073" s="54"/>
      <c r="D1073" s="55">
        <v>42</v>
      </c>
      <c r="E1073" s="55">
        <v>0.7</v>
      </c>
      <c r="F1073" s="55">
        <v>9</v>
      </c>
      <c r="G1073" s="55">
        <v>1</v>
      </c>
      <c r="H1073" s="55">
        <v>11</v>
      </c>
      <c r="I1073" s="55">
        <v>0.2</v>
      </c>
      <c r="J1073" s="55">
        <v>12</v>
      </c>
      <c r="K1073" s="55">
        <v>74</v>
      </c>
      <c r="L1073" s="55">
        <v>0.09</v>
      </c>
      <c r="M1073" s="55"/>
      <c r="N1073" s="55"/>
      <c r="O1073" s="55"/>
      <c r="P1073" s="52"/>
    </row>
    <row r="1074" spans="1:16" ht="18" customHeight="1">
      <c r="A1074" s="47"/>
      <c r="B1074" s="48" t="s">
        <v>1408</v>
      </c>
      <c r="C1074" s="54"/>
      <c r="D1074" s="55">
        <v>42</v>
      </c>
      <c r="E1074" s="55">
        <v>0.7</v>
      </c>
      <c r="F1074" s="55">
        <v>9</v>
      </c>
      <c r="G1074" s="55">
        <v>1</v>
      </c>
      <c r="H1074" s="55">
        <v>11</v>
      </c>
      <c r="I1074" s="55">
        <v>0.2</v>
      </c>
      <c r="J1074" s="55">
        <v>12</v>
      </c>
      <c r="K1074" s="55">
        <v>74</v>
      </c>
      <c r="L1074" s="55">
        <v>0.09</v>
      </c>
      <c r="M1074" s="55"/>
      <c r="N1074" s="55"/>
      <c r="O1074" s="55"/>
      <c r="P1074" s="52"/>
    </row>
    <row r="1075" spans="1:16" ht="18" customHeight="1">
      <c r="A1075" s="47"/>
      <c r="B1075" s="48" t="s">
        <v>1941</v>
      </c>
      <c r="C1075" s="54"/>
      <c r="D1075" s="55">
        <v>42</v>
      </c>
      <c r="E1075" s="55">
        <v>0.7</v>
      </c>
      <c r="F1075" s="55">
        <v>9</v>
      </c>
      <c r="G1075" s="55">
        <v>1</v>
      </c>
      <c r="H1075" s="55">
        <v>11</v>
      </c>
      <c r="I1075" s="55">
        <v>0.2</v>
      </c>
      <c r="J1075" s="55">
        <v>12</v>
      </c>
      <c r="K1075" s="55">
        <v>74</v>
      </c>
      <c r="L1075" s="55">
        <v>0.09</v>
      </c>
      <c r="M1075" s="55"/>
      <c r="N1075" s="55"/>
      <c r="O1075" s="55"/>
      <c r="P1075" s="52"/>
    </row>
    <row r="1076" spans="1:16" ht="18" customHeight="1">
      <c r="A1076" s="47"/>
      <c r="B1076" s="48" t="s">
        <v>1775</v>
      </c>
      <c r="C1076" s="54"/>
      <c r="D1076" s="55">
        <v>42</v>
      </c>
      <c r="E1076" s="55">
        <v>0.7</v>
      </c>
      <c r="F1076" s="55">
        <v>9</v>
      </c>
      <c r="G1076" s="55">
        <v>1</v>
      </c>
      <c r="H1076" s="55">
        <v>11</v>
      </c>
      <c r="I1076" s="55">
        <v>0.2</v>
      </c>
      <c r="J1076" s="55">
        <v>12</v>
      </c>
      <c r="K1076" s="55">
        <v>74</v>
      </c>
      <c r="L1076" s="55">
        <v>0.09</v>
      </c>
      <c r="M1076" s="55"/>
      <c r="N1076" s="55"/>
      <c r="O1076" s="55"/>
      <c r="P1076" s="52"/>
    </row>
    <row r="1077" spans="1:16" ht="18" customHeight="1">
      <c r="A1077" s="47"/>
      <c r="B1077" s="48" t="s">
        <v>1915</v>
      </c>
      <c r="C1077" s="54"/>
      <c r="D1077" s="55">
        <v>230</v>
      </c>
      <c r="E1077" s="55">
        <v>0.7</v>
      </c>
      <c r="F1077" s="55">
        <v>9</v>
      </c>
      <c r="G1077" s="55">
        <v>1</v>
      </c>
      <c r="H1077" s="55">
        <v>11</v>
      </c>
      <c r="I1077" s="55">
        <v>0.2</v>
      </c>
      <c r="J1077" s="55">
        <v>12</v>
      </c>
      <c r="K1077" s="55">
        <v>74</v>
      </c>
      <c r="L1077" s="55">
        <v>0.09</v>
      </c>
      <c r="M1077" s="55"/>
      <c r="N1077" s="55"/>
      <c r="O1077" s="55"/>
      <c r="P1077" s="52"/>
    </row>
    <row r="1078" spans="1:16" ht="18" customHeight="1">
      <c r="A1078" s="47"/>
      <c r="B1078" s="48" t="s">
        <v>1682</v>
      </c>
      <c r="C1078" s="54"/>
      <c r="D1078" s="55">
        <v>42</v>
      </c>
      <c r="E1078" s="55">
        <v>0.7</v>
      </c>
      <c r="F1078" s="55">
        <v>16</v>
      </c>
      <c r="G1078" s="55">
        <v>1.5</v>
      </c>
      <c r="H1078" s="55">
        <v>11</v>
      </c>
      <c r="I1078" s="55">
        <v>0.2</v>
      </c>
      <c r="J1078" s="55">
        <v>12</v>
      </c>
      <c r="K1078" s="55">
        <v>74</v>
      </c>
      <c r="L1078" s="55">
        <v>0.09</v>
      </c>
      <c r="M1078" s="55"/>
      <c r="N1078" s="55"/>
      <c r="O1078" s="55"/>
      <c r="P1078" s="52"/>
    </row>
    <row r="1079" spans="1:16" ht="18" customHeight="1">
      <c r="A1079" s="47"/>
      <c r="B1079" s="48" t="s">
        <v>1409</v>
      </c>
      <c r="C1079" s="54"/>
      <c r="D1079" s="55">
        <v>42</v>
      </c>
      <c r="E1079" s="55">
        <v>0.7</v>
      </c>
      <c r="F1079" s="55">
        <v>16</v>
      </c>
      <c r="G1079" s="55">
        <v>1.5</v>
      </c>
      <c r="H1079" s="55">
        <v>11</v>
      </c>
      <c r="I1079" s="55">
        <v>0.2</v>
      </c>
      <c r="J1079" s="55">
        <v>12</v>
      </c>
      <c r="K1079" s="55">
        <v>74</v>
      </c>
      <c r="L1079" s="55">
        <v>0.09</v>
      </c>
      <c r="M1079" s="55"/>
      <c r="N1079" s="55"/>
      <c r="O1079" s="55"/>
      <c r="P1079" s="52"/>
    </row>
    <row r="1080" spans="1:16" ht="18" customHeight="1">
      <c r="A1080" s="47"/>
      <c r="B1080" s="48" t="s">
        <v>1410</v>
      </c>
      <c r="C1080" s="54"/>
      <c r="D1080" s="55">
        <v>42</v>
      </c>
      <c r="E1080" s="55">
        <v>0.7</v>
      </c>
      <c r="F1080" s="55">
        <v>14</v>
      </c>
      <c r="G1080" s="55">
        <v>1.5</v>
      </c>
      <c r="H1080" s="55">
        <v>11</v>
      </c>
      <c r="I1080" s="55">
        <v>0.2</v>
      </c>
      <c r="J1080" s="55">
        <v>12</v>
      </c>
      <c r="K1080" s="55">
        <v>74</v>
      </c>
      <c r="L1080" s="55">
        <v>0.09</v>
      </c>
      <c r="M1080" s="55"/>
      <c r="N1080" s="55"/>
      <c r="O1080" s="55"/>
      <c r="P1080" s="52"/>
    </row>
    <row r="1081" spans="1:16" ht="18" customHeight="1">
      <c r="A1081" s="47"/>
      <c r="B1081" s="48" t="s">
        <v>1411</v>
      </c>
      <c r="C1081" s="54"/>
      <c r="D1081" s="55">
        <v>38</v>
      </c>
      <c r="E1081" s="55">
        <v>0.5</v>
      </c>
      <c r="F1081" s="55">
        <v>12.4</v>
      </c>
      <c r="G1081" s="55">
        <v>1.6</v>
      </c>
      <c r="H1081" s="55">
        <v>13</v>
      </c>
      <c r="I1081" s="55">
        <v>0.2</v>
      </c>
      <c r="J1081" s="55">
        <v>14</v>
      </c>
      <c r="K1081" s="55">
        <v>72</v>
      </c>
      <c r="L1081" s="55">
        <v>7.0000000000000007E-2</v>
      </c>
      <c r="M1081" s="55"/>
      <c r="N1081" s="55"/>
      <c r="O1081" s="55"/>
      <c r="P1081" s="52"/>
    </row>
    <row r="1082" spans="1:16" ht="18" customHeight="1">
      <c r="A1082" s="47"/>
      <c r="B1082" s="48" t="s">
        <v>1412</v>
      </c>
      <c r="C1082" s="54"/>
      <c r="D1082" s="55">
        <v>24</v>
      </c>
      <c r="E1082" s="55">
        <v>0.4</v>
      </c>
      <c r="F1082" s="55">
        <v>12.4</v>
      </c>
      <c r="G1082" s="55">
        <v>1.8</v>
      </c>
      <c r="H1082" s="55">
        <v>7</v>
      </c>
      <c r="I1082" s="55">
        <v>0.1</v>
      </c>
      <c r="J1082" s="55">
        <v>2</v>
      </c>
      <c r="K1082" s="55">
        <v>0.04</v>
      </c>
      <c r="L1082" s="55">
        <v>0.02</v>
      </c>
      <c r="M1082" s="55"/>
      <c r="N1082" s="55"/>
      <c r="O1082" s="55"/>
      <c r="P1082" s="52"/>
    </row>
    <row r="1083" spans="1:16" ht="18" customHeight="1">
      <c r="A1083" s="47"/>
      <c r="B1083" s="48" t="s">
        <v>1994</v>
      </c>
      <c r="C1083" s="54"/>
      <c r="D1083" s="55">
        <v>24</v>
      </c>
      <c r="E1083" s="55">
        <v>0.4</v>
      </c>
      <c r="F1083" s="55">
        <v>12.4</v>
      </c>
      <c r="G1083" s="55">
        <v>1.8</v>
      </c>
      <c r="H1083" s="55">
        <v>7</v>
      </c>
      <c r="I1083" s="55">
        <v>0.1</v>
      </c>
      <c r="J1083" s="55">
        <v>2</v>
      </c>
      <c r="K1083" s="55">
        <v>0.04</v>
      </c>
      <c r="L1083" s="55">
        <v>0.02</v>
      </c>
      <c r="M1083" s="55"/>
      <c r="N1083" s="55"/>
      <c r="O1083" s="55"/>
      <c r="P1083" s="52"/>
    </row>
    <row r="1084" spans="1:16" ht="18" customHeight="1">
      <c r="A1084" s="47"/>
      <c r="B1084" s="48" t="s">
        <v>1413</v>
      </c>
      <c r="C1084" s="54"/>
      <c r="D1084" s="55">
        <v>26</v>
      </c>
      <c r="E1084" s="55">
        <v>0.2</v>
      </c>
      <c r="F1084" s="55">
        <v>12.4</v>
      </c>
      <c r="G1084" s="55">
        <v>3</v>
      </c>
      <c r="H1084" s="55">
        <v>10</v>
      </c>
      <c r="I1084" s="55">
        <v>0.2</v>
      </c>
      <c r="J1084" s="55">
        <v>2.5</v>
      </c>
      <c r="K1084" s="55">
        <v>0.04</v>
      </c>
      <c r="L1084" s="55">
        <v>0.02</v>
      </c>
      <c r="M1084" s="55"/>
      <c r="N1084" s="55">
        <v>6.2</v>
      </c>
      <c r="O1084" s="55"/>
      <c r="P1084" s="52"/>
    </row>
    <row r="1085" spans="1:16" ht="18" customHeight="1">
      <c r="A1085" s="47"/>
      <c r="B1085" s="48" t="s">
        <v>1414</v>
      </c>
      <c r="C1085" s="54" t="s">
        <v>1415</v>
      </c>
      <c r="D1085" s="55">
        <v>176</v>
      </c>
      <c r="E1085" s="55">
        <v>13</v>
      </c>
      <c r="F1085" s="55">
        <v>21</v>
      </c>
      <c r="G1085" s="55">
        <v>10.8</v>
      </c>
      <c r="H1085" s="55">
        <v>35.200000000000003</v>
      </c>
      <c r="I1085" s="55">
        <v>0.9</v>
      </c>
      <c r="J1085" s="55">
        <v>7.3</v>
      </c>
      <c r="K1085" s="55">
        <v>0.1</v>
      </c>
      <c r="L1085" s="55">
        <v>0.1</v>
      </c>
      <c r="M1085" s="55">
        <v>4.3</v>
      </c>
      <c r="N1085" s="55">
        <v>1</v>
      </c>
      <c r="O1085" s="55">
        <v>0</v>
      </c>
      <c r="P1085" s="52"/>
    </row>
    <row r="1086" spans="1:16" ht="18" customHeight="1">
      <c r="A1086" s="47"/>
      <c r="B1086" s="48" t="s">
        <v>1416</v>
      </c>
      <c r="C1086" s="54" t="s">
        <v>1415</v>
      </c>
      <c r="D1086" s="55">
        <v>176</v>
      </c>
      <c r="E1086" s="55">
        <v>13</v>
      </c>
      <c r="F1086" s="55">
        <v>9.3000000000000007</v>
      </c>
      <c r="G1086" s="55">
        <v>18.5</v>
      </c>
      <c r="H1086" s="55">
        <v>35.200000000000003</v>
      </c>
      <c r="I1086" s="55">
        <v>0.9</v>
      </c>
      <c r="J1086" s="55">
        <v>7.3</v>
      </c>
      <c r="K1086" s="55">
        <v>0.1</v>
      </c>
      <c r="L1086" s="55">
        <v>0.1</v>
      </c>
      <c r="M1086" s="55">
        <v>4.3</v>
      </c>
      <c r="N1086" s="55">
        <v>1</v>
      </c>
      <c r="O1086" s="55">
        <v>0</v>
      </c>
      <c r="P1086" s="52"/>
    </row>
    <row r="1087" spans="1:16" ht="18" customHeight="1">
      <c r="A1087" s="47"/>
      <c r="B1087" s="48" t="s">
        <v>2051</v>
      </c>
      <c r="C1087" s="54"/>
      <c r="D1087" s="55">
        <v>18</v>
      </c>
      <c r="E1087" s="55">
        <v>0.8</v>
      </c>
      <c r="F1087" s="55">
        <v>4.18</v>
      </c>
      <c r="G1087" s="55">
        <v>0.2</v>
      </c>
      <c r="H1087" s="55">
        <v>25</v>
      </c>
      <c r="I1087" s="55">
        <v>0.78</v>
      </c>
      <c r="J1087" s="55">
        <v>15</v>
      </c>
      <c r="K1087" s="55">
        <v>0.03</v>
      </c>
      <c r="L1087" s="55">
        <v>0.06</v>
      </c>
      <c r="M1087" s="55">
        <v>0.21</v>
      </c>
      <c r="N1087" s="55">
        <v>3.2</v>
      </c>
      <c r="O1087" s="55"/>
      <c r="P1087" s="52"/>
    </row>
    <row r="1088" spans="1:16" ht="18" customHeight="1">
      <c r="A1088" s="47"/>
      <c r="B1088" s="48" t="s">
        <v>1691</v>
      </c>
      <c r="C1088" s="54"/>
      <c r="D1088" s="55">
        <v>150</v>
      </c>
      <c r="E1088" s="55">
        <v>13</v>
      </c>
      <c r="F1088" s="55">
        <v>12.4</v>
      </c>
      <c r="G1088" s="55">
        <v>0.7</v>
      </c>
      <c r="H1088" s="55">
        <v>42</v>
      </c>
      <c r="I1088" s="55">
        <v>3</v>
      </c>
      <c r="J1088" s="55">
        <v>0</v>
      </c>
      <c r="K1088" s="55">
        <v>0.02</v>
      </c>
      <c r="L1088" s="55">
        <v>7.0000000000000007E-2</v>
      </c>
      <c r="M1088" s="55">
        <v>1.3</v>
      </c>
      <c r="N1088" s="55">
        <v>0</v>
      </c>
      <c r="O1088" s="55"/>
      <c r="P1088" s="52"/>
    </row>
    <row r="1089" spans="1:16" ht="18" customHeight="1">
      <c r="A1089" s="47"/>
      <c r="B1089" s="48" t="s">
        <v>1417</v>
      </c>
      <c r="C1089" s="54"/>
      <c r="D1089" s="55">
        <v>150</v>
      </c>
      <c r="E1089" s="55">
        <v>13</v>
      </c>
      <c r="F1089" s="55">
        <v>12.4</v>
      </c>
      <c r="G1089" s="55">
        <v>0.7</v>
      </c>
      <c r="H1089" s="55">
        <v>42</v>
      </c>
      <c r="I1089" s="55">
        <v>3</v>
      </c>
      <c r="J1089" s="55">
        <v>0</v>
      </c>
      <c r="K1089" s="55">
        <v>0.02</v>
      </c>
      <c r="L1089" s="55">
        <v>7.0000000000000007E-2</v>
      </c>
      <c r="M1089" s="55">
        <v>1.3</v>
      </c>
      <c r="N1089" s="55">
        <v>0</v>
      </c>
      <c r="O1089" s="55"/>
      <c r="P1089" s="52"/>
    </row>
    <row r="1090" spans="1:16" ht="18" customHeight="1">
      <c r="A1090" s="47"/>
      <c r="B1090" s="48" t="s">
        <v>1884</v>
      </c>
      <c r="C1090" s="54"/>
      <c r="D1090" s="55">
        <v>150</v>
      </c>
      <c r="E1090" s="55">
        <v>13</v>
      </c>
      <c r="F1090" s="55">
        <v>12.4</v>
      </c>
      <c r="G1090" s="55">
        <v>0.7</v>
      </c>
      <c r="H1090" s="55">
        <v>42</v>
      </c>
      <c r="I1090" s="55">
        <v>3</v>
      </c>
      <c r="J1090" s="55">
        <v>0</v>
      </c>
      <c r="K1090" s="55">
        <v>0.02</v>
      </c>
      <c r="L1090" s="55">
        <v>7.0000000000000007E-2</v>
      </c>
      <c r="M1090" s="55">
        <v>1.3</v>
      </c>
      <c r="N1090" s="55">
        <v>0</v>
      </c>
      <c r="O1090" s="55"/>
      <c r="P1090" s="52"/>
    </row>
    <row r="1091" spans="1:16" ht="18" customHeight="1">
      <c r="A1091" s="47"/>
      <c r="B1091" s="48" t="s">
        <v>1418</v>
      </c>
      <c r="C1091" s="54"/>
      <c r="D1091" s="55">
        <v>150</v>
      </c>
      <c r="E1091" s="55">
        <v>13</v>
      </c>
      <c r="F1091" s="55">
        <v>12.4</v>
      </c>
      <c r="G1091" s="55">
        <v>0.19</v>
      </c>
      <c r="H1091" s="55">
        <v>42</v>
      </c>
      <c r="I1091" s="55">
        <v>3</v>
      </c>
      <c r="J1091" s="55">
        <v>0</v>
      </c>
      <c r="K1091" s="55">
        <v>0.02</v>
      </c>
      <c r="L1091" s="55">
        <v>7.0000000000000007E-2</v>
      </c>
      <c r="M1091" s="55">
        <v>1.3</v>
      </c>
      <c r="N1091" s="55">
        <v>0</v>
      </c>
      <c r="O1091" s="55"/>
      <c r="P1091" s="52"/>
    </row>
    <row r="1092" spans="1:16" ht="18" customHeight="1">
      <c r="A1092" s="47"/>
      <c r="B1092" s="48" t="s">
        <v>1419</v>
      </c>
      <c r="C1092" s="54"/>
      <c r="D1092" s="55">
        <v>150</v>
      </c>
      <c r="E1092" s="55">
        <v>13</v>
      </c>
      <c r="F1092" s="55"/>
      <c r="G1092" s="55">
        <v>0.3</v>
      </c>
      <c r="H1092" s="55">
        <v>42</v>
      </c>
      <c r="I1092" s="55">
        <v>3</v>
      </c>
      <c r="J1092" s="55">
        <v>0</v>
      </c>
      <c r="K1092" s="55">
        <v>0.02</v>
      </c>
      <c r="L1092" s="55">
        <v>7.0000000000000007E-2</v>
      </c>
      <c r="M1092" s="55">
        <v>1.3</v>
      </c>
      <c r="N1092" s="55">
        <v>0</v>
      </c>
      <c r="O1092" s="55"/>
      <c r="P1092" s="52"/>
    </row>
    <row r="1093" spans="1:16" ht="18" customHeight="1">
      <c r="A1093" s="47"/>
      <c r="B1093" s="48" t="s">
        <v>1768</v>
      </c>
      <c r="C1093" s="54"/>
      <c r="D1093" s="55">
        <v>85</v>
      </c>
      <c r="E1093" s="55">
        <v>2</v>
      </c>
      <c r="F1093" s="55">
        <v>15</v>
      </c>
      <c r="G1093" s="55">
        <v>2</v>
      </c>
      <c r="H1093" s="55">
        <v>0</v>
      </c>
      <c r="I1093" s="55">
        <v>0</v>
      </c>
      <c r="J1093" s="55">
        <v>0</v>
      </c>
      <c r="K1093" s="55">
        <v>0</v>
      </c>
      <c r="L1093" s="55">
        <v>0</v>
      </c>
      <c r="M1093" s="55">
        <v>0</v>
      </c>
      <c r="N1093" s="55"/>
      <c r="O1093" s="55"/>
      <c r="P1093" s="52"/>
    </row>
    <row r="1094" spans="1:16" ht="18" customHeight="1">
      <c r="A1094" s="47"/>
      <c r="B1094" s="48" t="s">
        <v>1420</v>
      </c>
      <c r="C1094" s="54"/>
      <c r="D1094" s="55">
        <v>54</v>
      </c>
      <c r="E1094" s="55">
        <v>2.1</v>
      </c>
      <c r="F1094" s="55"/>
      <c r="G1094" s="55">
        <v>3.3</v>
      </c>
      <c r="H1094" s="55">
        <v>47</v>
      </c>
      <c r="I1094" s="55">
        <v>0.1</v>
      </c>
      <c r="J1094" s="55">
        <v>46.5</v>
      </c>
      <c r="K1094" s="55">
        <v>0.09</v>
      </c>
      <c r="L1094" s="55">
        <v>0.02</v>
      </c>
      <c r="M1094" s="55">
        <v>7.0000000000000007E-2</v>
      </c>
      <c r="N1094" s="55"/>
      <c r="O1094" s="55"/>
      <c r="P1094" s="52"/>
    </row>
    <row r="1095" spans="1:16" ht="18" customHeight="1">
      <c r="A1095" s="47"/>
      <c r="B1095" s="48" t="s">
        <v>1421</v>
      </c>
      <c r="C1095" s="54"/>
      <c r="D1095" s="55">
        <v>145</v>
      </c>
      <c r="E1095" s="55">
        <v>19</v>
      </c>
      <c r="F1095" s="55"/>
      <c r="G1095" s="55">
        <v>18</v>
      </c>
      <c r="H1095" s="55">
        <v>11</v>
      </c>
      <c r="I1095" s="55">
        <v>1</v>
      </c>
      <c r="J1095" s="55">
        <v>56</v>
      </c>
      <c r="K1095" s="55">
        <v>0.01</v>
      </c>
      <c r="L1095" s="55">
        <v>0.02</v>
      </c>
      <c r="M1095" s="55">
        <v>1</v>
      </c>
      <c r="N1095" s="55">
        <v>0</v>
      </c>
      <c r="O1095" s="55"/>
      <c r="P1095" s="52"/>
    </row>
    <row r="1096" spans="1:16" ht="18" customHeight="1">
      <c r="A1096" s="47"/>
      <c r="B1096" s="48" t="s">
        <v>1422</v>
      </c>
      <c r="C1096" s="54"/>
      <c r="D1096" s="55">
        <v>400</v>
      </c>
      <c r="E1096" s="55">
        <v>10.4</v>
      </c>
      <c r="F1096" s="55"/>
      <c r="G1096" s="55">
        <v>32</v>
      </c>
      <c r="H1096" s="55">
        <v>70</v>
      </c>
      <c r="I1096" s="55">
        <v>5.0999999999999996</v>
      </c>
      <c r="J1096" s="55">
        <v>31</v>
      </c>
      <c r="K1096" s="55">
        <v>0.12</v>
      </c>
      <c r="L1096" s="55">
        <v>0.1</v>
      </c>
      <c r="M1096" s="55">
        <v>1.2</v>
      </c>
      <c r="N1096" s="55">
        <v>0</v>
      </c>
      <c r="O1096" s="55"/>
      <c r="P1096" s="52"/>
    </row>
    <row r="1097" spans="1:16" ht="18" customHeight="1">
      <c r="A1097" s="47"/>
      <c r="B1097" s="48" t="s">
        <v>2189</v>
      </c>
      <c r="C1097" s="54"/>
      <c r="D1097" s="55">
        <v>180</v>
      </c>
      <c r="E1097" s="55">
        <v>8</v>
      </c>
      <c r="F1097" s="55">
        <v>14</v>
      </c>
      <c r="G1097" s="55">
        <v>10</v>
      </c>
      <c r="H1097" s="55"/>
      <c r="I1097" s="55"/>
      <c r="J1097" s="55"/>
      <c r="K1097" s="55"/>
      <c r="L1097" s="55"/>
      <c r="M1097" s="55"/>
      <c r="N1097" s="55"/>
      <c r="O1097" s="55"/>
      <c r="P1097" s="52"/>
    </row>
    <row r="1098" spans="1:16" ht="18" customHeight="1">
      <c r="A1098" s="47"/>
      <c r="B1098" s="48" t="s">
        <v>2190</v>
      </c>
      <c r="C1098" s="54"/>
      <c r="D1098" s="55">
        <v>600</v>
      </c>
      <c r="E1098" s="55">
        <v>20</v>
      </c>
      <c r="F1098" s="55">
        <v>20</v>
      </c>
      <c r="G1098" s="55">
        <v>48</v>
      </c>
      <c r="H1098" s="55"/>
      <c r="I1098" s="55"/>
      <c r="J1098" s="55"/>
      <c r="K1098" s="55"/>
      <c r="L1098" s="55"/>
      <c r="M1098" s="55"/>
      <c r="N1098" s="55"/>
      <c r="O1098" s="55"/>
      <c r="P1098" s="52"/>
    </row>
    <row r="1099" spans="1:16" ht="18" customHeight="1">
      <c r="A1099" s="47"/>
      <c r="B1099" s="48" t="s">
        <v>1423</v>
      </c>
      <c r="C1099" s="54"/>
      <c r="D1099" s="55">
        <v>98</v>
      </c>
      <c r="E1099" s="55">
        <v>4.51</v>
      </c>
      <c r="F1099" s="55"/>
      <c r="G1099" s="55">
        <v>0.3</v>
      </c>
      <c r="H1099" s="55">
        <v>113</v>
      </c>
      <c r="I1099" s="55">
        <v>8.3000000000000007</v>
      </c>
      <c r="J1099" s="55">
        <v>0</v>
      </c>
      <c r="K1099" s="55">
        <v>0.05</v>
      </c>
      <c r="L1099" s="55">
        <v>0.14000000000000001</v>
      </c>
      <c r="M1099" s="55">
        <v>0.6</v>
      </c>
      <c r="N1099" s="55">
        <v>15</v>
      </c>
      <c r="O1099" s="55"/>
      <c r="P1099" s="52"/>
    </row>
    <row r="1100" spans="1:16" ht="18" customHeight="1">
      <c r="A1100" s="47"/>
      <c r="B1100" s="48" t="s">
        <v>1168</v>
      </c>
      <c r="C1100" s="54"/>
      <c r="D1100" s="55">
        <v>13</v>
      </c>
      <c r="E1100" s="55">
        <v>1.5</v>
      </c>
      <c r="F1100" s="55">
        <v>2.78</v>
      </c>
      <c r="G1100" s="55">
        <v>0.19</v>
      </c>
      <c r="H1100" s="55">
        <v>75</v>
      </c>
      <c r="I1100" s="55">
        <v>0.8</v>
      </c>
      <c r="J1100" s="55">
        <v>120</v>
      </c>
      <c r="K1100" s="55">
        <v>0.05</v>
      </c>
      <c r="L1100" s="55">
        <v>0.08</v>
      </c>
      <c r="M1100" s="55">
        <v>0.4</v>
      </c>
      <c r="N1100" s="55">
        <v>24</v>
      </c>
      <c r="O1100" s="55">
        <v>0</v>
      </c>
      <c r="P1100" s="52"/>
    </row>
    <row r="1101" spans="1:16" ht="18" customHeight="1">
      <c r="A1101" s="47"/>
      <c r="B1101" s="48" t="s">
        <v>1424</v>
      </c>
      <c r="C1101" s="54"/>
      <c r="D1101" s="55">
        <v>244.4</v>
      </c>
      <c r="E1101" s="55">
        <v>15</v>
      </c>
      <c r="F1101" s="55"/>
      <c r="G1101" s="55">
        <v>0.84</v>
      </c>
      <c r="H1101" s="56">
        <v>13.3</v>
      </c>
      <c r="I1101" s="55">
        <v>1.6</v>
      </c>
      <c r="J1101" s="55">
        <v>37.299999999999997</v>
      </c>
      <c r="K1101" s="55">
        <v>0.3</v>
      </c>
      <c r="L1101" s="55">
        <v>0.1</v>
      </c>
      <c r="M1101" s="55"/>
      <c r="N1101" s="55">
        <v>2.2000000000000002</v>
      </c>
      <c r="O1101" s="55"/>
      <c r="P1101" s="52"/>
    </row>
    <row r="1102" spans="1:16" ht="18" customHeight="1">
      <c r="A1102" s="47"/>
      <c r="B1102" s="48" t="s">
        <v>1425</v>
      </c>
      <c r="C1102" s="54"/>
      <c r="D1102" s="55">
        <v>244.4</v>
      </c>
      <c r="E1102" s="55">
        <v>15</v>
      </c>
      <c r="F1102" s="55"/>
      <c r="G1102" s="55">
        <v>3.5</v>
      </c>
      <c r="H1102" s="56">
        <v>13.3</v>
      </c>
      <c r="I1102" s="55">
        <v>1.6</v>
      </c>
      <c r="J1102" s="55">
        <v>37.299999999999997</v>
      </c>
      <c r="K1102" s="55">
        <v>0.3</v>
      </c>
      <c r="L1102" s="55">
        <v>0.1</v>
      </c>
      <c r="M1102" s="55"/>
      <c r="N1102" s="55">
        <v>2.2000000000000002</v>
      </c>
      <c r="O1102" s="55"/>
      <c r="P1102" s="52"/>
    </row>
    <row r="1103" spans="1:16" ht="18" customHeight="1">
      <c r="A1103" s="47"/>
      <c r="B1103" s="48" t="s">
        <v>1426</v>
      </c>
      <c r="C1103" s="54"/>
      <c r="D1103" s="55">
        <v>120</v>
      </c>
      <c r="E1103" s="55">
        <v>3.83</v>
      </c>
      <c r="F1103" s="55"/>
      <c r="G1103" s="55">
        <v>1</v>
      </c>
      <c r="H1103" s="55">
        <v>10.84</v>
      </c>
      <c r="I1103" s="55">
        <v>1.2</v>
      </c>
      <c r="J1103" s="55">
        <v>16.100000000000001</v>
      </c>
      <c r="K1103" s="55">
        <v>7.0000000000000001E-3</v>
      </c>
      <c r="L1103" s="55">
        <v>7.0000000000000001E-3</v>
      </c>
      <c r="M1103" s="55">
        <v>0.02</v>
      </c>
      <c r="N1103" s="55">
        <v>1.92</v>
      </c>
      <c r="O1103" s="55"/>
      <c r="P1103" s="52"/>
    </row>
    <row r="1104" spans="1:16" ht="18" customHeight="1">
      <c r="A1104" s="47"/>
      <c r="B1104" s="48" t="s">
        <v>1427</v>
      </c>
      <c r="C1104" s="54"/>
      <c r="D1104" s="55">
        <v>120</v>
      </c>
      <c r="E1104" s="55">
        <v>3.83</v>
      </c>
      <c r="F1104" s="55"/>
      <c r="G1104" s="55">
        <v>6</v>
      </c>
      <c r="H1104" s="55">
        <v>10.84</v>
      </c>
      <c r="I1104" s="55">
        <v>1.2</v>
      </c>
      <c r="J1104" s="55">
        <v>16.100000000000001</v>
      </c>
      <c r="K1104" s="55">
        <v>7.0000000000000001E-3</v>
      </c>
      <c r="L1104" s="55">
        <v>7.0000000000000001E-3</v>
      </c>
      <c r="M1104" s="55">
        <v>0.02</v>
      </c>
      <c r="N1104" s="55">
        <v>1.92</v>
      </c>
      <c r="O1104" s="55"/>
      <c r="P1104" s="52"/>
    </row>
    <row r="1105" spans="1:16" ht="18" customHeight="1">
      <c r="A1105" s="47"/>
      <c r="B1105" s="48" t="s">
        <v>1428</v>
      </c>
      <c r="C1105" s="54"/>
      <c r="D1105" s="55">
        <v>120</v>
      </c>
      <c r="E1105" s="55">
        <v>3.83</v>
      </c>
      <c r="F1105" s="55"/>
      <c r="G1105" s="55">
        <v>16.399999999999999</v>
      </c>
      <c r="H1105" s="55">
        <v>10.84</v>
      </c>
      <c r="I1105" s="55">
        <v>1.2</v>
      </c>
      <c r="J1105" s="55">
        <v>16.100000000000001</v>
      </c>
      <c r="K1105" s="55">
        <v>7.0000000000000001E-3</v>
      </c>
      <c r="L1105" s="55">
        <v>7.0000000000000001E-3</v>
      </c>
      <c r="M1105" s="55">
        <v>0.02</v>
      </c>
      <c r="N1105" s="55">
        <v>1.92</v>
      </c>
      <c r="O1105" s="55"/>
      <c r="P1105" s="52"/>
    </row>
    <row r="1106" spans="1:16" ht="18" customHeight="1">
      <c r="A1106" s="47"/>
      <c r="B1106" s="48" t="s">
        <v>1429</v>
      </c>
      <c r="C1106" s="54"/>
      <c r="D1106" s="55">
        <v>120</v>
      </c>
      <c r="E1106" s="55">
        <v>3.83</v>
      </c>
      <c r="F1106" s="55">
        <v>7.8</v>
      </c>
      <c r="G1106" s="55">
        <v>1.56</v>
      </c>
      <c r="H1106" s="55">
        <v>10.84</v>
      </c>
      <c r="I1106" s="55">
        <v>1.2</v>
      </c>
      <c r="J1106" s="55">
        <v>16.100000000000001</v>
      </c>
      <c r="K1106" s="55">
        <v>7.0000000000000001E-3</v>
      </c>
      <c r="L1106" s="55">
        <v>7.0000000000000001E-3</v>
      </c>
      <c r="M1106" s="55">
        <v>0.02</v>
      </c>
      <c r="N1106" s="55">
        <v>1.92</v>
      </c>
      <c r="O1106" s="55"/>
      <c r="P1106" s="52"/>
    </row>
    <row r="1107" spans="1:16" ht="18" customHeight="1">
      <c r="A1107" s="47"/>
      <c r="B1107" s="48" t="s">
        <v>1430</v>
      </c>
      <c r="C1107" s="54"/>
      <c r="D1107" s="55">
        <v>97.5</v>
      </c>
      <c r="E1107" s="55">
        <v>3.5</v>
      </c>
      <c r="F1107" s="55"/>
      <c r="G1107" s="55">
        <v>5</v>
      </c>
      <c r="H1107" s="55">
        <v>20.399999999999999</v>
      </c>
      <c r="I1107" s="55">
        <v>1.5</v>
      </c>
      <c r="J1107" s="55">
        <v>15.5</v>
      </c>
      <c r="K1107" s="55">
        <v>7.0000000000000001E-3</v>
      </c>
      <c r="L1107" s="55">
        <v>7.0000000000000001E-3</v>
      </c>
      <c r="M1107" s="55">
        <v>0.02</v>
      </c>
      <c r="N1107" s="55">
        <v>1.92</v>
      </c>
      <c r="O1107" s="55"/>
      <c r="P1107" s="52"/>
    </row>
    <row r="1108" spans="1:16" ht="18" customHeight="1">
      <c r="A1108" s="47"/>
      <c r="B1108" s="48" t="s">
        <v>1800</v>
      </c>
      <c r="C1108" s="54"/>
      <c r="D1108" s="55">
        <v>96</v>
      </c>
      <c r="E1108" s="55">
        <v>10.199999999999999</v>
      </c>
      <c r="F1108" s="55"/>
      <c r="G1108" s="55">
        <v>2.2000000000000002</v>
      </c>
      <c r="H1108" s="55">
        <v>14</v>
      </c>
      <c r="I1108" s="55">
        <v>1.2</v>
      </c>
      <c r="J1108" s="55">
        <v>0</v>
      </c>
      <c r="K1108" s="55">
        <v>0.02</v>
      </c>
      <c r="L1108" s="55">
        <v>7.0000000000000001E-3</v>
      </c>
      <c r="M1108" s="55">
        <v>0.1</v>
      </c>
      <c r="N1108" s="55">
        <v>1</v>
      </c>
      <c r="O1108" s="55"/>
      <c r="P1108" s="52"/>
    </row>
    <row r="1109" spans="1:16" ht="18" customHeight="1">
      <c r="A1109" s="47"/>
      <c r="B1109" s="48" t="s">
        <v>1431</v>
      </c>
      <c r="C1109" s="54"/>
      <c r="D1109" s="55">
        <v>100</v>
      </c>
      <c r="E1109" s="55">
        <v>2.14</v>
      </c>
      <c r="F1109" s="55"/>
      <c r="G1109" s="55">
        <v>8.5</v>
      </c>
      <c r="H1109" s="55">
        <v>10.84</v>
      </c>
      <c r="I1109" s="55">
        <v>1.2</v>
      </c>
      <c r="J1109" s="55">
        <v>16.100000000000001</v>
      </c>
      <c r="K1109" s="55">
        <v>7.0000000000000001E-3</v>
      </c>
      <c r="L1109" s="55">
        <v>7.0000000000000001E-3</v>
      </c>
      <c r="M1109" s="55">
        <v>0.02</v>
      </c>
      <c r="N1109" s="55">
        <v>1.92</v>
      </c>
      <c r="O1109" s="55"/>
      <c r="P1109" s="52"/>
    </row>
    <row r="1110" spans="1:16" ht="18" customHeight="1">
      <c r="A1110" s="47"/>
      <c r="B1110" s="48" t="s">
        <v>1432</v>
      </c>
      <c r="C1110" s="54"/>
      <c r="D1110" s="55">
        <v>246</v>
      </c>
      <c r="E1110" s="55">
        <v>17.399999999999999</v>
      </c>
      <c r="F1110" s="55">
        <v>0</v>
      </c>
      <c r="G1110" s="55">
        <v>3.48</v>
      </c>
      <c r="H1110" s="55">
        <v>22</v>
      </c>
      <c r="I1110" s="55">
        <v>1.5</v>
      </c>
      <c r="J1110" s="55">
        <v>6</v>
      </c>
      <c r="K1110" s="55">
        <v>7.0000000000000007E-2</v>
      </c>
      <c r="L1110" s="55">
        <v>0.15</v>
      </c>
      <c r="M1110" s="55">
        <v>0.15</v>
      </c>
      <c r="N1110" s="55">
        <v>0</v>
      </c>
      <c r="O1110" s="55"/>
      <c r="P1110" s="52"/>
    </row>
    <row r="1111" spans="1:16" ht="18" customHeight="1">
      <c r="A1111" s="47"/>
      <c r="B1111" s="48" t="s">
        <v>1748</v>
      </c>
      <c r="C1111" s="54"/>
      <c r="D1111" s="55">
        <v>169</v>
      </c>
      <c r="E1111" s="55">
        <v>13</v>
      </c>
      <c r="F1111" s="55">
        <v>11.9</v>
      </c>
      <c r="G1111" s="55">
        <v>22.4</v>
      </c>
      <c r="H1111" s="55">
        <v>8</v>
      </c>
      <c r="I1111" s="55">
        <v>1.5</v>
      </c>
      <c r="J1111" s="55">
        <v>2.37</v>
      </c>
      <c r="K1111" s="55">
        <v>0.04</v>
      </c>
      <c r="L1111" s="55">
        <v>0.05</v>
      </c>
      <c r="M1111" s="55">
        <v>0.5</v>
      </c>
      <c r="N1111" s="55">
        <v>0.68</v>
      </c>
      <c r="O1111" s="55"/>
      <c r="P1111" s="52"/>
    </row>
    <row r="1112" spans="1:16" ht="18" customHeight="1">
      <c r="A1112" s="47"/>
      <c r="B1112" s="48" t="s">
        <v>2100</v>
      </c>
      <c r="C1112" s="54"/>
      <c r="D1112" s="55">
        <v>40</v>
      </c>
      <c r="E1112" s="55">
        <v>0</v>
      </c>
      <c r="F1112" s="55">
        <v>10</v>
      </c>
      <c r="G1112" s="55">
        <v>0</v>
      </c>
      <c r="H1112" s="55"/>
      <c r="I1112" s="55"/>
      <c r="J1112" s="55"/>
      <c r="K1112" s="55"/>
      <c r="L1112" s="55"/>
      <c r="M1112" s="55"/>
      <c r="N1112" s="55"/>
      <c r="O1112" s="55"/>
      <c r="P1112" s="52"/>
    </row>
    <row r="1113" spans="1:16" ht="18" customHeight="1">
      <c r="A1113" s="47"/>
      <c r="B1113" s="48" t="s">
        <v>25</v>
      </c>
      <c r="C1113" s="54"/>
      <c r="D1113" s="55">
        <v>124</v>
      </c>
      <c r="E1113" s="55">
        <v>13</v>
      </c>
      <c r="F1113" s="55">
        <v>11.9</v>
      </c>
      <c r="G1113" s="55">
        <v>22.4</v>
      </c>
      <c r="H1113" s="55">
        <v>8</v>
      </c>
      <c r="I1113" s="55">
        <v>1.5</v>
      </c>
      <c r="J1113" s="55">
        <v>2.37</v>
      </c>
      <c r="K1113" s="55">
        <v>0.04</v>
      </c>
      <c r="L1113" s="55">
        <v>0.05</v>
      </c>
      <c r="M1113" s="55">
        <v>0.5</v>
      </c>
      <c r="N1113" s="55">
        <v>0.68</v>
      </c>
      <c r="O1113" s="55"/>
      <c r="P1113" s="52"/>
    </row>
    <row r="1114" spans="1:16" ht="18" customHeight="1">
      <c r="A1114" s="47"/>
      <c r="B1114" s="48" t="s">
        <v>1433</v>
      </c>
      <c r="C1114" s="54"/>
      <c r="D1114" s="55">
        <v>50</v>
      </c>
      <c r="E1114" s="55">
        <v>0</v>
      </c>
      <c r="F1114" s="55">
        <v>11.4</v>
      </c>
      <c r="G1114" s="55">
        <v>0.1</v>
      </c>
      <c r="H1114" s="55">
        <v>5</v>
      </c>
      <c r="I1114" s="55">
        <v>0.1</v>
      </c>
      <c r="J1114" s="55"/>
      <c r="K1114" s="55"/>
      <c r="L1114" s="55"/>
      <c r="M1114" s="55">
        <v>15</v>
      </c>
      <c r="N1114" s="55"/>
      <c r="O1114" s="55"/>
      <c r="P1114" s="52"/>
    </row>
    <row r="1115" spans="1:16" ht="18" customHeight="1">
      <c r="A1115" s="47"/>
      <c r="B1115" s="48" t="s">
        <v>1434</v>
      </c>
      <c r="C1115" s="54"/>
      <c r="D1115" s="55">
        <v>82</v>
      </c>
      <c r="E1115" s="55">
        <v>2.5</v>
      </c>
      <c r="F1115" s="55">
        <v>12.1</v>
      </c>
      <c r="G1115" s="55">
        <v>3.6</v>
      </c>
      <c r="H1115" s="55">
        <v>86</v>
      </c>
      <c r="I1115" s="55">
        <v>0.1</v>
      </c>
      <c r="J1115" s="55">
        <v>25</v>
      </c>
      <c r="K1115" s="55">
        <v>0.03</v>
      </c>
      <c r="L1115" s="55">
        <v>0.13</v>
      </c>
      <c r="M1115" s="55">
        <v>0.1</v>
      </c>
      <c r="N1115" s="55">
        <v>2</v>
      </c>
      <c r="O1115" s="55">
        <v>0</v>
      </c>
      <c r="P1115" s="52"/>
    </row>
    <row r="1116" spans="1:16" ht="18" customHeight="1">
      <c r="A1116" s="47"/>
      <c r="B1116" s="48" t="s">
        <v>1435</v>
      </c>
      <c r="C1116" s="54"/>
      <c r="D1116" s="55">
        <v>216</v>
      </c>
      <c r="E1116" s="55">
        <v>13</v>
      </c>
      <c r="F1116" s="55">
        <v>21</v>
      </c>
      <c r="G1116" s="55">
        <v>5.6</v>
      </c>
      <c r="H1116" s="55">
        <v>9.31</v>
      </c>
      <c r="I1116" s="55">
        <v>2</v>
      </c>
      <c r="J1116" s="55">
        <v>10.98</v>
      </c>
      <c r="K1116" s="55">
        <v>8.0000000000000002E-3</v>
      </c>
      <c r="L1116" s="55">
        <v>0</v>
      </c>
      <c r="M1116" s="55">
        <v>0</v>
      </c>
      <c r="N1116" s="55">
        <v>0</v>
      </c>
      <c r="O1116" s="55"/>
      <c r="P1116" s="52"/>
    </row>
    <row r="1117" spans="1:16" ht="18" customHeight="1">
      <c r="A1117" s="47"/>
      <c r="B1117" s="48" t="s">
        <v>2101</v>
      </c>
      <c r="C1117" s="54"/>
      <c r="D1117" s="55">
        <v>106</v>
      </c>
      <c r="E1117" s="55">
        <v>18</v>
      </c>
      <c r="F1117" s="55">
        <v>4</v>
      </c>
      <c r="G1117" s="55">
        <v>2</v>
      </c>
      <c r="H1117" s="55"/>
      <c r="I1117" s="55"/>
      <c r="J1117" s="55"/>
      <c r="K1117" s="55"/>
      <c r="L1117" s="55"/>
      <c r="M1117" s="55"/>
      <c r="N1117" s="55"/>
      <c r="O1117" s="55"/>
      <c r="P1117" s="52"/>
    </row>
    <row r="1118" spans="1:16" ht="18" customHeight="1">
      <c r="A1118" s="47"/>
      <c r="B1118" s="48" t="s">
        <v>1436</v>
      </c>
      <c r="C1118" s="54"/>
      <c r="D1118" s="55">
        <v>378</v>
      </c>
      <c r="E1118" s="55">
        <v>34.299999999999997</v>
      </c>
      <c r="F1118" s="55">
        <v>29</v>
      </c>
      <c r="G1118" s="55">
        <v>0.6</v>
      </c>
      <c r="H1118" s="55">
        <v>224</v>
      </c>
      <c r="I1118" s="55">
        <v>7.8</v>
      </c>
      <c r="J1118" s="55">
        <v>0</v>
      </c>
      <c r="K1118" s="55">
        <v>0.34</v>
      </c>
      <c r="L1118" s="55">
        <v>0.22</v>
      </c>
      <c r="M1118" s="55">
        <v>1.9</v>
      </c>
      <c r="N1118" s="55">
        <v>0</v>
      </c>
      <c r="O1118" s="55">
        <v>0</v>
      </c>
      <c r="P1118" s="52"/>
    </row>
    <row r="1119" spans="1:16" ht="18" customHeight="1">
      <c r="A1119" s="47"/>
      <c r="B1119" s="48" t="s">
        <v>1437</v>
      </c>
      <c r="C1119" s="54"/>
      <c r="D1119" s="55">
        <v>196.83</v>
      </c>
      <c r="E1119" s="55">
        <v>1.6</v>
      </c>
      <c r="F1119" s="55">
        <v>37.65</v>
      </c>
      <c r="G1119" s="55">
        <v>10.1</v>
      </c>
      <c r="H1119" s="55">
        <v>32.53</v>
      </c>
      <c r="I1119" s="55">
        <v>0</v>
      </c>
      <c r="J1119" s="55">
        <v>18.899999999999999</v>
      </c>
      <c r="K1119" s="55">
        <v>0.12</v>
      </c>
      <c r="L1119" s="55">
        <v>0.06</v>
      </c>
      <c r="M1119" s="55">
        <v>0</v>
      </c>
      <c r="N1119" s="55">
        <v>0</v>
      </c>
      <c r="O1119" s="55">
        <v>0</v>
      </c>
      <c r="P1119" s="52"/>
    </row>
    <row r="1120" spans="1:16" ht="18" customHeight="1">
      <c r="A1120" s="47"/>
      <c r="B1120" s="48" t="s">
        <v>1438</v>
      </c>
      <c r="C1120" s="54"/>
      <c r="D1120" s="55">
        <v>150</v>
      </c>
      <c r="E1120" s="55">
        <v>5.9</v>
      </c>
      <c r="F1120" s="55">
        <v>12.3</v>
      </c>
      <c r="G1120" s="55">
        <v>12.4</v>
      </c>
      <c r="H1120" s="55">
        <v>7.92</v>
      </c>
      <c r="I1120" s="55">
        <v>1</v>
      </c>
      <c r="J1120" s="55">
        <v>0</v>
      </c>
      <c r="K1120" s="55">
        <v>0.02</v>
      </c>
      <c r="L1120" s="55">
        <v>0.02</v>
      </c>
      <c r="M1120" s="55">
        <v>2.19</v>
      </c>
      <c r="N1120" s="55"/>
      <c r="O1120" s="55"/>
      <c r="P1120" s="52"/>
    </row>
    <row r="1121" spans="1:16" ht="18" customHeight="1">
      <c r="A1121" s="47"/>
      <c r="B1121" s="48" t="s">
        <v>1439</v>
      </c>
      <c r="C1121" s="54"/>
      <c r="D1121" s="55">
        <v>132</v>
      </c>
      <c r="E1121" s="55">
        <v>5</v>
      </c>
      <c r="F1121" s="55">
        <v>12.3</v>
      </c>
      <c r="G1121" s="55">
        <v>5.4</v>
      </c>
      <c r="H1121" s="55">
        <v>120</v>
      </c>
      <c r="I1121" s="55">
        <v>1.5</v>
      </c>
      <c r="J1121" s="55">
        <v>0</v>
      </c>
      <c r="K1121" s="55">
        <v>0.04</v>
      </c>
      <c r="L1121" s="55">
        <v>7.0000000000000007E-2</v>
      </c>
      <c r="M1121" s="55">
        <v>0.7</v>
      </c>
      <c r="N1121" s="55">
        <v>0</v>
      </c>
      <c r="O1121" s="55">
        <v>5</v>
      </c>
      <c r="P1121" s="52"/>
    </row>
    <row r="1122" spans="1:16" ht="18" customHeight="1">
      <c r="A1122" s="47"/>
      <c r="B1122" s="48" t="s">
        <v>1440</v>
      </c>
      <c r="C1122" s="54"/>
      <c r="D1122" s="55">
        <v>300</v>
      </c>
      <c r="E1122" s="55">
        <v>8.6</v>
      </c>
      <c r="F1122" s="55">
        <v>0</v>
      </c>
      <c r="G1122" s="55">
        <v>9.9</v>
      </c>
      <c r="H1122" s="55">
        <v>241</v>
      </c>
      <c r="I1122" s="55">
        <v>4.5</v>
      </c>
      <c r="J1122" s="55">
        <v>117</v>
      </c>
      <c r="K1122" s="55">
        <v>0.05</v>
      </c>
      <c r="L1122" s="55">
        <v>0.15</v>
      </c>
      <c r="M1122" s="55">
        <v>4.5999999999999996</v>
      </c>
      <c r="N1122" s="55">
        <v>0</v>
      </c>
      <c r="O1122" s="55">
        <v>0</v>
      </c>
      <c r="P1122" s="52"/>
    </row>
    <row r="1123" spans="1:16" ht="18" customHeight="1">
      <c r="A1123" s="47"/>
      <c r="B1123" s="48" t="s">
        <v>1441</v>
      </c>
      <c r="C1123" s="54"/>
      <c r="D1123" s="55">
        <v>11</v>
      </c>
      <c r="E1123" s="55">
        <v>1.8</v>
      </c>
      <c r="F1123" s="55">
        <v>2.8</v>
      </c>
      <c r="G1123" s="55">
        <v>0.16</v>
      </c>
      <c r="H1123" s="55">
        <v>105</v>
      </c>
      <c r="I1123" s="55">
        <v>0.9</v>
      </c>
      <c r="J1123" s="55">
        <v>100</v>
      </c>
      <c r="K1123" s="55">
        <v>0.08</v>
      </c>
      <c r="L1123" s="55">
        <v>0.15</v>
      </c>
      <c r="M1123" s="55">
        <v>0.4</v>
      </c>
      <c r="N1123" s="55">
        <v>41</v>
      </c>
      <c r="O1123" s="55">
        <v>18</v>
      </c>
      <c r="P1123" s="52"/>
    </row>
    <row r="1124" spans="1:16" ht="18" customHeight="1">
      <c r="A1124" s="47"/>
      <c r="B1124" s="48" t="s">
        <v>1442</v>
      </c>
      <c r="C1124" s="54"/>
      <c r="D1124" s="55">
        <v>11</v>
      </c>
      <c r="E1124" s="55">
        <v>1.8</v>
      </c>
      <c r="F1124" s="55">
        <v>3.82</v>
      </c>
      <c r="G1124" s="55">
        <v>0.16</v>
      </c>
      <c r="H1124" s="55">
        <v>105</v>
      </c>
      <c r="I1124" s="55">
        <v>0.9</v>
      </c>
      <c r="J1124" s="55">
        <v>100</v>
      </c>
      <c r="K1124" s="55">
        <v>0.08</v>
      </c>
      <c r="L1124" s="55">
        <v>0.15</v>
      </c>
      <c r="M1124" s="55">
        <v>0.4</v>
      </c>
      <c r="N1124" s="55">
        <v>41</v>
      </c>
      <c r="O1124" s="55">
        <v>18</v>
      </c>
      <c r="P1124" s="52"/>
    </row>
    <row r="1125" spans="1:16" ht="18" customHeight="1">
      <c r="A1125" s="47"/>
      <c r="B1125" s="48" t="s">
        <v>1443</v>
      </c>
      <c r="C1125" s="54"/>
      <c r="D1125" s="55">
        <v>11</v>
      </c>
      <c r="E1125" s="55">
        <v>1.8</v>
      </c>
      <c r="F1125" s="55">
        <v>3.82</v>
      </c>
      <c r="G1125" s="55">
        <v>0.5</v>
      </c>
      <c r="H1125" s="55">
        <v>105</v>
      </c>
      <c r="I1125" s="55">
        <v>0.9</v>
      </c>
      <c r="J1125" s="55">
        <v>100</v>
      </c>
      <c r="K1125" s="55">
        <v>0.08</v>
      </c>
      <c r="L1125" s="55">
        <v>0.15</v>
      </c>
      <c r="M1125" s="55">
        <v>0.4</v>
      </c>
      <c r="N1125" s="55">
        <v>41</v>
      </c>
      <c r="O1125" s="55">
        <v>18</v>
      </c>
      <c r="P1125" s="52"/>
    </row>
    <row r="1126" spans="1:16" ht="18" customHeight="1">
      <c r="A1126" s="47"/>
      <c r="B1126" s="48" t="s">
        <v>1444</v>
      </c>
      <c r="C1126" s="54"/>
      <c r="D1126" s="55">
        <v>295</v>
      </c>
      <c r="E1126" s="55">
        <v>25</v>
      </c>
      <c r="F1126" s="55">
        <v>35.799999999999997</v>
      </c>
      <c r="G1126" s="55">
        <v>1</v>
      </c>
      <c r="H1126" s="55">
        <v>35</v>
      </c>
      <c r="I1126" s="55">
        <v>3</v>
      </c>
      <c r="J1126" s="55">
        <v>0</v>
      </c>
      <c r="K1126" s="55">
        <v>0.12</v>
      </c>
      <c r="L1126" s="55">
        <v>0.28999999999999998</v>
      </c>
      <c r="M1126" s="55">
        <v>0.97</v>
      </c>
      <c r="N1126" s="55">
        <v>0</v>
      </c>
      <c r="O1126" s="55">
        <v>0</v>
      </c>
      <c r="P1126" s="52"/>
    </row>
    <row r="1127" spans="1:16" ht="18" customHeight="1">
      <c r="A1127" s="47"/>
      <c r="B1127" s="48" t="s">
        <v>1445</v>
      </c>
      <c r="C1127" s="54"/>
      <c r="D1127" s="55">
        <v>180</v>
      </c>
      <c r="E1127" s="55">
        <v>10.6</v>
      </c>
      <c r="F1127" s="55">
        <v>5</v>
      </c>
      <c r="G1127" s="55">
        <v>22.4</v>
      </c>
      <c r="H1127" s="55">
        <v>4.96</v>
      </c>
      <c r="I1127" s="55">
        <v>2</v>
      </c>
      <c r="J1127" s="55">
        <v>140</v>
      </c>
      <c r="K1127" s="55">
        <v>0.16</v>
      </c>
      <c r="L1127" s="55">
        <v>0.12</v>
      </c>
      <c r="M1127" s="55">
        <v>1.38</v>
      </c>
      <c r="N1127" s="55">
        <v>1.2</v>
      </c>
      <c r="O1127" s="55"/>
      <c r="P1127" s="52"/>
    </row>
    <row r="1128" spans="1:16" ht="18" customHeight="1">
      <c r="A1128" s="47"/>
      <c r="B1128" s="48" t="s">
        <v>16</v>
      </c>
      <c r="C1128" s="54" t="s">
        <v>1446</v>
      </c>
      <c r="D1128" s="55">
        <v>170</v>
      </c>
      <c r="E1128" s="55">
        <v>10.4</v>
      </c>
      <c r="F1128" s="55">
        <v>0.2</v>
      </c>
      <c r="G1128" s="55">
        <v>3.48</v>
      </c>
      <c r="H1128" s="55">
        <v>196</v>
      </c>
      <c r="I1128" s="55">
        <v>3.1</v>
      </c>
      <c r="J1128" s="55">
        <v>6</v>
      </c>
      <c r="K1128" s="55">
        <v>0.16</v>
      </c>
      <c r="L1128" s="55">
        <v>26.1</v>
      </c>
      <c r="M1128" s="55">
        <v>2</v>
      </c>
      <c r="N1128" s="55">
        <v>0</v>
      </c>
      <c r="O1128" s="55">
        <v>0</v>
      </c>
      <c r="P1128" s="52"/>
    </row>
    <row r="1129" spans="1:16" ht="18" customHeight="1">
      <c r="A1129" s="47"/>
      <c r="B1129" s="48" t="s">
        <v>1447</v>
      </c>
      <c r="C1129" s="54"/>
      <c r="D1129" s="55">
        <v>21</v>
      </c>
      <c r="E1129" s="55">
        <v>1.9</v>
      </c>
      <c r="F1129" s="55">
        <v>1.88</v>
      </c>
      <c r="G1129" s="55">
        <v>0.09</v>
      </c>
      <c r="H1129" s="55">
        <v>76</v>
      </c>
      <c r="I1129" s="55">
        <v>0.5</v>
      </c>
      <c r="J1129" s="55">
        <v>123</v>
      </c>
      <c r="K1129" s="55">
        <v>0.02</v>
      </c>
      <c r="L1129" s="55">
        <v>0.09</v>
      </c>
      <c r="M1129" s="55">
        <v>1.02</v>
      </c>
      <c r="N1129" s="55">
        <v>4</v>
      </c>
      <c r="O1129" s="55">
        <v>22</v>
      </c>
      <c r="P1129" s="52"/>
    </row>
    <row r="1130" spans="1:16" ht="18" customHeight="1">
      <c r="A1130" s="47"/>
      <c r="B1130" s="48" t="s">
        <v>1448</v>
      </c>
      <c r="C1130" s="54"/>
      <c r="D1130" s="55">
        <v>250</v>
      </c>
      <c r="E1130" s="55">
        <v>20</v>
      </c>
      <c r="F1130" s="55">
        <v>10.9</v>
      </c>
      <c r="G1130" s="55">
        <v>0.7</v>
      </c>
      <c r="H1130" s="55">
        <v>35</v>
      </c>
      <c r="I1130" s="55">
        <v>3</v>
      </c>
      <c r="J1130" s="55">
        <v>0</v>
      </c>
      <c r="K1130" s="55">
        <v>0.06</v>
      </c>
      <c r="L1130" s="55">
        <v>0.03</v>
      </c>
      <c r="M1130" s="55">
        <v>1.3</v>
      </c>
      <c r="N1130" s="55">
        <v>0</v>
      </c>
      <c r="O1130" s="55">
        <v>0</v>
      </c>
      <c r="P1130" s="52"/>
    </row>
    <row r="1131" spans="1:16" ht="18" customHeight="1">
      <c r="A1131" s="47"/>
      <c r="B1131" s="48" t="s">
        <v>1449</v>
      </c>
      <c r="C1131" s="54"/>
      <c r="D1131" s="55">
        <v>112</v>
      </c>
      <c r="E1131" s="55">
        <v>5</v>
      </c>
      <c r="F1131" s="55"/>
      <c r="G1131" s="55">
        <v>4.8</v>
      </c>
      <c r="H1131" s="55">
        <v>218</v>
      </c>
      <c r="I1131" s="55">
        <v>0.8</v>
      </c>
      <c r="J1131" s="55">
        <v>0</v>
      </c>
      <c r="K1131" s="55">
        <v>0.03</v>
      </c>
      <c r="L1131" s="55">
        <v>0.05</v>
      </c>
      <c r="M1131" s="55">
        <v>0.02</v>
      </c>
      <c r="N1131" s="55">
        <v>0</v>
      </c>
      <c r="O1131" s="55">
        <v>0</v>
      </c>
      <c r="P1131" s="52"/>
    </row>
    <row r="1132" spans="1:16" ht="18" customHeight="1">
      <c r="A1132" s="47"/>
      <c r="B1132" s="48" t="s">
        <v>1653</v>
      </c>
      <c r="C1132" s="54"/>
      <c r="D1132" s="55">
        <v>150</v>
      </c>
      <c r="E1132" s="55">
        <v>8.4</v>
      </c>
      <c r="F1132" s="55">
        <v>8.4</v>
      </c>
      <c r="G1132" s="55">
        <v>12.7</v>
      </c>
      <c r="H1132" s="55">
        <v>4.96</v>
      </c>
      <c r="I1132" s="55">
        <v>1.25</v>
      </c>
      <c r="J1132" s="55">
        <v>2.37</v>
      </c>
      <c r="K1132" s="55">
        <v>0.06</v>
      </c>
      <c r="L1132" s="55">
        <v>0.09</v>
      </c>
      <c r="M1132" s="55">
        <v>1.5</v>
      </c>
      <c r="N1132" s="55">
        <v>0.5</v>
      </c>
      <c r="O1132" s="55"/>
      <c r="P1132" s="52"/>
    </row>
    <row r="1133" spans="1:16" ht="18" customHeight="1">
      <c r="A1133" s="47"/>
      <c r="B1133" s="48" t="s">
        <v>1450</v>
      </c>
      <c r="C1133" s="54"/>
      <c r="D1133" s="55">
        <v>150</v>
      </c>
      <c r="E1133" s="55">
        <v>8.4</v>
      </c>
      <c r="F1133" s="55">
        <v>5</v>
      </c>
      <c r="G1133" s="55">
        <v>17.5</v>
      </c>
      <c r="H1133" s="55">
        <v>4.96</v>
      </c>
      <c r="I1133" s="55">
        <v>1.25</v>
      </c>
      <c r="J1133" s="55">
        <v>2.37</v>
      </c>
      <c r="K1133" s="55">
        <v>0.06</v>
      </c>
      <c r="L1133" s="55">
        <v>0.09</v>
      </c>
      <c r="M1133" s="55">
        <v>1.5</v>
      </c>
      <c r="N1133" s="55">
        <v>0.5</v>
      </c>
      <c r="O1133" s="55"/>
      <c r="P1133" s="52"/>
    </row>
    <row r="1134" spans="1:16" ht="18" customHeight="1">
      <c r="A1134" s="47"/>
      <c r="B1134" s="48" t="s">
        <v>1451</v>
      </c>
      <c r="C1134" s="54"/>
      <c r="D1134" s="55">
        <v>150</v>
      </c>
      <c r="E1134" s="55">
        <v>8.4</v>
      </c>
      <c r="F1134" s="55"/>
      <c r="G1134" s="55">
        <v>0.3</v>
      </c>
      <c r="H1134" s="55">
        <v>4.96</v>
      </c>
      <c r="I1134" s="55">
        <v>1.25</v>
      </c>
      <c r="J1134" s="55">
        <v>2.37</v>
      </c>
      <c r="K1134" s="55">
        <v>0.06</v>
      </c>
      <c r="L1134" s="55">
        <v>0.09</v>
      </c>
      <c r="M1134" s="55">
        <v>1.5</v>
      </c>
      <c r="N1134" s="55">
        <v>0.5</v>
      </c>
      <c r="O1134" s="55"/>
      <c r="P1134" s="52"/>
    </row>
    <row r="1135" spans="1:16" ht="18" customHeight="1">
      <c r="A1135" s="47"/>
      <c r="B1135" s="48" t="s">
        <v>1452</v>
      </c>
      <c r="C1135" s="54"/>
      <c r="D1135" s="55">
        <v>85</v>
      </c>
      <c r="E1135" s="55">
        <v>1</v>
      </c>
      <c r="F1135" s="55"/>
      <c r="G1135" s="55">
        <v>9.4</v>
      </c>
      <c r="H1135" s="55">
        <v>34</v>
      </c>
      <c r="I1135" s="55">
        <v>2.9</v>
      </c>
      <c r="J1135" s="55">
        <v>120</v>
      </c>
      <c r="K1135" s="55">
        <v>0.1</v>
      </c>
      <c r="L1135" s="55">
        <v>0.02</v>
      </c>
      <c r="M1135" s="55">
        <v>0.03</v>
      </c>
      <c r="N1135" s="55">
        <v>7.1</v>
      </c>
      <c r="O1135" s="55">
        <v>0</v>
      </c>
      <c r="P1135" s="52"/>
    </row>
    <row r="1136" spans="1:16" ht="18" customHeight="1">
      <c r="A1136" s="47"/>
      <c r="B1136" s="48" t="s">
        <v>1958</v>
      </c>
      <c r="C1136" s="54"/>
      <c r="D1136" s="55">
        <v>85</v>
      </c>
      <c r="E1136" s="55">
        <v>1</v>
      </c>
      <c r="F1136" s="55"/>
      <c r="G1136" s="55">
        <v>9.4</v>
      </c>
      <c r="H1136" s="55">
        <v>34</v>
      </c>
      <c r="I1136" s="55">
        <v>2.9</v>
      </c>
      <c r="J1136" s="55">
        <v>120</v>
      </c>
      <c r="K1136" s="55">
        <v>0.1</v>
      </c>
      <c r="L1136" s="55">
        <v>0.02</v>
      </c>
      <c r="M1136" s="55">
        <v>0.03</v>
      </c>
      <c r="N1136" s="55">
        <v>7.1</v>
      </c>
      <c r="O1136" s="55">
        <v>0</v>
      </c>
      <c r="P1136" s="52"/>
    </row>
    <row r="1137" spans="1:16" ht="18" customHeight="1">
      <c r="A1137" s="47"/>
      <c r="B1137" s="48" t="s">
        <v>1453</v>
      </c>
      <c r="C1137" s="54"/>
      <c r="D1137" s="55">
        <v>45</v>
      </c>
      <c r="E1137" s="55">
        <v>0.6</v>
      </c>
      <c r="F1137" s="55"/>
      <c r="G1137" s="55">
        <v>2.7</v>
      </c>
      <c r="H1137" s="55">
        <v>9</v>
      </c>
      <c r="I1137" s="55">
        <v>0.2</v>
      </c>
      <c r="J1137" s="55">
        <v>0</v>
      </c>
      <c r="K1137" s="55">
        <v>0.01</v>
      </c>
      <c r="L1137" s="55">
        <v>0.01</v>
      </c>
      <c r="M1137" s="55">
        <v>0.3</v>
      </c>
      <c r="N1137" s="55">
        <v>0</v>
      </c>
      <c r="O1137" s="55">
        <v>0</v>
      </c>
      <c r="P1137" s="52"/>
    </row>
    <row r="1138" spans="1:16" ht="18" customHeight="1">
      <c r="A1138" s="47"/>
      <c r="B1138" s="48" t="s">
        <v>28</v>
      </c>
      <c r="C1138" s="54"/>
      <c r="D1138" s="55">
        <v>65</v>
      </c>
      <c r="E1138" s="55">
        <v>0.6</v>
      </c>
      <c r="F1138" s="55"/>
      <c r="G1138" s="55">
        <v>0</v>
      </c>
      <c r="H1138" s="55">
        <v>9</v>
      </c>
      <c r="I1138" s="55">
        <v>0.2</v>
      </c>
      <c r="J1138" s="55">
        <v>0</v>
      </c>
      <c r="K1138" s="55">
        <v>0.01</v>
      </c>
      <c r="L1138" s="55">
        <v>0.01</v>
      </c>
      <c r="M1138" s="55">
        <v>0.3</v>
      </c>
      <c r="N1138" s="55">
        <v>0</v>
      </c>
      <c r="O1138" s="55">
        <v>0</v>
      </c>
      <c r="P1138" s="52"/>
    </row>
    <row r="1139" spans="1:16" ht="18" customHeight="1">
      <c r="A1139" s="47"/>
      <c r="B1139" s="48" t="s">
        <v>24</v>
      </c>
      <c r="C1139" s="54"/>
      <c r="D1139" s="55">
        <v>19</v>
      </c>
      <c r="E1139" s="55">
        <v>1.6</v>
      </c>
      <c r="F1139" s="55">
        <v>0.38</v>
      </c>
      <c r="G1139" s="55">
        <v>0.28000000000000003</v>
      </c>
      <c r="H1139" s="55">
        <v>13</v>
      </c>
      <c r="I1139" s="55">
        <v>0.5</v>
      </c>
      <c r="J1139" s="55">
        <v>52</v>
      </c>
      <c r="K1139" s="55">
        <v>0.1</v>
      </c>
      <c r="L1139" s="55">
        <v>0.05</v>
      </c>
      <c r="M1139" s="55">
        <v>1.1000000000000001</v>
      </c>
      <c r="N1139" s="55">
        <v>2</v>
      </c>
      <c r="O1139" s="55">
        <v>8</v>
      </c>
      <c r="P1139" s="52"/>
    </row>
    <row r="1140" spans="1:16" ht="18" customHeight="1">
      <c r="A1140" s="47"/>
      <c r="B1140" s="48" t="s">
        <v>1876</v>
      </c>
      <c r="C1140" s="54"/>
      <c r="D1140" s="55">
        <v>19</v>
      </c>
      <c r="E1140" s="55">
        <v>1.6</v>
      </c>
      <c r="F1140" s="55">
        <v>0.38</v>
      </c>
      <c r="G1140" s="55">
        <v>0.28000000000000003</v>
      </c>
      <c r="H1140" s="55">
        <v>13</v>
      </c>
      <c r="I1140" s="55">
        <v>0.5</v>
      </c>
      <c r="J1140" s="55">
        <v>52</v>
      </c>
      <c r="K1140" s="55">
        <v>0.1</v>
      </c>
      <c r="L1140" s="55">
        <v>0.05</v>
      </c>
      <c r="M1140" s="55">
        <v>1.1000000000000001</v>
      </c>
      <c r="N1140" s="55">
        <v>2</v>
      </c>
      <c r="O1140" s="55">
        <v>8</v>
      </c>
      <c r="P1140" s="52"/>
    </row>
    <row r="1141" spans="1:16" ht="18" customHeight="1">
      <c r="A1141" s="47"/>
      <c r="B1141" s="48" t="s">
        <v>1454</v>
      </c>
      <c r="C1141" s="54" t="s">
        <v>1455</v>
      </c>
      <c r="D1141" s="55">
        <v>205</v>
      </c>
      <c r="E1141" s="55">
        <v>12.54</v>
      </c>
      <c r="F1141" s="55">
        <v>8.4</v>
      </c>
      <c r="G1141" s="55">
        <v>12.7</v>
      </c>
      <c r="H1141" s="55">
        <v>14.6</v>
      </c>
      <c r="I1141" s="55">
        <v>4.8600000000000003</v>
      </c>
      <c r="J1141" s="55">
        <v>51.4</v>
      </c>
      <c r="K1141" s="55">
        <v>0.6</v>
      </c>
      <c r="L1141" s="55">
        <v>0.2</v>
      </c>
      <c r="M1141" s="55">
        <v>1.9</v>
      </c>
      <c r="N1141" s="55">
        <v>1.2</v>
      </c>
      <c r="O1141" s="55">
        <v>0</v>
      </c>
      <c r="P1141" s="52"/>
    </row>
    <row r="1142" spans="1:16" ht="18" customHeight="1">
      <c r="A1142" s="47"/>
      <c r="B1142" s="48" t="s">
        <v>1456</v>
      </c>
      <c r="C1142" s="54" t="s">
        <v>1455</v>
      </c>
      <c r="D1142" s="55">
        <v>205</v>
      </c>
      <c r="E1142" s="55">
        <v>12.54</v>
      </c>
      <c r="F1142" s="55">
        <v>8.4</v>
      </c>
      <c r="G1142" s="55">
        <v>22.4</v>
      </c>
      <c r="H1142" s="55">
        <v>14.6</v>
      </c>
      <c r="I1142" s="55">
        <v>4.8600000000000003</v>
      </c>
      <c r="J1142" s="55">
        <v>51.4</v>
      </c>
      <c r="K1142" s="55">
        <v>0.6</v>
      </c>
      <c r="L1142" s="55">
        <v>0.2</v>
      </c>
      <c r="M1142" s="55">
        <v>1.9</v>
      </c>
      <c r="N1142" s="55">
        <v>1.2</v>
      </c>
      <c r="O1142" s="55">
        <v>0</v>
      </c>
      <c r="P1142" s="52"/>
    </row>
    <row r="1143" spans="1:16" ht="18" customHeight="1">
      <c r="A1143" s="47"/>
      <c r="B1143" s="48" t="s">
        <v>1457</v>
      </c>
      <c r="C1143" s="54"/>
      <c r="D1143" s="55">
        <v>62</v>
      </c>
      <c r="E1143" s="55">
        <v>5</v>
      </c>
      <c r="F1143" s="55">
        <v>21</v>
      </c>
      <c r="G1143" s="55">
        <v>5.4</v>
      </c>
      <c r="H1143" s="55">
        <v>140</v>
      </c>
      <c r="I1143" s="55">
        <v>0.6</v>
      </c>
      <c r="J1143" s="55">
        <v>0.03</v>
      </c>
      <c r="K1143" s="55">
        <v>0.05</v>
      </c>
      <c r="L1143" s="55">
        <v>0.04</v>
      </c>
      <c r="M1143" s="55">
        <v>0.3</v>
      </c>
      <c r="N1143" s="55">
        <v>0</v>
      </c>
      <c r="O1143" s="55">
        <v>0</v>
      </c>
      <c r="P1143" s="52"/>
    </row>
    <row r="1144" spans="1:16" ht="18" customHeight="1">
      <c r="A1144" s="47"/>
      <c r="B1144" s="48" t="s">
        <v>1977</v>
      </c>
      <c r="C1144" s="54" t="s">
        <v>1979</v>
      </c>
      <c r="D1144" s="55">
        <v>200</v>
      </c>
      <c r="E1144" s="55">
        <v>15</v>
      </c>
      <c r="F1144" s="55">
        <v>10</v>
      </c>
      <c r="G1144" s="55">
        <v>11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5">
        <v>0</v>
      </c>
      <c r="N1144" s="55">
        <v>0</v>
      </c>
      <c r="O1144" s="55">
        <v>0</v>
      </c>
      <c r="P1144" s="52"/>
    </row>
    <row r="1145" spans="1:16" ht="18" customHeight="1">
      <c r="A1145" s="47"/>
      <c r="B1145" s="48" t="s">
        <v>846</v>
      </c>
      <c r="C1145" s="54"/>
      <c r="D1145" s="55">
        <v>37</v>
      </c>
      <c r="E1145" s="55">
        <v>2.64</v>
      </c>
      <c r="F1145" s="55">
        <v>10.1</v>
      </c>
      <c r="G1145" s="55">
        <v>1.5</v>
      </c>
      <c r="H1145" s="55">
        <v>16</v>
      </c>
      <c r="I1145" s="55">
        <v>0.55000000000000004</v>
      </c>
      <c r="J1145" s="55">
        <v>10</v>
      </c>
      <c r="K1145" s="55">
        <v>0.04</v>
      </c>
      <c r="L1145" s="55">
        <v>0.04</v>
      </c>
      <c r="M1145" s="55">
        <v>0.02</v>
      </c>
      <c r="N1145" s="55">
        <v>1</v>
      </c>
      <c r="O1145" s="55">
        <v>0</v>
      </c>
      <c r="P1145" s="52"/>
    </row>
    <row r="1146" spans="1:16" ht="18" customHeight="1">
      <c r="A1146" s="47"/>
      <c r="B1146" s="48" t="s">
        <v>1458</v>
      </c>
      <c r="C1146" s="54"/>
      <c r="D1146" s="55">
        <v>352</v>
      </c>
      <c r="E1146" s="55">
        <v>13</v>
      </c>
      <c r="F1146" s="55">
        <v>6.7</v>
      </c>
      <c r="G1146" s="55">
        <v>0.15</v>
      </c>
      <c r="H1146" s="55">
        <v>252</v>
      </c>
      <c r="I1146" s="55">
        <v>2.8</v>
      </c>
      <c r="J1146" s="55">
        <v>0</v>
      </c>
      <c r="K1146" s="55">
        <v>0.14000000000000001</v>
      </c>
      <c r="L1146" s="55">
        <v>0.28000000000000003</v>
      </c>
      <c r="M1146" s="55">
        <v>0.5</v>
      </c>
      <c r="N1146" s="55">
        <v>0</v>
      </c>
      <c r="O1146" s="55">
        <v>0</v>
      </c>
      <c r="P1146" s="52"/>
    </row>
    <row r="1147" spans="1:16" ht="18" customHeight="1">
      <c r="A1147" s="47"/>
      <c r="B1147" s="48" t="s">
        <v>1459</v>
      </c>
      <c r="C1147" s="54"/>
      <c r="D1147" s="55">
        <v>90</v>
      </c>
      <c r="E1147" s="55">
        <v>8.9</v>
      </c>
      <c r="F1147" s="55">
        <v>26.6</v>
      </c>
      <c r="G1147" s="55">
        <v>3.7</v>
      </c>
      <c r="H1147" s="55">
        <v>17</v>
      </c>
      <c r="I1147" s="55">
        <v>0.3</v>
      </c>
      <c r="J1147" s="55">
        <v>0</v>
      </c>
      <c r="K1147" s="55">
        <v>0.03</v>
      </c>
      <c r="L1147" s="55">
        <v>0.04</v>
      </c>
      <c r="M1147" s="55">
        <v>0.51</v>
      </c>
      <c r="N1147" s="55">
        <v>2</v>
      </c>
      <c r="O1147" s="55">
        <v>0</v>
      </c>
      <c r="P1147" s="52"/>
    </row>
    <row r="1148" spans="1:16" ht="18" customHeight="1">
      <c r="A1148" s="47"/>
      <c r="B1148" s="48" t="s">
        <v>1460</v>
      </c>
      <c r="C1148" s="54" t="s">
        <v>1461</v>
      </c>
      <c r="D1148" s="55">
        <v>191</v>
      </c>
      <c r="E1148" s="55">
        <v>18.2</v>
      </c>
      <c r="F1148" s="55">
        <v>2.2000000000000002</v>
      </c>
      <c r="G1148" s="55">
        <v>8.83</v>
      </c>
      <c r="H1148" s="55">
        <v>10</v>
      </c>
      <c r="I1148" s="55">
        <v>1</v>
      </c>
      <c r="J1148" s="55">
        <v>36</v>
      </c>
      <c r="K1148" s="55">
        <v>7.0000000000000007E-2</v>
      </c>
      <c r="L1148" s="55">
        <v>0.16</v>
      </c>
      <c r="M1148" s="55">
        <v>5.4</v>
      </c>
      <c r="N1148" s="55">
        <v>3</v>
      </c>
      <c r="O1148" s="55">
        <v>27</v>
      </c>
      <c r="P1148" s="52"/>
    </row>
    <row r="1149" spans="1:16" ht="18" customHeight="1">
      <c r="A1149" s="47"/>
      <c r="B1149" s="48" t="s">
        <v>1463</v>
      </c>
      <c r="C1149" s="54" t="s">
        <v>1463</v>
      </c>
      <c r="D1149" s="55">
        <v>191</v>
      </c>
      <c r="E1149" s="55">
        <v>18.2</v>
      </c>
      <c r="F1149" s="55">
        <v>2.2000000000000002</v>
      </c>
      <c r="G1149" s="55">
        <v>10.6</v>
      </c>
      <c r="H1149" s="55">
        <v>10</v>
      </c>
      <c r="I1149" s="55">
        <v>1</v>
      </c>
      <c r="J1149" s="55">
        <v>36</v>
      </c>
      <c r="K1149" s="55">
        <v>7.0000000000000007E-2</v>
      </c>
      <c r="L1149" s="55">
        <v>0.16</v>
      </c>
      <c r="M1149" s="55">
        <v>5.4</v>
      </c>
      <c r="N1149" s="55">
        <v>3</v>
      </c>
      <c r="O1149" s="55">
        <v>27</v>
      </c>
      <c r="P1149" s="52"/>
    </row>
    <row r="1150" spans="1:16" ht="18" customHeight="1">
      <c r="A1150" s="47"/>
      <c r="B1150" s="48" t="s">
        <v>1510</v>
      </c>
      <c r="C1150" s="54" t="s">
        <v>1463</v>
      </c>
      <c r="D1150" s="55">
        <v>191</v>
      </c>
      <c r="E1150" s="55">
        <v>18.2</v>
      </c>
      <c r="F1150" s="55">
        <v>2.2000000000000002</v>
      </c>
      <c r="G1150" s="55">
        <v>10.6</v>
      </c>
      <c r="H1150" s="55">
        <v>10</v>
      </c>
      <c r="I1150" s="55">
        <v>1</v>
      </c>
      <c r="J1150" s="55">
        <v>36</v>
      </c>
      <c r="K1150" s="55">
        <v>7.0000000000000007E-2</v>
      </c>
      <c r="L1150" s="55">
        <v>0.16</v>
      </c>
      <c r="M1150" s="55">
        <v>5.4</v>
      </c>
      <c r="N1150" s="55">
        <v>3</v>
      </c>
      <c r="O1150" s="55">
        <v>27</v>
      </c>
      <c r="P1150" s="52"/>
    </row>
    <row r="1151" spans="1:16" ht="18" customHeight="1">
      <c r="A1151" s="47"/>
      <c r="B1151" s="48" t="s">
        <v>1462</v>
      </c>
      <c r="C1151" s="54" t="s">
        <v>1463</v>
      </c>
      <c r="D1151" s="55">
        <v>191</v>
      </c>
      <c r="E1151" s="55">
        <v>18.2</v>
      </c>
      <c r="F1151" s="55">
        <v>2.2000000000000002</v>
      </c>
      <c r="G1151" s="55">
        <v>10.6</v>
      </c>
      <c r="H1151" s="55">
        <v>10</v>
      </c>
      <c r="I1151" s="55">
        <v>1</v>
      </c>
      <c r="J1151" s="55">
        <v>36</v>
      </c>
      <c r="K1151" s="55">
        <v>7.0000000000000007E-2</v>
      </c>
      <c r="L1151" s="55">
        <v>0.16</v>
      </c>
      <c r="M1151" s="55">
        <v>5.4</v>
      </c>
      <c r="N1151" s="55">
        <v>3</v>
      </c>
      <c r="O1151" s="55">
        <v>27</v>
      </c>
      <c r="P1151" s="52"/>
    </row>
    <row r="1152" spans="1:16" ht="18" customHeight="1">
      <c r="A1152" s="47"/>
      <c r="B1152" s="48" t="s">
        <v>1965</v>
      </c>
      <c r="C1152" s="54" t="s">
        <v>1463</v>
      </c>
      <c r="D1152" s="55">
        <v>173</v>
      </c>
      <c r="E1152" s="55">
        <v>18.2</v>
      </c>
      <c r="F1152" s="55">
        <v>2.2000000000000002</v>
      </c>
      <c r="G1152" s="55">
        <v>10.6</v>
      </c>
      <c r="H1152" s="55">
        <v>10</v>
      </c>
      <c r="I1152" s="55">
        <v>1</v>
      </c>
      <c r="J1152" s="55">
        <v>36</v>
      </c>
      <c r="K1152" s="55">
        <v>7.0000000000000007E-2</v>
      </c>
      <c r="L1152" s="55">
        <v>0.16</v>
      </c>
      <c r="M1152" s="55">
        <v>5.4</v>
      </c>
      <c r="N1152" s="55">
        <v>3</v>
      </c>
      <c r="O1152" s="55">
        <v>27</v>
      </c>
      <c r="P1152" s="52"/>
    </row>
    <row r="1153" spans="1:16" ht="18" customHeight="1">
      <c r="A1153" s="47"/>
      <c r="B1153" s="48" t="s">
        <v>1464</v>
      </c>
      <c r="C1153" s="54"/>
      <c r="D1153" s="55">
        <v>155.19999999999999</v>
      </c>
      <c r="E1153" s="55">
        <v>4.57</v>
      </c>
      <c r="F1153" s="55">
        <v>32.1</v>
      </c>
      <c r="G1153" s="55">
        <v>0.28000000000000003</v>
      </c>
      <c r="H1153" s="55">
        <v>41.1</v>
      </c>
      <c r="I1153" s="55">
        <v>2.1</v>
      </c>
      <c r="J1153" s="55">
        <v>132</v>
      </c>
      <c r="K1153" s="55">
        <v>0.1</v>
      </c>
      <c r="L1153" s="55">
        <v>7.0000000000000007E-2</v>
      </c>
      <c r="M1153" s="55">
        <v>0.02</v>
      </c>
      <c r="N1153" s="55">
        <v>5.6</v>
      </c>
      <c r="O1153" s="55">
        <v>0</v>
      </c>
      <c r="P1153" s="52"/>
    </row>
    <row r="1154" spans="1:16" ht="18" customHeight="1">
      <c r="A1154" s="47"/>
      <c r="B1154" s="48" t="s">
        <v>1733</v>
      </c>
      <c r="C1154" s="54"/>
      <c r="D1154" s="55">
        <v>210</v>
      </c>
      <c r="E1154" s="55">
        <v>9.3000000000000007</v>
      </c>
      <c r="F1154" s="55">
        <v>8.6999999999999993</v>
      </c>
      <c r="G1154" s="55">
        <v>9.9</v>
      </c>
      <c r="H1154" s="55">
        <v>6</v>
      </c>
      <c r="I1154" s="55">
        <v>1.5</v>
      </c>
      <c r="J1154" s="55">
        <v>0</v>
      </c>
      <c r="K1154" s="55">
        <v>0.08</v>
      </c>
      <c r="L1154" s="55">
        <v>0.15</v>
      </c>
      <c r="M1154" s="55">
        <v>0.05</v>
      </c>
      <c r="N1154" s="55">
        <v>5</v>
      </c>
      <c r="O1154" s="55">
        <v>0</v>
      </c>
      <c r="P1154" s="52"/>
    </row>
    <row r="1155" spans="1:16" ht="18" customHeight="1">
      <c r="A1155" s="47"/>
      <c r="B1155" s="48" t="s">
        <v>1739</v>
      </c>
      <c r="C1155" s="54"/>
      <c r="D1155" s="55">
        <v>110</v>
      </c>
      <c r="E1155" s="55">
        <v>9.3000000000000007</v>
      </c>
      <c r="F1155" s="55">
        <v>8.6999999999999993</v>
      </c>
      <c r="G1155" s="55">
        <v>9.9</v>
      </c>
      <c r="H1155" s="55">
        <v>6</v>
      </c>
      <c r="I1155" s="55">
        <v>1.5</v>
      </c>
      <c r="J1155" s="55">
        <v>0</v>
      </c>
      <c r="K1155" s="55">
        <v>0.08</v>
      </c>
      <c r="L1155" s="55">
        <v>0.15</v>
      </c>
      <c r="M1155" s="55">
        <v>0.05</v>
      </c>
      <c r="N1155" s="55">
        <v>5</v>
      </c>
      <c r="O1155" s="55">
        <v>0</v>
      </c>
      <c r="P1155" s="52"/>
    </row>
    <row r="1156" spans="1:16" ht="18" customHeight="1">
      <c r="A1156" s="47"/>
      <c r="B1156" s="48" t="s">
        <v>1887</v>
      </c>
      <c r="C1156" s="54"/>
      <c r="D1156" s="55">
        <v>110</v>
      </c>
      <c r="E1156" s="55">
        <v>9.3000000000000007</v>
      </c>
      <c r="F1156" s="55">
        <v>8.6999999999999993</v>
      </c>
      <c r="G1156" s="55">
        <v>9.9</v>
      </c>
      <c r="H1156" s="55">
        <v>6</v>
      </c>
      <c r="I1156" s="55">
        <v>1.5</v>
      </c>
      <c r="J1156" s="55">
        <v>0</v>
      </c>
      <c r="K1156" s="55">
        <v>0.08</v>
      </c>
      <c r="L1156" s="55">
        <v>0.15</v>
      </c>
      <c r="M1156" s="55">
        <v>0.05</v>
      </c>
      <c r="N1156" s="55">
        <v>5</v>
      </c>
      <c r="O1156" s="55">
        <v>0</v>
      </c>
      <c r="P1156" s="52"/>
    </row>
    <row r="1157" spans="1:16" ht="18" customHeight="1">
      <c r="A1157" s="47"/>
      <c r="B1157" s="48" t="s">
        <v>1465</v>
      </c>
      <c r="C1157" s="54"/>
      <c r="D1157" s="55">
        <v>110</v>
      </c>
      <c r="E1157" s="55">
        <v>9.3000000000000007</v>
      </c>
      <c r="F1157" s="55">
        <v>8.6999999999999993</v>
      </c>
      <c r="G1157" s="55">
        <v>9.9</v>
      </c>
      <c r="H1157" s="55">
        <v>6</v>
      </c>
      <c r="I1157" s="55">
        <v>1.5</v>
      </c>
      <c r="J1157" s="55">
        <v>0</v>
      </c>
      <c r="K1157" s="55">
        <v>0.08</v>
      </c>
      <c r="L1157" s="55">
        <v>0.15</v>
      </c>
      <c r="M1157" s="55">
        <v>0.05</v>
      </c>
      <c r="N1157" s="55">
        <v>5</v>
      </c>
      <c r="O1157" s="55">
        <v>0</v>
      </c>
      <c r="P1157" s="52"/>
    </row>
    <row r="1158" spans="1:16" ht="18" customHeight="1">
      <c r="A1158" s="47"/>
      <c r="B1158" s="48" t="s">
        <v>1466</v>
      </c>
      <c r="C1158" s="54"/>
      <c r="D1158" s="55">
        <v>110</v>
      </c>
      <c r="E1158" s="55">
        <v>9.3000000000000007</v>
      </c>
      <c r="F1158" s="55">
        <v>8.6999999999999993</v>
      </c>
      <c r="G1158" s="55">
        <v>12.1</v>
      </c>
      <c r="H1158" s="55">
        <v>6</v>
      </c>
      <c r="I1158" s="55">
        <v>1.5</v>
      </c>
      <c r="J1158" s="55">
        <v>0</v>
      </c>
      <c r="K1158" s="55">
        <v>0.08</v>
      </c>
      <c r="L1158" s="55">
        <v>0.15</v>
      </c>
      <c r="M1158" s="55">
        <v>0.05</v>
      </c>
      <c r="N1158" s="55">
        <v>5</v>
      </c>
      <c r="O1158" s="55">
        <v>0</v>
      </c>
      <c r="P1158" s="52"/>
    </row>
    <row r="1159" spans="1:16" ht="18" customHeight="1">
      <c r="A1159" s="47"/>
      <c r="B1159" s="48" t="s">
        <v>1720</v>
      </c>
      <c r="C1159" s="54"/>
      <c r="D1159" s="55">
        <v>189</v>
      </c>
      <c r="E1159" s="55">
        <v>9.3000000000000007</v>
      </c>
      <c r="F1159" s="55">
        <v>7.5</v>
      </c>
      <c r="G1159" s="55">
        <v>16.399999999999999</v>
      </c>
      <c r="H1159" s="55">
        <v>6</v>
      </c>
      <c r="I1159" s="55">
        <v>1.5</v>
      </c>
      <c r="J1159" s="55">
        <v>0</v>
      </c>
      <c r="K1159" s="55">
        <v>0.08</v>
      </c>
      <c r="L1159" s="55">
        <v>0.15</v>
      </c>
      <c r="M1159" s="55">
        <v>0.05</v>
      </c>
      <c r="N1159" s="55">
        <v>5</v>
      </c>
      <c r="O1159" s="55">
        <v>0</v>
      </c>
      <c r="P1159" s="52"/>
    </row>
    <row r="1160" spans="1:16" ht="18" customHeight="1">
      <c r="A1160" s="47"/>
      <c r="B1160" s="48" t="s">
        <v>2267</v>
      </c>
      <c r="C1160" s="54"/>
      <c r="D1160" s="55">
        <v>100</v>
      </c>
      <c r="E1160" s="55">
        <v>20</v>
      </c>
      <c r="F1160" s="55">
        <v>20</v>
      </c>
      <c r="G1160" s="55">
        <v>30</v>
      </c>
      <c r="H1160" s="55"/>
      <c r="I1160" s="55"/>
      <c r="J1160" s="55"/>
      <c r="K1160" s="55"/>
      <c r="L1160" s="55"/>
      <c r="M1160" s="55"/>
      <c r="N1160" s="55"/>
      <c r="O1160" s="55"/>
      <c r="P1160" s="52"/>
    </row>
    <row r="1161" spans="1:16" ht="18" customHeight="1">
      <c r="A1161" s="47"/>
      <c r="B1161" s="48" t="s">
        <v>1467</v>
      </c>
      <c r="C1161" s="54"/>
      <c r="D1161" s="55">
        <v>110</v>
      </c>
      <c r="E1161" s="55">
        <v>9.3000000000000007</v>
      </c>
      <c r="F1161" s="55">
        <v>7.5</v>
      </c>
      <c r="G1161" s="55">
        <v>16.399999999999999</v>
      </c>
      <c r="H1161" s="55">
        <v>6</v>
      </c>
      <c r="I1161" s="55">
        <v>1.5</v>
      </c>
      <c r="J1161" s="55">
        <v>0</v>
      </c>
      <c r="K1161" s="55">
        <v>0.08</v>
      </c>
      <c r="L1161" s="55">
        <v>0.15</v>
      </c>
      <c r="M1161" s="55">
        <v>0.05</v>
      </c>
      <c r="N1161" s="55">
        <v>5</v>
      </c>
      <c r="O1161" s="55">
        <v>0</v>
      </c>
      <c r="P1161" s="52"/>
    </row>
    <row r="1162" spans="1:16" ht="18" customHeight="1">
      <c r="A1162" s="47"/>
      <c r="B1162" s="48" t="s">
        <v>2058</v>
      </c>
      <c r="C1162" s="54"/>
      <c r="D1162" s="55">
        <v>235</v>
      </c>
      <c r="E1162" s="55">
        <v>10</v>
      </c>
      <c r="F1162" s="55">
        <v>17</v>
      </c>
      <c r="G1162" s="55">
        <v>14.3</v>
      </c>
      <c r="H1162" s="55">
        <v>6</v>
      </c>
      <c r="I1162" s="55">
        <v>1.5</v>
      </c>
      <c r="J1162" s="55">
        <v>0</v>
      </c>
      <c r="K1162" s="55">
        <v>0.08</v>
      </c>
      <c r="L1162" s="55">
        <v>0.15</v>
      </c>
      <c r="M1162" s="55">
        <v>0.05</v>
      </c>
      <c r="N1162" s="55">
        <v>5</v>
      </c>
      <c r="O1162" s="55">
        <v>0</v>
      </c>
      <c r="P1162" s="52"/>
    </row>
    <row r="1163" spans="1:16" ht="18" customHeight="1">
      <c r="A1163" s="47"/>
      <c r="B1163" s="48" t="s">
        <v>2052</v>
      </c>
      <c r="C1163" s="54"/>
      <c r="D1163" s="55">
        <v>244</v>
      </c>
      <c r="E1163" s="55">
        <v>11.3</v>
      </c>
      <c r="F1163" s="55">
        <v>11.3</v>
      </c>
      <c r="G1163" s="55">
        <v>17.100000000000001</v>
      </c>
      <c r="H1163" s="55">
        <v>33.46</v>
      </c>
      <c r="I1163" s="55">
        <v>1</v>
      </c>
      <c r="J1163" s="55">
        <v>48</v>
      </c>
      <c r="K1163" s="55">
        <v>0.2</v>
      </c>
      <c r="L1163" s="55">
        <v>0.12</v>
      </c>
      <c r="M1163" s="55">
        <v>0.74</v>
      </c>
      <c r="N1163" s="55">
        <v>5.46</v>
      </c>
      <c r="O1163" s="55">
        <v>0</v>
      </c>
      <c r="P1163" s="52"/>
    </row>
    <row r="1164" spans="1:16" ht="18" customHeight="1">
      <c r="A1164" s="47"/>
      <c r="B1164" s="48" t="s">
        <v>2490</v>
      </c>
      <c r="C1164" s="54"/>
      <c r="D1164" s="55">
        <v>445.9</v>
      </c>
      <c r="E1164" s="55">
        <v>8.1</v>
      </c>
      <c r="F1164" s="55">
        <v>77</v>
      </c>
      <c r="G1164" s="55">
        <v>13.5</v>
      </c>
      <c r="H1164" s="55"/>
      <c r="I1164" s="55"/>
      <c r="J1164" s="55"/>
      <c r="K1164" s="55"/>
      <c r="L1164" s="55"/>
      <c r="M1164" s="55"/>
      <c r="N1164" s="55"/>
      <c r="O1164" s="55"/>
      <c r="P1164" s="52"/>
    </row>
    <row r="1165" spans="1:16" ht="18" customHeight="1">
      <c r="A1165" s="47"/>
      <c r="B1165" s="48" t="s">
        <v>1468</v>
      </c>
      <c r="C1165" s="54"/>
      <c r="D1165" s="55">
        <v>135</v>
      </c>
      <c r="E1165" s="55">
        <v>16.7</v>
      </c>
      <c r="F1165" s="55">
        <v>21</v>
      </c>
      <c r="G1165" s="55">
        <v>5.4</v>
      </c>
      <c r="H1165" s="55">
        <v>18.5</v>
      </c>
      <c r="I1165" s="55">
        <v>1.5</v>
      </c>
      <c r="J1165" s="55">
        <v>0</v>
      </c>
      <c r="K1165" s="55">
        <v>0.06</v>
      </c>
      <c r="L1165" s="55">
        <v>0.06</v>
      </c>
      <c r="M1165" s="55">
        <v>1.3</v>
      </c>
      <c r="N1165" s="55">
        <v>0.6</v>
      </c>
      <c r="O1165" s="55">
        <v>0</v>
      </c>
      <c r="P1165" s="52"/>
    </row>
    <row r="1166" spans="1:16" ht="18" customHeight="1">
      <c r="A1166" s="47"/>
      <c r="B1166" s="48" t="s">
        <v>1469</v>
      </c>
      <c r="C1166" s="54"/>
      <c r="D1166" s="55">
        <v>175</v>
      </c>
      <c r="E1166" s="55">
        <v>16.7</v>
      </c>
      <c r="F1166" s="55">
        <v>17</v>
      </c>
      <c r="G1166" s="55">
        <v>5.58</v>
      </c>
      <c r="H1166" s="55">
        <v>18.5</v>
      </c>
      <c r="I1166" s="55">
        <v>1.5</v>
      </c>
      <c r="J1166" s="55">
        <v>0</v>
      </c>
      <c r="K1166" s="55">
        <v>0.06</v>
      </c>
      <c r="L1166" s="55">
        <v>0.06</v>
      </c>
      <c r="M1166" s="55">
        <v>1.3</v>
      </c>
      <c r="N1166" s="55">
        <v>0.6</v>
      </c>
      <c r="O1166" s="55">
        <v>0</v>
      </c>
      <c r="P1166" s="52"/>
    </row>
    <row r="1167" spans="1:16" ht="18" customHeight="1">
      <c r="A1167" s="47"/>
      <c r="B1167" s="48" t="s">
        <v>1470</v>
      </c>
      <c r="C1167" s="54"/>
      <c r="D1167" s="55">
        <v>175</v>
      </c>
      <c r="E1167" s="55">
        <v>16.7</v>
      </c>
      <c r="F1167" s="55">
        <v>19</v>
      </c>
      <c r="G1167" s="55">
        <v>6.8</v>
      </c>
      <c r="H1167" s="55">
        <v>18.5</v>
      </c>
      <c r="I1167" s="55">
        <v>1.5</v>
      </c>
      <c r="J1167" s="55">
        <v>0</v>
      </c>
      <c r="K1167" s="55">
        <v>0.06</v>
      </c>
      <c r="L1167" s="55">
        <v>0.06</v>
      </c>
      <c r="M1167" s="55">
        <v>1.3</v>
      </c>
      <c r="N1167" s="55">
        <v>0.6</v>
      </c>
      <c r="O1167" s="55">
        <v>0</v>
      </c>
      <c r="P1167" s="52"/>
    </row>
    <row r="1168" spans="1:16" ht="18" customHeight="1">
      <c r="A1168" s="47"/>
      <c r="B1168" s="48" t="s">
        <v>1471</v>
      </c>
      <c r="C1168" s="54"/>
      <c r="D1168" s="55">
        <v>174</v>
      </c>
      <c r="E1168" s="55">
        <v>12</v>
      </c>
      <c r="F1168" s="55">
        <v>7.0000000000000007E-2</v>
      </c>
      <c r="G1168" s="55">
        <v>5.9</v>
      </c>
      <c r="H1168" s="55">
        <v>11</v>
      </c>
      <c r="I1168" s="55">
        <v>1.5</v>
      </c>
      <c r="J1168" s="55">
        <v>10</v>
      </c>
      <c r="K1168" s="55">
        <v>0.09</v>
      </c>
      <c r="L1168" s="55">
        <v>0.09</v>
      </c>
      <c r="M1168" s="55">
        <v>1.01</v>
      </c>
      <c r="N1168" s="55">
        <v>2</v>
      </c>
      <c r="O1168" s="55">
        <v>31</v>
      </c>
      <c r="P1168" s="52"/>
    </row>
    <row r="1169" spans="1:16" ht="18" customHeight="1">
      <c r="A1169" s="47"/>
      <c r="B1169" s="48" t="s">
        <v>2005</v>
      </c>
      <c r="C1169" s="54"/>
      <c r="D1169" s="55">
        <v>590</v>
      </c>
      <c r="E1169" s="55">
        <v>6.4</v>
      </c>
      <c r="F1169" s="55">
        <v>47.5</v>
      </c>
      <c r="G1169" s="55">
        <v>6.4</v>
      </c>
      <c r="H1169" s="55">
        <v>0</v>
      </c>
      <c r="I1169" s="55">
        <v>0</v>
      </c>
      <c r="J1169" s="55">
        <v>0</v>
      </c>
      <c r="K1169" s="55">
        <v>0</v>
      </c>
      <c r="L1169" s="55">
        <v>0</v>
      </c>
      <c r="M1169" s="55">
        <v>0</v>
      </c>
      <c r="N1169" s="55">
        <v>0</v>
      </c>
      <c r="O1169" s="55">
        <v>0</v>
      </c>
      <c r="P1169" s="52"/>
    </row>
    <row r="1170" spans="1:16" ht="18" customHeight="1">
      <c r="A1170" s="47"/>
      <c r="B1170" s="48" t="s">
        <v>2006</v>
      </c>
      <c r="C1170" s="54"/>
      <c r="D1170" s="55">
        <v>152</v>
      </c>
      <c r="E1170" s="55">
        <v>9</v>
      </c>
      <c r="F1170" s="55">
        <v>15</v>
      </c>
      <c r="G1170" s="55">
        <v>7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5">
        <v>0</v>
      </c>
      <c r="N1170" s="55">
        <v>0</v>
      </c>
      <c r="O1170" s="55">
        <v>0</v>
      </c>
      <c r="P1170" s="52"/>
    </row>
    <row r="1171" spans="1:16" ht="18" customHeight="1">
      <c r="A1171" s="47"/>
      <c r="B1171" s="48" t="s">
        <v>2004</v>
      </c>
      <c r="C1171" s="54"/>
      <c r="D1171" s="55">
        <v>15</v>
      </c>
      <c r="E1171" s="55">
        <v>0</v>
      </c>
      <c r="F1171" s="55">
        <v>1</v>
      </c>
      <c r="G1171" s="55">
        <v>0</v>
      </c>
      <c r="H1171" s="55">
        <v>0</v>
      </c>
      <c r="I1171" s="55">
        <v>0</v>
      </c>
      <c r="J1171" s="55">
        <v>0</v>
      </c>
      <c r="K1171" s="55">
        <v>0</v>
      </c>
      <c r="L1171" s="55">
        <v>0</v>
      </c>
      <c r="M1171" s="55">
        <v>0</v>
      </c>
      <c r="N1171" s="55">
        <v>0</v>
      </c>
      <c r="O1171" s="55">
        <v>0</v>
      </c>
      <c r="P1171" s="52"/>
    </row>
    <row r="1172" spans="1:16" ht="18" customHeight="1">
      <c r="A1172" s="47"/>
      <c r="B1172" s="48" t="s">
        <v>1878</v>
      </c>
      <c r="C1172" s="54"/>
      <c r="D1172" s="55">
        <v>150</v>
      </c>
      <c r="E1172" s="55">
        <v>12</v>
      </c>
      <c r="F1172" s="55">
        <v>7.0000000000000007E-2</v>
      </c>
      <c r="G1172" s="55">
        <v>5.9</v>
      </c>
      <c r="H1172" s="55">
        <v>11</v>
      </c>
      <c r="I1172" s="55">
        <v>1.5</v>
      </c>
      <c r="J1172" s="55">
        <v>10</v>
      </c>
      <c r="K1172" s="55">
        <v>0.09</v>
      </c>
      <c r="L1172" s="55">
        <v>0.09</v>
      </c>
      <c r="M1172" s="55">
        <v>1.01</v>
      </c>
      <c r="N1172" s="55">
        <v>2</v>
      </c>
      <c r="O1172" s="55">
        <v>31</v>
      </c>
      <c r="P1172" s="52"/>
    </row>
    <row r="1173" spans="1:16" ht="18" customHeight="1">
      <c r="A1173" s="47"/>
      <c r="B1173" s="48" t="s">
        <v>1723</v>
      </c>
      <c r="C1173" s="54"/>
      <c r="D1173" s="55">
        <v>110</v>
      </c>
      <c r="E1173" s="55">
        <v>9.4</v>
      </c>
      <c r="F1173" s="55">
        <v>0</v>
      </c>
      <c r="G1173" s="55">
        <v>16.850000000000001</v>
      </c>
      <c r="H1173" s="55">
        <v>28</v>
      </c>
      <c r="I1173" s="55">
        <v>2.8</v>
      </c>
      <c r="J1173" s="55">
        <v>49</v>
      </c>
      <c r="K1173" s="55">
        <v>0.08</v>
      </c>
      <c r="L1173" s="55">
        <v>0.06</v>
      </c>
      <c r="M1173" s="55">
        <v>0.04</v>
      </c>
      <c r="N1173" s="55">
        <v>0</v>
      </c>
      <c r="O1173" s="55">
        <v>31</v>
      </c>
      <c r="P1173" s="52"/>
    </row>
    <row r="1174" spans="1:16" ht="18" customHeight="1">
      <c r="A1174" s="47"/>
      <c r="B1174" s="48" t="s">
        <v>1472</v>
      </c>
      <c r="C1174" s="54"/>
      <c r="D1174" s="55">
        <v>110</v>
      </c>
      <c r="E1174" s="55">
        <v>9.4</v>
      </c>
      <c r="F1174" s="55">
        <v>0</v>
      </c>
      <c r="G1174" s="55">
        <v>16.850000000000001</v>
      </c>
      <c r="H1174" s="55">
        <v>28</v>
      </c>
      <c r="I1174" s="55">
        <v>2.8</v>
      </c>
      <c r="J1174" s="55">
        <v>49</v>
      </c>
      <c r="K1174" s="55">
        <v>0.08</v>
      </c>
      <c r="L1174" s="55">
        <v>0.06</v>
      </c>
      <c r="M1174" s="55">
        <v>0.04</v>
      </c>
      <c r="N1174" s="55">
        <v>0</v>
      </c>
      <c r="O1174" s="55">
        <v>31</v>
      </c>
      <c r="P1174" s="52"/>
    </row>
    <row r="1175" spans="1:16" ht="18" customHeight="1">
      <c r="A1175" s="47"/>
      <c r="B1175" s="48" t="s">
        <v>1473</v>
      </c>
      <c r="C1175" s="54"/>
      <c r="D1175" s="55">
        <v>100</v>
      </c>
      <c r="E1175" s="55">
        <v>8.4</v>
      </c>
      <c r="F1175" s="55">
        <v>0</v>
      </c>
      <c r="G1175" s="55">
        <v>4.2</v>
      </c>
      <c r="H1175" s="55">
        <v>25</v>
      </c>
      <c r="I1175" s="55">
        <v>1.8</v>
      </c>
      <c r="J1175" s="55">
        <v>39</v>
      </c>
      <c r="K1175" s="55">
        <v>0.04</v>
      </c>
      <c r="L1175" s="55">
        <v>0.03</v>
      </c>
      <c r="M1175" s="55">
        <v>0.02</v>
      </c>
      <c r="N1175" s="55">
        <v>0</v>
      </c>
      <c r="O1175" s="55">
        <v>31</v>
      </c>
      <c r="P1175" s="52"/>
    </row>
    <row r="1176" spans="1:16" ht="18" customHeight="1">
      <c r="A1176" s="47"/>
      <c r="B1176" s="48" t="s">
        <v>1474</v>
      </c>
      <c r="C1176" s="54"/>
      <c r="D1176" s="55">
        <v>83</v>
      </c>
      <c r="E1176" s="55">
        <v>6.5</v>
      </c>
      <c r="F1176" s="55">
        <v>26.25</v>
      </c>
      <c r="G1176" s="55">
        <v>15</v>
      </c>
      <c r="H1176" s="55">
        <v>12</v>
      </c>
      <c r="I1176" s="55">
        <v>1.2</v>
      </c>
      <c r="J1176" s="55">
        <v>0</v>
      </c>
      <c r="K1176" s="55">
        <v>0.09</v>
      </c>
      <c r="L1176" s="55">
        <v>0.12</v>
      </c>
      <c r="M1176" s="55">
        <v>3.53</v>
      </c>
      <c r="N1176" s="55">
        <v>6</v>
      </c>
      <c r="O1176" s="55">
        <v>0</v>
      </c>
      <c r="P1176" s="52"/>
    </row>
    <row r="1177" spans="1:16" ht="18" customHeight="1">
      <c r="A1177" s="47"/>
      <c r="B1177" s="48" t="s">
        <v>1693</v>
      </c>
      <c r="C1177" s="54"/>
      <c r="D1177" s="55">
        <v>28</v>
      </c>
      <c r="E1177" s="55">
        <v>1.8</v>
      </c>
      <c r="F1177" s="55">
        <v>11.19</v>
      </c>
      <c r="G1177" s="55">
        <v>2.9</v>
      </c>
      <c r="H1177" s="55">
        <v>3</v>
      </c>
      <c r="I1177" s="55">
        <v>0.02</v>
      </c>
      <c r="J1177" s="55">
        <v>39</v>
      </c>
      <c r="K1177" s="55">
        <v>0.02</v>
      </c>
      <c r="L1177" s="55">
        <v>0.05</v>
      </c>
      <c r="M1177" s="55">
        <v>0.5</v>
      </c>
      <c r="N1177" s="55">
        <v>1</v>
      </c>
      <c r="O1177" s="55">
        <v>0</v>
      </c>
      <c r="P1177" s="52"/>
    </row>
    <row r="1178" spans="1:16" ht="18" customHeight="1">
      <c r="A1178" s="47"/>
      <c r="B1178" s="48" t="s">
        <v>1689</v>
      </c>
      <c r="C1178" s="54"/>
      <c r="D1178" s="55">
        <v>28</v>
      </c>
      <c r="E1178" s="55">
        <v>1.8</v>
      </c>
      <c r="F1178" s="55">
        <v>11.19</v>
      </c>
      <c r="G1178" s="55">
        <v>2.9</v>
      </c>
      <c r="H1178" s="55">
        <v>3</v>
      </c>
      <c r="I1178" s="55">
        <v>0.02</v>
      </c>
      <c r="J1178" s="55">
        <v>39</v>
      </c>
      <c r="K1178" s="55">
        <v>0.02</v>
      </c>
      <c r="L1178" s="55">
        <v>0.05</v>
      </c>
      <c r="M1178" s="55">
        <v>0.5</v>
      </c>
      <c r="N1178" s="55">
        <v>1</v>
      </c>
      <c r="O1178" s="55">
        <v>0</v>
      </c>
      <c r="P1178" s="52"/>
    </row>
    <row r="1179" spans="1:16" ht="18" customHeight="1">
      <c r="A1179" s="47"/>
      <c r="B1179" s="70" t="s">
        <v>1475</v>
      </c>
      <c r="C1179" s="54"/>
      <c r="D1179" s="55">
        <v>120</v>
      </c>
      <c r="E1179" s="55">
        <v>7</v>
      </c>
      <c r="F1179" s="55">
        <v>15.2</v>
      </c>
      <c r="G1179" s="55">
        <v>1.7</v>
      </c>
      <c r="H1179" s="55">
        <v>80.5</v>
      </c>
      <c r="I1179" s="55">
        <v>0.3</v>
      </c>
      <c r="J1179" s="55">
        <v>0</v>
      </c>
      <c r="K1179" s="55">
        <v>0.03</v>
      </c>
      <c r="L1179" s="55">
        <v>0.14000000000000001</v>
      </c>
      <c r="M1179" s="55">
        <v>1.26</v>
      </c>
      <c r="N1179" s="55">
        <v>0</v>
      </c>
      <c r="O1179" s="55">
        <v>0</v>
      </c>
      <c r="P1179" s="52"/>
    </row>
    <row r="1180" spans="1:16" ht="18" customHeight="1">
      <c r="A1180" s="47"/>
      <c r="B1180" s="70" t="s">
        <v>1731</v>
      </c>
      <c r="C1180" s="54"/>
      <c r="D1180" s="55">
        <v>120</v>
      </c>
      <c r="E1180" s="55">
        <v>7</v>
      </c>
      <c r="F1180" s="55">
        <v>15.2</v>
      </c>
      <c r="G1180" s="55">
        <v>0.7</v>
      </c>
      <c r="H1180" s="55">
        <v>80.5</v>
      </c>
      <c r="I1180" s="55">
        <v>0.3</v>
      </c>
      <c r="J1180" s="55">
        <v>0</v>
      </c>
      <c r="K1180" s="55">
        <v>0.03</v>
      </c>
      <c r="L1180" s="55">
        <v>0.14000000000000001</v>
      </c>
      <c r="M1180" s="55">
        <v>1.26</v>
      </c>
      <c r="N1180" s="55">
        <v>0</v>
      </c>
      <c r="O1180" s="55">
        <v>0</v>
      </c>
      <c r="P1180" s="52"/>
    </row>
    <row r="1181" spans="1:16" ht="18" customHeight="1">
      <c r="A1181" s="47"/>
      <c r="B1181" s="70" t="s">
        <v>1664</v>
      </c>
      <c r="C1181" s="54"/>
      <c r="D1181" s="55">
        <v>120</v>
      </c>
      <c r="E1181" s="55">
        <v>7</v>
      </c>
      <c r="F1181" s="55">
        <v>15.2</v>
      </c>
      <c r="G1181" s="55">
        <v>0.7</v>
      </c>
      <c r="H1181" s="55">
        <v>80.5</v>
      </c>
      <c r="I1181" s="55">
        <v>0.3</v>
      </c>
      <c r="J1181" s="55">
        <v>0</v>
      </c>
      <c r="K1181" s="55">
        <v>0.03</v>
      </c>
      <c r="L1181" s="55">
        <v>0.14000000000000001</v>
      </c>
      <c r="M1181" s="55">
        <v>1.26</v>
      </c>
      <c r="N1181" s="55">
        <v>0</v>
      </c>
      <c r="O1181" s="55">
        <v>0</v>
      </c>
      <c r="P1181" s="52"/>
    </row>
    <row r="1182" spans="1:16" ht="18" customHeight="1">
      <c r="A1182" s="47"/>
      <c r="B1182" s="70" t="s">
        <v>1476</v>
      </c>
      <c r="C1182" s="54"/>
      <c r="D1182" s="55">
        <v>372</v>
      </c>
      <c r="E1182" s="55">
        <v>27</v>
      </c>
      <c r="F1182" s="55">
        <v>0</v>
      </c>
      <c r="G1182" s="55">
        <v>2.4</v>
      </c>
      <c r="H1182" s="55">
        <v>300</v>
      </c>
      <c r="I1182" s="55">
        <v>4.9000000000000004</v>
      </c>
      <c r="J1182" s="55">
        <v>0</v>
      </c>
      <c r="K1182" s="55">
        <v>0.17</v>
      </c>
      <c r="L1182" s="55">
        <v>0.4</v>
      </c>
      <c r="M1182" s="55">
        <v>5.37</v>
      </c>
      <c r="N1182" s="55">
        <v>0</v>
      </c>
      <c r="O1182" s="55">
        <v>0</v>
      </c>
      <c r="P1182" s="52"/>
    </row>
    <row r="1183" spans="1:16" ht="18" customHeight="1">
      <c r="A1183" s="47"/>
      <c r="B1183" s="70" t="s">
        <v>1709</v>
      </c>
      <c r="C1183" s="54"/>
      <c r="D1183" s="55">
        <v>100</v>
      </c>
      <c r="E1183" s="55">
        <v>3</v>
      </c>
      <c r="F1183" s="55">
        <v>32.1</v>
      </c>
      <c r="G1183" s="55">
        <v>4.4000000000000004</v>
      </c>
      <c r="H1183" s="55">
        <v>31</v>
      </c>
      <c r="I1183" s="55">
        <v>1.3</v>
      </c>
      <c r="J1183" s="55">
        <v>36</v>
      </c>
      <c r="K1183" s="55">
        <v>0.1</v>
      </c>
      <c r="L1183" s="55">
        <v>0.05</v>
      </c>
      <c r="M1183" s="55">
        <v>0.9</v>
      </c>
      <c r="N1183" s="55">
        <v>1</v>
      </c>
      <c r="O1183" s="55">
        <v>0</v>
      </c>
      <c r="P1183" s="52"/>
    </row>
    <row r="1184" spans="1:16" ht="18" customHeight="1">
      <c r="A1184" s="47"/>
      <c r="B1184" s="70" t="s">
        <v>1477</v>
      </c>
      <c r="C1184" s="54"/>
      <c r="D1184" s="55">
        <v>100</v>
      </c>
      <c r="E1184" s="55">
        <v>3</v>
      </c>
      <c r="F1184" s="55">
        <v>32.1</v>
      </c>
      <c r="G1184" s="55">
        <v>0.2</v>
      </c>
      <c r="H1184" s="55">
        <v>31</v>
      </c>
      <c r="I1184" s="55">
        <v>1.3</v>
      </c>
      <c r="J1184" s="55">
        <v>36</v>
      </c>
      <c r="K1184" s="55">
        <v>0.1</v>
      </c>
      <c r="L1184" s="55">
        <v>0.05</v>
      </c>
      <c r="M1184" s="55">
        <v>0.9</v>
      </c>
      <c r="N1184" s="55">
        <v>1</v>
      </c>
      <c r="O1184" s="55">
        <v>0</v>
      </c>
      <c r="P1184" s="52"/>
    </row>
    <row r="1185" spans="1:16" ht="18" customHeight="1">
      <c r="A1185" s="47"/>
      <c r="B1185" s="70" t="s">
        <v>2039</v>
      </c>
      <c r="C1185" s="54"/>
      <c r="D1185" s="55">
        <v>100</v>
      </c>
      <c r="E1185" s="55">
        <v>3</v>
      </c>
      <c r="F1185" s="55">
        <v>32.1</v>
      </c>
      <c r="G1185" s="55">
        <v>0.2</v>
      </c>
      <c r="H1185" s="55">
        <v>31</v>
      </c>
      <c r="I1185" s="55">
        <v>1.3</v>
      </c>
      <c r="J1185" s="55">
        <v>36</v>
      </c>
      <c r="K1185" s="55">
        <v>0.1</v>
      </c>
      <c r="L1185" s="55">
        <v>0.05</v>
      </c>
      <c r="M1185" s="55">
        <v>0.9</v>
      </c>
      <c r="N1185" s="55">
        <v>1</v>
      </c>
      <c r="O1185" s="55">
        <v>0</v>
      </c>
      <c r="P1185" s="52"/>
    </row>
    <row r="1186" spans="1:16" ht="18" customHeight="1">
      <c r="A1186" s="47"/>
      <c r="B1186" s="48" t="s">
        <v>1478</v>
      </c>
      <c r="C1186" s="54"/>
      <c r="D1186" s="55">
        <v>163</v>
      </c>
      <c r="E1186" s="55">
        <v>14.3</v>
      </c>
      <c r="F1186" s="55">
        <v>3.27</v>
      </c>
      <c r="G1186" s="55">
        <v>10.8</v>
      </c>
      <c r="H1186" s="55">
        <v>52.18</v>
      </c>
      <c r="I1186" s="55">
        <v>1.5</v>
      </c>
      <c r="J1186" s="55">
        <v>10</v>
      </c>
      <c r="K1186" s="55">
        <v>0.11</v>
      </c>
      <c r="L1186" s="55">
        <v>7.0000000000000007E-2</v>
      </c>
      <c r="M1186" s="55">
        <v>2.0099999999999998</v>
      </c>
      <c r="N1186" s="55">
        <v>4.0999999999999996</v>
      </c>
      <c r="O1186" s="55">
        <v>0</v>
      </c>
    </row>
    <row r="1187" spans="1:16" ht="18" customHeight="1">
      <c r="A1187" s="47"/>
      <c r="B1187" s="48" t="s">
        <v>1479</v>
      </c>
      <c r="C1187" s="54"/>
      <c r="D1187" s="55">
        <v>163</v>
      </c>
      <c r="E1187" s="55">
        <v>16.2</v>
      </c>
      <c r="F1187" s="55">
        <v>4.05</v>
      </c>
      <c r="G1187" s="55">
        <v>8.1</v>
      </c>
      <c r="H1187" s="55">
        <v>52.18</v>
      </c>
      <c r="I1187" s="55">
        <v>1.5</v>
      </c>
      <c r="J1187" s="55">
        <v>10</v>
      </c>
      <c r="K1187" s="55">
        <v>0.11</v>
      </c>
      <c r="L1187" s="55">
        <v>7.0000000000000007E-2</v>
      </c>
      <c r="M1187" s="55">
        <v>2.0299999999999998</v>
      </c>
      <c r="N1187" s="55">
        <v>4.0999999999999996</v>
      </c>
      <c r="O1187" s="55"/>
    </row>
    <row r="1188" spans="1:16" ht="18" customHeight="1">
      <c r="A1188" s="47"/>
      <c r="B1188" s="48" t="s">
        <v>1740</v>
      </c>
      <c r="C1188" s="54"/>
      <c r="D1188" s="55">
        <v>163</v>
      </c>
      <c r="E1188" s="55">
        <v>16.2</v>
      </c>
      <c r="F1188" s="55">
        <v>3.27</v>
      </c>
      <c r="G1188" s="55">
        <v>10.6</v>
      </c>
      <c r="H1188" s="55">
        <v>52.18</v>
      </c>
      <c r="I1188" s="55">
        <v>1.5</v>
      </c>
      <c r="J1188" s="55">
        <v>10</v>
      </c>
      <c r="K1188" s="55">
        <v>0.11</v>
      </c>
      <c r="L1188" s="55">
        <v>7.0000000000000007E-2</v>
      </c>
      <c r="M1188" s="55">
        <v>2.0299999999999998</v>
      </c>
      <c r="N1188" s="55">
        <v>4.0999999999999996</v>
      </c>
      <c r="O1188" s="55">
        <v>0</v>
      </c>
    </row>
    <row r="1189" spans="1:16" ht="18" customHeight="1">
      <c r="A1189" s="47"/>
      <c r="B1189" s="48" t="s">
        <v>1729</v>
      </c>
      <c r="C1189" s="54"/>
      <c r="D1189" s="55">
        <v>163</v>
      </c>
      <c r="E1189" s="55">
        <v>16.2</v>
      </c>
      <c r="F1189" s="55">
        <v>3.27</v>
      </c>
      <c r="G1189" s="55">
        <v>10.6</v>
      </c>
      <c r="H1189" s="55">
        <v>52.18</v>
      </c>
      <c r="I1189" s="55">
        <v>1.5</v>
      </c>
      <c r="J1189" s="55">
        <v>10</v>
      </c>
      <c r="K1189" s="55">
        <v>0.11</v>
      </c>
      <c r="L1189" s="55">
        <v>7.0000000000000007E-2</v>
      </c>
      <c r="M1189" s="55">
        <v>2.0299999999999998</v>
      </c>
      <c r="N1189" s="55">
        <v>4.0999999999999996</v>
      </c>
      <c r="O1189" s="55">
        <v>0</v>
      </c>
    </row>
    <row r="1190" spans="1:16" ht="18" customHeight="1">
      <c r="A1190" s="47"/>
      <c r="B1190" s="48" t="s">
        <v>1732</v>
      </c>
      <c r="C1190" s="54"/>
      <c r="D1190" s="55">
        <v>163</v>
      </c>
      <c r="E1190" s="55">
        <v>16.2</v>
      </c>
      <c r="F1190" s="55">
        <v>3.27</v>
      </c>
      <c r="G1190" s="55">
        <v>10.6</v>
      </c>
      <c r="H1190" s="55">
        <v>52.18</v>
      </c>
      <c r="I1190" s="55">
        <v>1.5</v>
      </c>
      <c r="J1190" s="55">
        <v>10</v>
      </c>
      <c r="K1190" s="55">
        <v>0.11</v>
      </c>
      <c r="L1190" s="55">
        <v>7.0000000000000007E-2</v>
      </c>
      <c r="M1190" s="55">
        <v>2.0299999999999998</v>
      </c>
      <c r="N1190" s="55">
        <v>4.0999999999999996</v>
      </c>
      <c r="O1190" s="55">
        <v>0</v>
      </c>
    </row>
    <row r="1191" spans="1:16" ht="18" customHeight="1">
      <c r="A1191" s="47"/>
      <c r="B1191" s="48" t="s">
        <v>1480</v>
      </c>
      <c r="C1191" s="54"/>
      <c r="D1191" s="55">
        <v>163</v>
      </c>
      <c r="E1191" s="55">
        <v>16.2</v>
      </c>
      <c r="F1191" s="55">
        <v>3.27</v>
      </c>
      <c r="G1191" s="55">
        <v>10.6</v>
      </c>
      <c r="H1191" s="55">
        <v>52.18</v>
      </c>
      <c r="I1191" s="55">
        <v>1.5</v>
      </c>
      <c r="J1191" s="55">
        <v>10</v>
      </c>
      <c r="K1191" s="55">
        <v>0.11</v>
      </c>
      <c r="L1191" s="55">
        <v>7.0000000000000007E-2</v>
      </c>
      <c r="M1191" s="55">
        <v>2.0299999999999998</v>
      </c>
      <c r="N1191" s="55">
        <v>4.0999999999999996</v>
      </c>
      <c r="O1191" s="55">
        <v>0</v>
      </c>
    </row>
    <row r="1192" spans="1:16" ht="18" customHeight="1">
      <c r="A1192" s="47"/>
      <c r="B1192" s="48" t="s">
        <v>1701</v>
      </c>
      <c r="C1192" s="54"/>
      <c r="D1192" s="55">
        <v>163</v>
      </c>
      <c r="E1192" s="55">
        <v>16.2</v>
      </c>
      <c r="F1192" s="55">
        <v>3.27</v>
      </c>
      <c r="G1192" s="55">
        <v>11.3</v>
      </c>
      <c r="H1192" s="55">
        <v>52.18</v>
      </c>
      <c r="I1192" s="55">
        <v>1.5</v>
      </c>
      <c r="J1192" s="55">
        <v>10</v>
      </c>
      <c r="K1192" s="55">
        <v>0.11</v>
      </c>
      <c r="L1192" s="55">
        <v>7.0000000000000007E-2</v>
      </c>
      <c r="M1192" s="55">
        <v>2.0299999999999998</v>
      </c>
      <c r="N1192" s="55">
        <v>4.0999999999999996</v>
      </c>
      <c r="O1192" s="55">
        <v>0</v>
      </c>
    </row>
    <row r="1193" spans="1:16" ht="18" customHeight="1">
      <c r="A1193" s="47"/>
      <c r="B1193" s="48" t="s">
        <v>1481</v>
      </c>
      <c r="C1193" s="54"/>
      <c r="D1193" s="55">
        <v>163</v>
      </c>
      <c r="E1193" s="55">
        <v>16.2</v>
      </c>
      <c r="F1193" s="55">
        <v>3.27</v>
      </c>
      <c r="G1193" s="55">
        <v>11.3</v>
      </c>
      <c r="H1193" s="55">
        <v>52.18</v>
      </c>
      <c r="I1193" s="55">
        <v>1.5</v>
      </c>
      <c r="J1193" s="55">
        <v>10</v>
      </c>
      <c r="K1193" s="55">
        <v>0.11</v>
      </c>
      <c r="L1193" s="55">
        <v>7.0000000000000007E-2</v>
      </c>
      <c r="M1193" s="55">
        <v>2.0299999999999998</v>
      </c>
      <c r="N1193" s="55">
        <v>4.0999999999999996</v>
      </c>
      <c r="O1193" s="55">
        <v>0</v>
      </c>
    </row>
    <row r="1194" spans="1:16" ht="18" customHeight="1">
      <c r="A1194" s="47"/>
      <c r="B1194" s="48" t="s">
        <v>1721</v>
      </c>
      <c r="C1194" s="54"/>
      <c r="D1194" s="55">
        <v>163</v>
      </c>
      <c r="E1194" s="55">
        <v>16.2</v>
      </c>
      <c r="F1194" s="55">
        <v>3.27</v>
      </c>
      <c r="G1194" s="55">
        <v>4.5999999999999996</v>
      </c>
      <c r="H1194" s="55">
        <v>52.18</v>
      </c>
      <c r="I1194" s="55">
        <v>1.5</v>
      </c>
      <c r="J1194" s="55">
        <v>10</v>
      </c>
      <c r="K1194" s="55">
        <v>0.11</v>
      </c>
      <c r="L1194" s="55">
        <v>7.0000000000000007E-2</v>
      </c>
      <c r="M1194" s="55">
        <v>2.0299999999999998</v>
      </c>
      <c r="N1194" s="55">
        <v>4.0999999999999996</v>
      </c>
      <c r="O1194" s="55">
        <v>0</v>
      </c>
    </row>
    <row r="1195" spans="1:16" ht="18" customHeight="1">
      <c r="A1195" s="47"/>
      <c r="B1195" s="48" t="s">
        <v>1482</v>
      </c>
      <c r="C1195" s="54"/>
      <c r="D1195" s="55">
        <v>163</v>
      </c>
      <c r="E1195" s="55">
        <v>16.2</v>
      </c>
      <c r="F1195" s="55">
        <v>3.27</v>
      </c>
      <c r="G1195" s="55">
        <v>4.5999999999999996</v>
      </c>
      <c r="H1195" s="55">
        <v>52.18</v>
      </c>
      <c r="I1195" s="55">
        <v>1.5</v>
      </c>
      <c r="J1195" s="55">
        <v>10</v>
      </c>
      <c r="K1195" s="55">
        <v>0.11</v>
      </c>
      <c r="L1195" s="55">
        <v>7.0000000000000007E-2</v>
      </c>
      <c r="M1195" s="55">
        <v>2.0299999999999998</v>
      </c>
      <c r="N1195" s="55">
        <v>4.0999999999999996</v>
      </c>
      <c r="O1195" s="55">
        <v>0</v>
      </c>
    </row>
    <row r="1196" spans="1:16" ht="18" customHeight="1">
      <c r="A1196" s="47"/>
      <c r="B1196" s="48" t="s">
        <v>1483</v>
      </c>
      <c r="C1196" s="54"/>
      <c r="D1196" s="55">
        <v>163</v>
      </c>
      <c r="E1196" s="55">
        <v>16.2</v>
      </c>
      <c r="F1196" s="55">
        <v>3.27</v>
      </c>
      <c r="G1196" s="55">
        <v>8.1</v>
      </c>
      <c r="H1196" s="55">
        <v>52.18</v>
      </c>
      <c r="I1196" s="55">
        <v>1.5</v>
      </c>
      <c r="J1196" s="55">
        <v>10</v>
      </c>
      <c r="K1196" s="55">
        <v>0.11</v>
      </c>
      <c r="L1196" s="55">
        <v>7.0000000000000007E-2</v>
      </c>
      <c r="M1196" s="55">
        <v>2.0299999999999998</v>
      </c>
      <c r="N1196" s="55">
        <v>4.0999999999999996</v>
      </c>
      <c r="O1196" s="55">
        <v>0</v>
      </c>
    </row>
    <row r="1197" spans="1:16" ht="18" customHeight="1">
      <c r="A1197" s="47"/>
      <c r="B1197" s="48" t="s">
        <v>1484</v>
      </c>
      <c r="C1197" s="54"/>
      <c r="D1197" s="55">
        <v>163</v>
      </c>
      <c r="E1197" s="55">
        <v>16.2</v>
      </c>
      <c r="F1197" s="55">
        <v>3.27</v>
      </c>
      <c r="G1197" s="55">
        <v>5.7</v>
      </c>
      <c r="H1197" s="55">
        <v>52.18</v>
      </c>
      <c r="I1197" s="55">
        <v>1.5</v>
      </c>
      <c r="J1197" s="55">
        <v>10</v>
      </c>
      <c r="K1197" s="55">
        <v>0.11</v>
      </c>
      <c r="L1197" s="55">
        <v>7.0000000000000007E-2</v>
      </c>
      <c r="M1197" s="55">
        <v>2.0299999999999998</v>
      </c>
      <c r="N1197" s="55">
        <v>4.0999999999999996</v>
      </c>
      <c r="O1197" s="55">
        <v>0</v>
      </c>
    </row>
    <row r="1198" spans="1:16" ht="18" customHeight="1">
      <c r="A1198" s="47"/>
      <c r="B1198" s="48" t="s">
        <v>2102</v>
      </c>
      <c r="C1198" s="54"/>
      <c r="D1198" s="55">
        <v>160</v>
      </c>
      <c r="E1198" s="55">
        <v>9</v>
      </c>
      <c r="F1198" s="55">
        <v>6</v>
      </c>
      <c r="G1198" s="55">
        <v>17</v>
      </c>
      <c r="H1198" s="55"/>
      <c r="I1198" s="55"/>
      <c r="J1198" s="55"/>
      <c r="K1198" s="55"/>
      <c r="L1198" s="55"/>
      <c r="M1198" s="55"/>
      <c r="N1198" s="55"/>
      <c r="O1198" s="55"/>
    </row>
    <row r="1199" spans="1:16" ht="18" customHeight="1">
      <c r="A1199" s="47"/>
      <c r="B1199" s="48" t="s">
        <v>1485</v>
      </c>
      <c r="C1199" s="54"/>
      <c r="D1199" s="55">
        <v>163</v>
      </c>
      <c r="E1199" s="55">
        <v>16.2</v>
      </c>
      <c r="F1199" s="55">
        <v>3.27</v>
      </c>
      <c r="G1199" s="55">
        <v>6.9</v>
      </c>
      <c r="H1199" s="55">
        <v>52.18</v>
      </c>
      <c r="I1199" s="55">
        <v>1.5</v>
      </c>
      <c r="J1199" s="55">
        <v>10</v>
      </c>
      <c r="K1199" s="55">
        <v>0.11</v>
      </c>
      <c r="L1199" s="55">
        <v>7.0000000000000007E-2</v>
      </c>
      <c r="M1199" s="55">
        <v>2.0299999999999998</v>
      </c>
      <c r="N1199" s="55">
        <v>4.0999999999999996</v>
      </c>
      <c r="O1199" s="55">
        <v>0</v>
      </c>
    </row>
    <row r="1200" spans="1:16" ht="18" customHeight="1">
      <c r="A1200" s="47"/>
      <c r="B1200" s="48" t="s">
        <v>1486</v>
      </c>
      <c r="C1200" s="54"/>
      <c r="D1200" s="55">
        <v>109</v>
      </c>
      <c r="E1200" s="55">
        <v>5</v>
      </c>
      <c r="F1200" s="55">
        <v>0</v>
      </c>
      <c r="G1200" s="55">
        <v>3.48</v>
      </c>
      <c r="H1200" s="55">
        <v>22</v>
      </c>
      <c r="I1200" s="55">
        <v>1.7</v>
      </c>
      <c r="J1200" s="55">
        <v>6</v>
      </c>
      <c r="K1200" s="55">
        <v>7.0000000000000007E-2</v>
      </c>
      <c r="L1200" s="55">
        <v>0.15</v>
      </c>
      <c r="M1200" s="55">
        <v>0.15</v>
      </c>
      <c r="N1200" s="55">
        <v>0</v>
      </c>
      <c r="O1200" s="55"/>
    </row>
    <row r="1201" spans="1:16" ht="18" customHeight="1">
      <c r="A1201" s="47"/>
      <c r="B1201" s="48" t="s">
        <v>1487</v>
      </c>
      <c r="C1201" s="54"/>
      <c r="D1201" s="55">
        <v>40</v>
      </c>
      <c r="E1201" s="55">
        <v>3.5</v>
      </c>
      <c r="F1201" s="55">
        <v>24.2</v>
      </c>
      <c r="G1201" s="55">
        <v>0.34</v>
      </c>
      <c r="H1201" s="55">
        <v>32</v>
      </c>
      <c r="I1201" s="55">
        <v>1</v>
      </c>
      <c r="J1201" s="55">
        <v>282</v>
      </c>
      <c r="K1201" s="55">
        <v>0.13</v>
      </c>
      <c r="L1201" s="55">
        <v>0.12</v>
      </c>
      <c r="M1201" s="55">
        <v>0.8</v>
      </c>
      <c r="N1201" s="55">
        <v>10</v>
      </c>
      <c r="O1201" s="55">
        <v>0</v>
      </c>
    </row>
    <row r="1202" spans="1:16" ht="18" customHeight="1">
      <c r="A1202" s="47"/>
      <c r="B1202" s="48" t="s">
        <v>1488</v>
      </c>
      <c r="C1202" s="54"/>
      <c r="D1202" s="55">
        <v>200</v>
      </c>
      <c r="E1202" s="50">
        <v>4.3</v>
      </c>
      <c r="F1202" s="50">
        <v>47.2</v>
      </c>
      <c r="G1202" s="50">
        <v>22.9</v>
      </c>
      <c r="H1202" s="55">
        <v>23</v>
      </c>
      <c r="I1202" s="55">
        <v>1.1000000000000001</v>
      </c>
      <c r="J1202" s="55">
        <v>0</v>
      </c>
      <c r="K1202" s="55">
        <v>0.03</v>
      </c>
      <c r="L1202" s="55">
        <v>0.08</v>
      </c>
      <c r="M1202" s="55">
        <v>0.38</v>
      </c>
      <c r="N1202" s="55">
        <v>0</v>
      </c>
      <c r="O1202" s="55">
        <v>0</v>
      </c>
    </row>
    <row r="1203" spans="1:16" ht="18" customHeight="1">
      <c r="A1203" s="47"/>
      <c r="B1203" s="48" t="s">
        <v>1489</v>
      </c>
      <c r="C1203" s="54"/>
      <c r="D1203" s="55">
        <v>120</v>
      </c>
      <c r="E1203" s="50">
        <v>3.3</v>
      </c>
      <c r="F1203" s="50">
        <v>73.8</v>
      </c>
      <c r="G1203" s="50">
        <v>9.4</v>
      </c>
      <c r="H1203" s="55">
        <v>13</v>
      </c>
      <c r="I1203" s="55">
        <v>1.1000000000000001</v>
      </c>
      <c r="J1203" s="55">
        <v>0</v>
      </c>
      <c r="K1203" s="55">
        <v>0.03</v>
      </c>
      <c r="L1203" s="55">
        <v>0.08</v>
      </c>
      <c r="M1203" s="55">
        <v>0.21</v>
      </c>
      <c r="N1203" s="55">
        <v>0</v>
      </c>
      <c r="O1203" s="55">
        <v>0</v>
      </c>
    </row>
    <row r="1204" spans="1:16" ht="18" customHeight="1">
      <c r="A1204" s="47"/>
      <c r="B1204" s="48" t="s">
        <v>1490</v>
      </c>
      <c r="C1204" s="54"/>
      <c r="D1204" s="55">
        <v>600</v>
      </c>
      <c r="E1204" s="50">
        <v>4.3</v>
      </c>
      <c r="F1204" s="50">
        <v>88</v>
      </c>
      <c r="G1204" s="50">
        <v>2</v>
      </c>
      <c r="H1204" s="55">
        <v>23</v>
      </c>
      <c r="I1204" s="55">
        <v>1.1000000000000001</v>
      </c>
      <c r="J1204" s="55">
        <v>0</v>
      </c>
      <c r="K1204" s="55">
        <v>0.03</v>
      </c>
      <c r="L1204" s="55">
        <v>0.08</v>
      </c>
      <c r="M1204" s="55">
        <v>0.38</v>
      </c>
      <c r="N1204" s="55">
        <v>0</v>
      </c>
      <c r="O1204" s="55">
        <v>0</v>
      </c>
    </row>
    <row r="1205" spans="1:16" ht="18" customHeight="1">
      <c r="A1205" s="47"/>
      <c r="B1205" s="48" t="s">
        <v>1776</v>
      </c>
      <c r="C1205" s="54"/>
      <c r="D1205" s="55">
        <v>45</v>
      </c>
      <c r="E1205" s="55">
        <v>0.6</v>
      </c>
      <c r="F1205" s="55">
        <v>11.7</v>
      </c>
      <c r="G1205" s="55">
        <v>0.1</v>
      </c>
      <c r="H1205" s="55">
        <v>9</v>
      </c>
      <c r="I1205" s="55">
        <v>0.2</v>
      </c>
      <c r="J1205" s="55">
        <v>0</v>
      </c>
      <c r="K1205" s="55">
        <v>0.01</v>
      </c>
      <c r="L1205" s="55">
        <v>0.01</v>
      </c>
      <c r="M1205" s="55">
        <v>0.3</v>
      </c>
      <c r="N1205" s="55">
        <v>0</v>
      </c>
      <c r="O1205" s="55">
        <v>0</v>
      </c>
    </row>
    <row r="1206" spans="1:16" ht="18" customHeight="1">
      <c r="A1206" s="47"/>
      <c r="B1206" s="48" t="s">
        <v>2103</v>
      </c>
      <c r="C1206" s="54"/>
      <c r="D1206" s="55">
        <v>299</v>
      </c>
      <c r="E1206" s="55">
        <v>3.8</v>
      </c>
      <c r="F1206" s="55">
        <v>78.5</v>
      </c>
      <c r="G1206" s="55">
        <v>0.4</v>
      </c>
      <c r="H1206" s="55"/>
      <c r="I1206" s="55"/>
      <c r="J1206" s="55"/>
      <c r="K1206" s="55"/>
      <c r="L1206" s="55"/>
      <c r="M1206" s="55"/>
      <c r="N1206" s="55"/>
      <c r="O1206" s="55"/>
    </row>
    <row r="1207" spans="1:16" ht="18" customHeight="1">
      <c r="A1207" s="47"/>
      <c r="B1207" s="48" t="s">
        <v>1491</v>
      </c>
      <c r="C1207" s="54"/>
      <c r="D1207" s="55">
        <v>45</v>
      </c>
      <c r="E1207" s="55">
        <v>0.6</v>
      </c>
      <c r="F1207" s="55">
        <v>11.7</v>
      </c>
      <c r="G1207" s="55">
        <v>0.1</v>
      </c>
      <c r="H1207" s="55">
        <v>9</v>
      </c>
      <c r="I1207" s="55">
        <v>0.2</v>
      </c>
      <c r="J1207" s="55">
        <v>0</v>
      </c>
      <c r="K1207" s="55">
        <v>0.01</v>
      </c>
      <c r="L1207" s="55">
        <v>0.01</v>
      </c>
      <c r="M1207" s="55">
        <v>0.3</v>
      </c>
      <c r="N1207" s="55">
        <v>0</v>
      </c>
      <c r="O1207" s="55">
        <v>0</v>
      </c>
    </row>
    <row r="1208" spans="1:16" ht="18" customHeight="1">
      <c r="A1208" s="47"/>
      <c r="B1208" s="48" t="s">
        <v>1938</v>
      </c>
      <c r="C1208" s="54"/>
      <c r="D1208" s="55">
        <v>45</v>
      </c>
      <c r="E1208" s="55">
        <v>0.6</v>
      </c>
      <c r="F1208" s="55">
        <v>11.7</v>
      </c>
      <c r="G1208" s="55">
        <v>0.1</v>
      </c>
      <c r="H1208" s="55">
        <v>9</v>
      </c>
      <c r="I1208" s="55">
        <v>0.2</v>
      </c>
      <c r="J1208" s="55">
        <v>0</v>
      </c>
      <c r="K1208" s="55">
        <v>0.01</v>
      </c>
      <c r="L1208" s="55">
        <v>0.01</v>
      </c>
      <c r="M1208" s="55">
        <v>0.3</v>
      </c>
      <c r="N1208" s="55">
        <v>0</v>
      </c>
      <c r="O1208" s="55">
        <v>0</v>
      </c>
    </row>
    <row r="1209" spans="1:16" ht="18" customHeight="1">
      <c r="A1209" s="47"/>
      <c r="B1209" s="48" t="s">
        <v>1648</v>
      </c>
      <c r="C1209" s="54"/>
      <c r="D1209" s="55">
        <v>45</v>
      </c>
      <c r="E1209" s="55">
        <v>0.6</v>
      </c>
      <c r="F1209" s="55">
        <v>11.7</v>
      </c>
      <c r="G1209" s="55">
        <v>0.1</v>
      </c>
      <c r="H1209" s="55">
        <v>9</v>
      </c>
      <c r="I1209" s="55">
        <v>0.2</v>
      </c>
      <c r="J1209" s="55">
        <v>0</v>
      </c>
      <c r="K1209" s="55">
        <v>0.01</v>
      </c>
      <c r="L1209" s="55">
        <v>0.01</v>
      </c>
      <c r="M1209" s="55">
        <v>0.3</v>
      </c>
      <c r="N1209" s="55">
        <v>0</v>
      </c>
      <c r="O1209" s="55">
        <v>0</v>
      </c>
    </row>
    <row r="1210" spans="1:16" ht="18" customHeight="1">
      <c r="A1210" s="47"/>
      <c r="B1210" s="48" t="s">
        <v>1492</v>
      </c>
      <c r="C1210" s="54"/>
      <c r="D1210" s="55">
        <v>45</v>
      </c>
      <c r="E1210" s="55">
        <v>0.6</v>
      </c>
      <c r="F1210" s="55">
        <v>10.9</v>
      </c>
      <c r="G1210" s="55">
        <v>0</v>
      </c>
      <c r="H1210" s="55">
        <v>9</v>
      </c>
      <c r="I1210" s="55">
        <v>0.2</v>
      </c>
      <c r="J1210" s="55">
        <v>0</v>
      </c>
      <c r="K1210" s="55">
        <v>0.01</v>
      </c>
      <c r="L1210" s="55">
        <v>0.01</v>
      </c>
      <c r="M1210" s="55">
        <v>0.3</v>
      </c>
      <c r="N1210" s="55">
        <v>0</v>
      </c>
      <c r="O1210" s="55">
        <v>0</v>
      </c>
    </row>
    <row r="1211" spans="1:16" ht="18" customHeight="1">
      <c r="A1211" s="47"/>
      <c r="B1211" s="48" t="s">
        <v>1493</v>
      </c>
      <c r="C1211" s="54"/>
      <c r="D1211" s="55">
        <v>332</v>
      </c>
      <c r="E1211" s="55">
        <v>20</v>
      </c>
      <c r="F1211" s="55">
        <v>29.2</v>
      </c>
      <c r="G1211" s="55">
        <v>1.5</v>
      </c>
      <c r="H1211" s="55">
        <v>126</v>
      </c>
      <c r="I1211" s="55">
        <v>1</v>
      </c>
      <c r="J1211" s="55">
        <v>0</v>
      </c>
      <c r="K1211" s="55">
        <v>0.06</v>
      </c>
      <c r="L1211" s="55">
        <v>0.05</v>
      </c>
      <c r="M1211" s="55">
        <v>2.2999999999999998</v>
      </c>
      <c r="N1211" s="55">
        <v>0</v>
      </c>
      <c r="O1211" s="55">
        <v>0</v>
      </c>
    </row>
    <row r="1212" spans="1:16" ht="18" customHeight="1">
      <c r="A1212" s="47"/>
      <c r="B1212" s="48" t="s">
        <v>1494</v>
      </c>
      <c r="C1212" s="54"/>
      <c r="D1212" s="55">
        <v>273</v>
      </c>
      <c r="E1212" s="55">
        <v>20</v>
      </c>
      <c r="F1212" s="55">
        <v>0.5</v>
      </c>
      <c r="G1212" s="55">
        <v>3.7</v>
      </c>
      <c r="H1212" s="55">
        <v>126</v>
      </c>
      <c r="I1212" s="55">
        <v>1</v>
      </c>
      <c r="J1212" s="55">
        <v>0</v>
      </c>
      <c r="K1212" s="55">
        <v>0.06</v>
      </c>
      <c r="L1212" s="55">
        <v>0.05</v>
      </c>
      <c r="M1212" s="55">
        <v>2.2999999999999998</v>
      </c>
      <c r="N1212" s="55">
        <v>0</v>
      </c>
      <c r="O1212" s="55">
        <v>0</v>
      </c>
    </row>
    <row r="1213" spans="1:16" ht="18" customHeight="1">
      <c r="A1213" s="47"/>
      <c r="B1213" s="48" t="s">
        <v>1495</v>
      </c>
      <c r="C1213" s="54"/>
      <c r="D1213" s="55">
        <v>230</v>
      </c>
      <c r="E1213" s="55">
        <v>11</v>
      </c>
      <c r="F1213" s="55">
        <v>6</v>
      </c>
      <c r="G1213" s="55">
        <v>1.1000000000000001</v>
      </c>
      <c r="H1213" s="55">
        <v>62</v>
      </c>
      <c r="I1213" s="55">
        <v>6.8</v>
      </c>
      <c r="J1213" s="55">
        <v>4623</v>
      </c>
      <c r="K1213" s="55">
        <v>0.3</v>
      </c>
      <c r="L1213" s="55">
        <v>1.1000000000000001</v>
      </c>
      <c r="M1213" s="55">
        <v>12.5</v>
      </c>
      <c r="N1213" s="55">
        <v>26</v>
      </c>
      <c r="O1213" s="55">
        <v>0</v>
      </c>
    </row>
    <row r="1214" spans="1:16" ht="18" customHeight="1">
      <c r="A1214" s="47"/>
      <c r="B1214" s="48" t="s">
        <v>1496</v>
      </c>
      <c r="C1214" s="54"/>
      <c r="D1214" s="55">
        <v>221</v>
      </c>
      <c r="E1214" s="55">
        <v>11</v>
      </c>
      <c r="F1214" s="55">
        <v>31.8</v>
      </c>
      <c r="G1214" s="55">
        <v>6.93</v>
      </c>
      <c r="H1214" s="55">
        <v>58</v>
      </c>
      <c r="I1214" s="55">
        <v>6.8</v>
      </c>
      <c r="J1214" s="55">
        <v>4623</v>
      </c>
      <c r="K1214" s="55">
        <v>0.3</v>
      </c>
      <c r="L1214" s="55">
        <v>1.1000000000000001</v>
      </c>
      <c r="M1214" s="55">
        <v>12.5</v>
      </c>
      <c r="N1214" s="55">
        <v>26</v>
      </c>
      <c r="O1214" s="55">
        <v>0</v>
      </c>
    </row>
    <row r="1215" spans="1:16" ht="18" customHeight="1">
      <c r="A1215" s="47" t="s">
        <v>1038</v>
      </c>
      <c r="B1215" s="48" t="s">
        <v>1497</v>
      </c>
      <c r="C1215" s="54"/>
      <c r="D1215" s="55">
        <v>14</v>
      </c>
      <c r="E1215" s="55">
        <v>1.3</v>
      </c>
      <c r="F1215" s="55">
        <v>3.5</v>
      </c>
      <c r="G1215" s="55">
        <v>0.4</v>
      </c>
      <c r="H1215" s="55">
        <v>90</v>
      </c>
      <c r="I1215" s="55">
        <v>0.8</v>
      </c>
      <c r="J1215" s="55">
        <v>345</v>
      </c>
      <c r="K1215" s="55">
        <v>0.06</v>
      </c>
      <c r="L1215" s="55">
        <v>7.0000000000000007E-2</v>
      </c>
      <c r="M1215" s="55">
        <v>0.6</v>
      </c>
      <c r="N1215" s="55">
        <v>48</v>
      </c>
      <c r="O1215" s="55">
        <v>9</v>
      </c>
      <c r="P1215" s="47" t="s">
        <v>51</v>
      </c>
    </row>
    <row r="1216" spans="1:16" ht="18" customHeight="1">
      <c r="A1216" s="47"/>
      <c r="B1216" s="48" t="s">
        <v>1917</v>
      </c>
      <c r="C1216" s="54"/>
      <c r="D1216" s="55">
        <v>147</v>
      </c>
      <c r="E1216" s="55">
        <v>10</v>
      </c>
      <c r="F1216" s="55">
        <v>10.74</v>
      </c>
      <c r="G1216" s="55">
        <v>1.56</v>
      </c>
      <c r="H1216" s="55">
        <v>2</v>
      </c>
      <c r="I1216" s="55">
        <v>1</v>
      </c>
      <c r="J1216" s="55">
        <v>0</v>
      </c>
      <c r="K1216" s="55">
        <v>1.6E-2</v>
      </c>
      <c r="L1216" s="55">
        <v>0.01</v>
      </c>
      <c r="M1216" s="55">
        <v>0.02</v>
      </c>
      <c r="N1216" s="55">
        <v>0</v>
      </c>
      <c r="O1216" s="55">
        <v>0</v>
      </c>
    </row>
    <row r="1217" spans="1:16" ht="18" customHeight="1">
      <c r="A1217" s="47"/>
      <c r="B1217" s="48" t="s">
        <v>1498</v>
      </c>
      <c r="C1217" s="54"/>
      <c r="D1217" s="55">
        <v>147</v>
      </c>
      <c r="E1217" s="55">
        <v>10</v>
      </c>
      <c r="F1217" s="55">
        <v>10.74</v>
      </c>
      <c r="G1217" s="55">
        <v>1.56</v>
      </c>
      <c r="H1217" s="55">
        <v>2</v>
      </c>
      <c r="I1217" s="55">
        <v>1</v>
      </c>
      <c r="J1217" s="55">
        <v>0</v>
      </c>
      <c r="K1217" s="55">
        <v>1.6E-2</v>
      </c>
      <c r="L1217" s="55">
        <v>0.01</v>
      </c>
      <c r="M1217" s="55">
        <v>0.02</v>
      </c>
      <c r="N1217" s="55">
        <v>0</v>
      </c>
      <c r="O1217" s="55">
        <v>0</v>
      </c>
    </row>
    <row r="1218" spans="1:16" ht="18" customHeight="1">
      <c r="A1218" s="47"/>
      <c r="B1218" s="48" t="s">
        <v>1499</v>
      </c>
      <c r="C1218" s="54"/>
      <c r="D1218" s="55">
        <v>160</v>
      </c>
      <c r="E1218" s="55">
        <v>13</v>
      </c>
      <c r="F1218" s="55">
        <v>10.74</v>
      </c>
      <c r="G1218" s="55">
        <v>7.8</v>
      </c>
      <c r="H1218" s="55">
        <v>30</v>
      </c>
      <c r="I1218" s="55">
        <v>1</v>
      </c>
      <c r="J1218" s="55">
        <v>0</v>
      </c>
      <c r="K1218" s="55">
        <v>0.03</v>
      </c>
      <c r="L1218" s="55">
        <v>0.05</v>
      </c>
      <c r="M1218" s="55">
        <v>0.66</v>
      </c>
      <c r="N1218" s="55">
        <v>0</v>
      </c>
      <c r="O1218" s="55">
        <v>0</v>
      </c>
    </row>
    <row r="1219" spans="1:16" ht="18" customHeight="1">
      <c r="A1219" s="47"/>
      <c r="B1219" s="48" t="s">
        <v>1500</v>
      </c>
      <c r="C1219" s="54"/>
      <c r="D1219" s="55">
        <v>214</v>
      </c>
      <c r="E1219" s="55">
        <v>9.6</v>
      </c>
      <c r="F1219" s="55">
        <v>37.6</v>
      </c>
      <c r="G1219" s="55">
        <v>6</v>
      </c>
      <c r="H1219" s="55">
        <v>31</v>
      </c>
      <c r="I1219" s="55">
        <v>1.3</v>
      </c>
      <c r="J1219" s="55">
        <v>36</v>
      </c>
      <c r="K1219" s="55">
        <v>0.21</v>
      </c>
      <c r="L1219" s="55">
        <v>0.09</v>
      </c>
      <c r="M1219" s="55">
        <v>0.9</v>
      </c>
      <c r="N1219" s="55">
        <v>1</v>
      </c>
      <c r="O1219" s="55">
        <v>0</v>
      </c>
    </row>
    <row r="1220" spans="1:16" ht="18" customHeight="1">
      <c r="A1220" s="47"/>
      <c r="B1220" s="48" t="s">
        <v>1929</v>
      </c>
      <c r="C1220" s="54"/>
      <c r="D1220" s="55">
        <v>214</v>
      </c>
      <c r="E1220" s="55">
        <v>9.6</v>
      </c>
      <c r="F1220" s="55">
        <v>37.6</v>
      </c>
      <c r="G1220" s="55">
        <v>6</v>
      </c>
      <c r="H1220" s="55">
        <v>31</v>
      </c>
      <c r="I1220" s="55">
        <v>1.3</v>
      </c>
      <c r="J1220" s="55">
        <v>36</v>
      </c>
      <c r="K1220" s="55">
        <v>0.21</v>
      </c>
      <c r="L1220" s="55">
        <v>0.09</v>
      </c>
      <c r="M1220" s="55">
        <v>0.9</v>
      </c>
      <c r="N1220" s="55">
        <v>1</v>
      </c>
      <c r="O1220" s="55">
        <v>0</v>
      </c>
    </row>
    <row r="1221" spans="1:16" ht="18" customHeight="1">
      <c r="A1221" s="47"/>
      <c r="B1221" s="48" t="s">
        <v>1501</v>
      </c>
      <c r="C1221" s="54"/>
      <c r="D1221" s="55">
        <v>214</v>
      </c>
      <c r="E1221" s="55">
        <v>9.6</v>
      </c>
      <c r="F1221" s="55">
        <v>37.6</v>
      </c>
      <c r="G1221" s="55">
        <v>5.4</v>
      </c>
      <c r="H1221" s="55">
        <v>31</v>
      </c>
      <c r="I1221" s="55">
        <v>1.3</v>
      </c>
      <c r="J1221" s="55">
        <v>36</v>
      </c>
      <c r="K1221" s="55">
        <v>0.21</v>
      </c>
      <c r="L1221" s="55">
        <v>0.09</v>
      </c>
      <c r="M1221" s="55">
        <v>0.9</v>
      </c>
      <c r="N1221" s="55">
        <v>1</v>
      </c>
      <c r="O1221" s="55">
        <v>0</v>
      </c>
    </row>
    <row r="1222" spans="1:16" ht="18" customHeight="1">
      <c r="A1222" s="47"/>
      <c r="B1222" s="48" t="s">
        <v>1502</v>
      </c>
      <c r="C1222" s="54"/>
      <c r="D1222" s="55">
        <v>119</v>
      </c>
      <c r="E1222" s="55">
        <v>8.5</v>
      </c>
      <c r="F1222" s="55">
        <v>37.6</v>
      </c>
      <c r="G1222" s="55">
        <v>5.6</v>
      </c>
      <c r="H1222" s="55">
        <v>29.5</v>
      </c>
      <c r="I1222" s="55">
        <v>1.2</v>
      </c>
      <c r="J1222" s="55">
        <v>34</v>
      </c>
      <c r="K1222" s="55">
        <v>0.23</v>
      </c>
      <c r="L1222" s="55">
        <v>0.08</v>
      </c>
      <c r="M1222" s="55">
        <v>0.9</v>
      </c>
      <c r="N1222" s="55">
        <v>1</v>
      </c>
      <c r="O1222" s="55">
        <v>0</v>
      </c>
    </row>
    <row r="1223" spans="1:16" ht="18" customHeight="1">
      <c r="A1223" s="47"/>
      <c r="B1223" s="48" t="s">
        <v>1503</v>
      </c>
      <c r="C1223" s="54"/>
      <c r="D1223" s="55">
        <v>200</v>
      </c>
      <c r="E1223" s="55">
        <v>5.65</v>
      </c>
      <c r="F1223" s="55">
        <v>3.9</v>
      </c>
      <c r="G1223" s="55">
        <v>6.1</v>
      </c>
      <c r="H1223" s="55">
        <v>234</v>
      </c>
      <c r="I1223" s="55">
        <v>1</v>
      </c>
      <c r="J1223" s="55">
        <v>0</v>
      </c>
      <c r="K1223" s="55">
        <v>0.04</v>
      </c>
      <c r="L1223" s="55">
        <v>0.02</v>
      </c>
      <c r="M1223" s="55">
        <v>0.28999999999999998</v>
      </c>
      <c r="N1223" s="55">
        <v>0</v>
      </c>
      <c r="O1223" s="55">
        <v>0</v>
      </c>
    </row>
    <row r="1224" spans="1:16" ht="18" customHeight="1">
      <c r="A1224" s="47"/>
      <c r="B1224" s="48" t="s">
        <v>1659</v>
      </c>
      <c r="C1224" s="54"/>
      <c r="D1224" s="55">
        <v>200</v>
      </c>
      <c r="E1224" s="55">
        <v>5.65</v>
      </c>
      <c r="F1224" s="55">
        <v>3.9</v>
      </c>
      <c r="G1224" s="55">
        <v>3.1</v>
      </c>
      <c r="H1224" s="55">
        <v>234</v>
      </c>
      <c r="I1224" s="55">
        <v>1</v>
      </c>
      <c r="J1224" s="55">
        <v>0</v>
      </c>
      <c r="K1224" s="55">
        <v>0.04</v>
      </c>
      <c r="L1224" s="55">
        <v>0.02</v>
      </c>
      <c r="M1224" s="55">
        <v>0.28999999999999998</v>
      </c>
      <c r="N1224" s="55">
        <v>0</v>
      </c>
      <c r="O1224" s="55">
        <v>0</v>
      </c>
    </row>
    <row r="1225" spans="1:16" ht="18" customHeight="1">
      <c r="A1225" s="47"/>
      <c r="B1225" s="48" t="s">
        <v>1504</v>
      </c>
      <c r="C1225" s="71"/>
      <c r="D1225" s="55">
        <v>100</v>
      </c>
      <c r="E1225" s="55">
        <v>9.8000000000000007</v>
      </c>
      <c r="F1225" s="55">
        <v>23.1</v>
      </c>
      <c r="G1225" s="55">
        <v>5.6</v>
      </c>
      <c r="H1225" s="55">
        <v>23</v>
      </c>
      <c r="I1225" s="55">
        <v>1.36</v>
      </c>
      <c r="J1225" s="55">
        <v>16</v>
      </c>
      <c r="K1225" s="55">
        <v>0.04</v>
      </c>
      <c r="L1225" s="55">
        <v>0.05</v>
      </c>
      <c r="M1225" s="55">
        <v>1</v>
      </c>
      <c r="N1225" s="55">
        <v>0</v>
      </c>
      <c r="O1225" s="55">
        <v>0</v>
      </c>
    </row>
    <row r="1226" spans="1:16" ht="18" customHeight="1">
      <c r="A1226" s="47"/>
      <c r="B1226" s="48" t="s">
        <v>1505</v>
      </c>
      <c r="C1226" s="71"/>
      <c r="D1226" s="55">
        <v>160</v>
      </c>
      <c r="E1226" s="55">
        <v>7</v>
      </c>
      <c r="F1226" s="55">
        <v>26.1</v>
      </c>
      <c r="G1226" s="55">
        <v>5.2</v>
      </c>
      <c r="H1226" s="55">
        <v>41</v>
      </c>
      <c r="I1226" s="55">
        <v>2</v>
      </c>
      <c r="J1226" s="55">
        <v>40</v>
      </c>
      <c r="K1226" s="55">
        <v>0.36</v>
      </c>
      <c r="L1226" s="55">
        <v>0.09</v>
      </c>
      <c r="M1226" s="55">
        <v>0.9</v>
      </c>
      <c r="N1226" s="55">
        <v>1</v>
      </c>
      <c r="O1226" s="55">
        <v>0</v>
      </c>
    </row>
    <row r="1227" spans="1:16" ht="18" customHeight="1">
      <c r="A1227" s="47"/>
      <c r="B1227" s="53" t="s">
        <v>1506</v>
      </c>
      <c r="C1227" s="54"/>
      <c r="D1227" s="55">
        <v>120</v>
      </c>
      <c r="E1227" s="55">
        <v>5</v>
      </c>
      <c r="F1227" s="55">
        <v>20.9</v>
      </c>
      <c r="G1227" s="55">
        <v>5</v>
      </c>
      <c r="H1227" s="55">
        <v>31</v>
      </c>
      <c r="I1227" s="55">
        <v>1</v>
      </c>
      <c r="J1227" s="55">
        <v>36</v>
      </c>
      <c r="K1227" s="55">
        <v>0.21</v>
      </c>
      <c r="L1227" s="55">
        <v>0.09</v>
      </c>
      <c r="M1227" s="55">
        <v>0.9</v>
      </c>
      <c r="N1227" s="55">
        <v>1</v>
      </c>
      <c r="O1227" s="55">
        <v>0</v>
      </c>
    </row>
    <row r="1228" spans="1:16" ht="18" customHeight="1">
      <c r="A1228" s="47"/>
      <c r="B1228" s="53" t="s">
        <v>8</v>
      </c>
      <c r="C1228" s="54"/>
      <c r="D1228" s="55">
        <v>120</v>
      </c>
      <c r="E1228" s="55">
        <v>5</v>
      </c>
      <c r="F1228" s="55">
        <v>20.9</v>
      </c>
      <c r="G1228" s="55">
        <v>4.8</v>
      </c>
      <c r="H1228" s="55">
        <v>31</v>
      </c>
      <c r="I1228" s="55">
        <v>1</v>
      </c>
      <c r="J1228" s="55">
        <v>36</v>
      </c>
      <c r="K1228" s="55">
        <v>0.21</v>
      </c>
      <c r="L1228" s="55">
        <v>0.09</v>
      </c>
      <c r="M1228" s="55">
        <v>0.9</v>
      </c>
      <c r="N1228" s="55">
        <v>1</v>
      </c>
      <c r="O1228" s="55">
        <v>0</v>
      </c>
    </row>
    <row r="1229" spans="1:16" ht="18" customHeight="1">
      <c r="A1229" s="47"/>
      <c r="B1229" s="53" t="s">
        <v>1919</v>
      </c>
      <c r="C1229" s="54"/>
      <c r="D1229" s="55">
        <v>120</v>
      </c>
      <c r="E1229" s="55">
        <v>5</v>
      </c>
      <c r="F1229" s="55">
        <v>20.9</v>
      </c>
      <c r="G1229" s="55">
        <v>4.8</v>
      </c>
      <c r="H1229" s="55">
        <v>31</v>
      </c>
      <c r="I1229" s="55">
        <v>1</v>
      </c>
      <c r="J1229" s="55">
        <v>36</v>
      </c>
      <c r="K1229" s="55">
        <v>0.21</v>
      </c>
      <c r="L1229" s="55">
        <v>0.09</v>
      </c>
      <c r="M1229" s="55">
        <v>0.9</v>
      </c>
      <c r="N1229" s="55">
        <v>1</v>
      </c>
      <c r="O1229" s="55">
        <v>0</v>
      </c>
    </row>
    <row r="1230" spans="1:16" ht="18" customHeight="1">
      <c r="A1230" s="47"/>
      <c r="B1230" s="48" t="s">
        <v>1507</v>
      </c>
      <c r="C1230" s="54"/>
      <c r="D1230" s="55">
        <v>50</v>
      </c>
      <c r="E1230" s="55">
        <v>0.6</v>
      </c>
      <c r="F1230" s="55">
        <v>0</v>
      </c>
      <c r="G1230" s="55">
        <v>0.1</v>
      </c>
      <c r="H1230" s="55">
        <v>9</v>
      </c>
      <c r="I1230" s="55">
        <v>0.2</v>
      </c>
      <c r="J1230" s="55">
        <v>0</v>
      </c>
      <c r="K1230" s="55">
        <v>0.03</v>
      </c>
      <c r="L1230" s="55">
        <v>0.04</v>
      </c>
      <c r="M1230" s="55">
        <v>0.3</v>
      </c>
      <c r="N1230" s="55">
        <v>0</v>
      </c>
      <c r="O1230" s="55">
        <v>0</v>
      </c>
    </row>
    <row r="1231" spans="1:16" ht="18" customHeight="1">
      <c r="A1231" s="47" t="s">
        <v>1259</v>
      </c>
      <c r="B1231" s="48" t="s">
        <v>1508</v>
      </c>
      <c r="C1231" s="54"/>
      <c r="D1231" s="55">
        <v>79</v>
      </c>
      <c r="E1231" s="55">
        <v>14.9</v>
      </c>
      <c r="F1231" s="55">
        <v>0.4</v>
      </c>
      <c r="G1231" s="55">
        <v>0.5</v>
      </c>
      <c r="H1231" s="55">
        <v>52</v>
      </c>
      <c r="I1231" s="55">
        <v>1.3</v>
      </c>
      <c r="J1231" s="55">
        <v>4</v>
      </c>
      <c r="K1231" s="55">
        <v>0.01</v>
      </c>
      <c r="L1231" s="55">
        <v>0.17</v>
      </c>
      <c r="M1231" s="55">
        <v>1.1000000000000001</v>
      </c>
      <c r="N1231" s="55">
        <v>0</v>
      </c>
      <c r="O1231" s="55">
        <v>67</v>
      </c>
      <c r="P1231" s="47" t="s">
        <v>51</v>
      </c>
    </row>
    <row r="1232" spans="1:16" ht="18" customHeight="1">
      <c r="A1232" s="47"/>
      <c r="B1232" s="48" t="s">
        <v>1509</v>
      </c>
      <c r="C1232" s="54"/>
      <c r="D1232" s="55">
        <v>200</v>
      </c>
      <c r="E1232" s="55">
        <v>7</v>
      </c>
      <c r="F1232" s="55">
        <v>0</v>
      </c>
      <c r="G1232" s="55">
        <v>0.2</v>
      </c>
      <c r="H1232" s="55">
        <v>103</v>
      </c>
      <c r="I1232" s="55">
        <v>2</v>
      </c>
      <c r="J1232" s="55">
        <v>0</v>
      </c>
      <c r="K1232" s="55">
        <v>0.13</v>
      </c>
      <c r="L1232" s="55">
        <v>0.2</v>
      </c>
      <c r="M1232" s="55">
        <v>3</v>
      </c>
      <c r="N1232" s="55">
        <v>0</v>
      </c>
      <c r="O1232" s="55">
        <v>0</v>
      </c>
    </row>
    <row r="1233" spans="1:16" ht="18" customHeight="1">
      <c r="A1233" s="47"/>
      <c r="B1233" s="48" t="s">
        <v>1510</v>
      </c>
      <c r="C1233" s="54"/>
      <c r="D1233" s="55">
        <v>154</v>
      </c>
      <c r="E1233" s="55">
        <v>14.4</v>
      </c>
      <c r="F1233" s="55">
        <v>0.13</v>
      </c>
      <c r="G1233" s="55">
        <v>8.59</v>
      </c>
      <c r="H1233" s="55">
        <v>11</v>
      </c>
      <c r="I1233" s="55">
        <v>0.8</v>
      </c>
      <c r="J1233" s="55">
        <v>69</v>
      </c>
      <c r="K1233" s="55">
        <v>0.1</v>
      </c>
      <c r="L1233" s="55">
        <v>0.11</v>
      </c>
      <c r="M1233" s="55">
        <v>0.72</v>
      </c>
      <c r="N1233" s="55">
        <v>2</v>
      </c>
      <c r="O1233" s="55">
        <v>31</v>
      </c>
    </row>
    <row r="1234" spans="1:16" ht="18" customHeight="1">
      <c r="A1234" s="47"/>
      <c r="B1234" s="48" t="s">
        <v>2421</v>
      </c>
      <c r="C1234" s="54"/>
      <c r="D1234" s="55">
        <v>517.1</v>
      </c>
      <c r="E1234" s="55">
        <v>8.5</v>
      </c>
      <c r="F1234" s="55">
        <v>68.5</v>
      </c>
      <c r="G1234" s="55">
        <v>22.8</v>
      </c>
      <c r="H1234" s="55"/>
      <c r="I1234" s="55"/>
      <c r="J1234" s="55"/>
      <c r="K1234" s="55"/>
      <c r="L1234" s="55"/>
      <c r="M1234" s="55"/>
      <c r="N1234" s="55"/>
      <c r="O1234" s="55"/>
    </row>
    <row r="1235" spans="1:16" ht="18" customHeight="1">
      <c r="A1235" s="47" t="s">
        <v>88</v>
      </c>
      <c r="B1235" s="53" t="s">
        <v>1511</v>
      </c>
      <c r="C1235" s="54" t="s">
        <v>212</v>
      </c>
      <c r="D1235" s="55">
        <v>371</v>
      </c>
      <c r="E1235" s="50">
        <v>6.8</v>
      </c>
      <c r="F1235" s="50">
        <v>0</v>
      </c>
      <c r="G1235" s="50">
        <v>3</v>
      </c>
      <c r="H1235" s="55">
        <v>5</v>
      </c>
      <c r="I1235" s="55">
        <v>0.5</v>
      </c>
      <c r="J1235" s="55">
        <v>0</v>
      </c>
      <c r="K1235" s="55">
        <v>0.15</v>
      </c>
      <c r="L1235" s="55">
        <v>0.8</v>
      </c>
      <c r="M1235" s="55">
        <v>1.5</v>
      </c>
      <c r="N1235" s="55">
        <v>0</v>
      </c>
      <c r="O1235" s="55">
        <v>0</v>
      </c>
      <c r="P1235" s="47" t="s">
        <v>51</v>
      </c>
    </row>
    <row r="1236" spans="1:16" ht="18" customHeight="1">
      <c r="A1236" s="47"/>
      <c r="B1236" s="48" t="s">
        <v>1512</v>
      </c>
      <c r="C1236" s="54"/>
      <c r="D1236" s="55">
        <v>255</v>
      </c>
      <c r="E1236" s="55">
        <v>10.5</v>
      </c>
      <c r="F1236" s="55">
        <v>0</v>
      </c>
      <c r="G1236" s="55">
        <v>8.3000000000000007</v>
      </c>
      <c r="H1236" s="55">
        <v>7.43</v>
      </c>
      <c r="I1236" s="55">
        <v>1.5</v>
      </c>
      <c r="J1236" s="55">
        <v>76</v>
      </c>
      <c r="K1236" s="55">
        <v>0.15</v>
      </c>
      <c r="L1236" s="55">
        <v>0.05</v>
      </c>
      <c r="M1236" s="55">
        <v>0.88</v>
      </c>
      <c r="N1236" s="55"/>
      <c r="O1236" s="55"/>
    </row>
    <row r="1237" spans="1:16" ht="18" customHeight="1">
      <c r="A1237" s="47"/>
      <c r="B1237" s="48" t="s">
        <v>2418</v>
      </c>
      <c r="C1237" s="54"/>
      <c r="D1237" s="55">
        <v>121.3</v>
      </c>
      <c r="E1237" s="55">
        <v>5.0999999999999996</v>
      </c>
      <c r="F1237" s="55">
        <v>16.100000000000001</v>
      </c>
      <c r="G1237" s="55">
        <v>3.6</v>
      </c>
      <c r="H1237" s="55"/>
      <c r="I1237" s="55"/>
      <c r="J1237" s="55"/>
      <c r="K1237" s="55"/>
      <c r="L1237" s="55"/>
      <c r="M1237" s="55"/>
      <c r="N1237" s="55"/>
      <c r="O1237" s="55"/>
    </row>
    <row r="1238" spans="1:16" ht="18" customHeight="1">
      <c r="A1238" s="47"/>
      <c r="B1238" s="48" t="s">
        <v>2409</v>
      </c>
      <c r="C1238" s="54"/>
      <c r="D1238" s="55">
        <v>501.4</v>
      </c>
      <c r="E1238" s="55">
        <v>4.4000000000000004</v>
      </c>
      <c r="F1238" s="55">
        <v>56.5</v>
      </c>
      <c r="G1238" s="55">
        <v>28.5</v>
      </c>
      <c r="H1238" s="55"/>
      <c r="I1238" s="55"/>
      <c r="J1238" s="55"/>
      <c r="K1238" s="55"/>
      <c r="L1238" s="55"/>
      <c r="M1238" s="55"/>
      <c r="N1238" s="55"/>
      <c r="O1238" s="55"/>
    </row>
    <row r="1239" spans="1:16" ht="18" customHeight="1">
      <c r="A1239" s="47"/>
      <c r="B1239" s="48" t="s">
        <v>2404</v>
      </c>
      <c r="C1239" s="54"/>
      <c r="D1239" s="55">
        <v>225</v>
      </c>
      <c r="E1239" s="55">
        <v>9.5</v>
      </c>
      <c r="F1239" s="55">
        <v>20.2</v>
      </c>
      <c r="G1239" s="55">
        <v>1</v>
      </c>
      <c r="H1239" s="55">
        <v>6.43</v>
      </c>
      <c r="I1239" s="55">
        <v>1.5</v>
      </c>
      <c r="J1239" s="55">
        <v>56</v>
      </c>
      <c r="K1239" s="55">
        <v>0.15</v>
      </c>
      <c r="L1239" s="55">
        <v>0.05</v>
      </c>
      <c r="M1239" s="55">
        <v>0.88</v>
      </c>
      <c r="N1239" s="55"/>
      <c r="O1239" s="55"/>
    </row>
    <row r="1240" spans="1:16" ht="18" customHeight="1">
      <c r="A1240" s="47"/>
      <c r="B1240" s="48" t="s">
        <v>1513</v>
      </c>
      <c r="C1240" s="54"/>
      <c r="D1240" s="55">
        <v>225</v>
      </c>
      <c r="E1240" s="55">
        <v>9.5</v>
      </c>
      <c r="F1240" s="55">
        <v>20.2</v>
      </c>
      <c r="G1240" s="55">
        <v>1</v>
      </c>
      <c r="H1240" s="55">
        <v>6.43</v>
      </c>
      <c r="I1240" s="55">
        <v>1.5</v>
      </c>
      <c r="J1240" s="55">
        <v>56</v>
      </c>
      <c r="K1240" s="55">
        <v>0.15</v>
      </c>
      <c r="L1240" s="55">
        <v>0.05</v>
      </c>
      <c r="M1240" s="55">
        <v>0.88</v>
      </c>
      <c r="N1240" s="55"/>
      <c r="O1240" s="55"/>
    </row>
    <row r="1241" spans="1:16" ht="18" customHeight="1">
      <c r="A1241" s="47"/>
      <c r="B1241" s="48" t="s">
        <v>1973</v>
      </c>
      <c r="C1241" s="54"/>
      <c r="D1241" s="55">
        <v>225</v>
      </c>
      <c r="E1241" s="55">
        <v>9.5</v>
      </c>
      <c r="F1241" s="55">
        <v>20.2</v>
      </c>
      <c r="G1241" s="55">
        <v>1</v>
      </c>
      <c r="H1241" s="55">
        <v>6.43</v>
      </c>
      <c r="I1241" s="55">
        <v>1.5</v>
      </c>
      <c r="J1241" s="55">
        <v>56</v>
      </c>
      <c r="K1241" s="55">
        <v>0.15</v>
      </c>
      <c r="L1241" s="55">
        <v>0.05</v>
      </c>
      <c r="M1241" s="55">
        <v>0.88</v>
      </c>
      <c r="N1241" s="55"/>
      <c r="O1241" s="55"/>
    </row>
    <row r="1242" spans="1:16" ht="18" customHeight="1">
      <c r="A1242" s="47"/>
      <c r="B1242" s="48" t="s">
        <v>1514</v>
      </c>
      <c r="C1242" s="54"/>
      <c r="D1242" s="55">
        <v>214</v>
      </c>
      <c r="E1242" s="55">
        <v>9.6</v>
      </c>
      <c r="F1242" s="55">
        <v>0.05</v>
      </c>
      <c r="G1242" s="55">
        <v>0.75</v>
      </c>
      <c r="H1242" s="55">
        <v>31</v>
      </c>
      <c r="I1242" s="55">
        <v>1.3</v>
      </c>
      <c r="J1242" s="55">
        <v>36</v>
      </c>
      <c r="K1242" s="55">
        <v>0.21</v>
      </c>
      <c r="L1242" s="55">
        <v>0.09</v>
      </c>
      <c r="M1242" s="55">
        <v>0.9</v>
      </c>
      <c r="N1242" s="55">
        <v>1</v>
      </c>
      <c r="O1242" s="55">
        <v>0</v>
      </c>
    </row>
    <row r="1243" spans="1:16" ht="18" customHeight="1">
      <c r="A1243" s="47"/>
      <c r="B1243" s="48" t="s">
        <v>1515</v>
      </c>
      <c r="C1243" s="54" t="s">
        <v>1516</v>
      </c>
      <c r="D1243" s="55">
        <v>244</v>
      </c>
      <c r="E1243" s="50">
        <v>15.6</v>
      </c>
      <c r="F1243" s="50">
        <v>22.8</v>
      </c>
      <c r="G1243" s="50">
        <v>12.8</v>
      </c>
      <c r="H1243" s="55">
        <v>140</v>
      </c>
      <c r="I1243" s="55">
        <v>2.6</v>
      </c>
      <c r="J1243" s="55">
        <v>44.7</v>
      </c>
      <c r="K1243" s="55">
        <v>0.12</v>
      </c>
      <c r="L1243" s="55">
        <v>0.41</v>
      </c>
      <c r="M1243" s="55">
        <v>1.6</v>
      </c>
      <c r="N1243" s="55">
        <v>1.3</v>
      </c>
      <c r="O1243" s="55">
        <v>0</v>
      </c>
    </row>
    <row r="1244" spans="1:16" ht="18" customHeight="1">
      <c r="A1244" s="47"/>
      <c r="B1244" s="48" t="s">
        <v>1517</v>
      </c>
      <c r="C1244" s="54"/>
      <c r="D1244" s="55">
        <v>200</v>
      </c>
      <c r="E1244" s="55">
        <v>11.8</v>
      </c>
      <c r="F1244" s="55">
        <v>6.7</v>
      </c>
      <c r="G1244" s="55">
        <v>12.7</v>
      </c>
      <c r="H1244" s="55">
        <v>8</v>
      </c>
      <c r="I1244" s="55">
        <v>1.5</v>
      </c>
      <c r="J1244" s="55">
        <v>2.37</v>
      </c>
      <c r="K1244" s="55">
        <v>0.04</v>
      </c>
      <c r="L1244" s="55">
        <v>0.05</v>
      </c>
      <c r="M1244" s="55">
        <v>0.5</v>
      </c>
      <c r="N1244" s="55">
        <v>0.68</v>
      </c>
      <c r="O1244" s="72"/>
    </row>
    <row r="1245" spans="1:16" ht="18" customHeight="1">
      <c r="A1245" s="47"/>
      <c r="B1245" s="48" t="s">
        <v>1518</v>
      </c>
      <c r="C1245" s="54"/>
      <c r="D1245" s="55">
        <v>200</v>
      </c>
      <c r="E1245" s="55">
        <v>11.8</v>
      </c>
      <c r="F1245" s="55">
        <v>8.4</v>
      </c>
      <c r="G1245" s="55">
        <v>8.1999999999999993</v>
      </c>
      <c r="H1245" s="55">
        <v>8</v>
      </c>
      <c r="I1245" s="55">
        <v>1.5</v>
      </c>
      <c r="J1245" s="55">
        <v>2.37</v>
      </c>
      <c r="K1245" s="55">
        <v>0.04</v>
      </c>
      <c r="L1245" s="55">
        <v>0.05</v>
      </c>
      <c r="M1245" s="55">
        <v>0.5</v>
      </c>
      <c r="N1245" s="55">
        <v>0.68</v>
      </c>
      <c r="O1245" s="72"/>
    </row>
    <row r="1246" spans="1:16" ht="18" customHeight="1">
      <c r="A1246" s="47"/>
      <c r="B1246" s="48" t="s">
        <v>1519</v>
      </c>
      <c r="C1246" s="54" t="s">
        <v>881</v>
      </c>
      <c r="D1246" s="55">
        <v>186</v>
      </c>
      <c r="E1246" s="55">
        <v>7.8</v>
      </c>
      <c r="F1246" s="55">
        <v>21.7</v>
      </c>
      <c r="G1246" s="55">
        <v>5.3</v>
      </c>
      <c r="H1246" s="55">
        <v>33.1</v>
      </c>
      <c r="I1246" s="55">
        <v>1</v>
      </c>
      <c r="J1246" s="55">
        <v>24.2</v>
      </c>
      <c r="K1246" s="55">
        <v>0.14000000000000001</v>
      </c>
      <c r="L1246" s="55">
        <v>7.0000000000000007E-2</v>
      </c>
      <c r="M1246" s="55">
        <v>1.6</v>
      </c>
      <c r="N1246" s="55">
        <v>4.8</v>
      </c>
      <c r="O1246" s="73">
        <v>0</v>
      </c>
    </row>
    <row r="1247" spans="1:16" ht="18" customHeight="1">
      <c r="A1247" s="47"/>
      <c r="B1247" s="48" t="s">
        <v>27</v>
      </c>
      <c r="C1247" s="54" t="s">
        <v>881</v>
      </c>
      <c r="D1247" s="55">
        <v>190</v>
      </c>
      <c r="E1247" s="55">
        <v>8.9</v>
      </c>
      <c r="F1247" s="55">
        <v>79.599999999999994</v>
      </c>
      <c r="G1247" s="55">
        <v>1.7</v>
      </c>
      <c r="H1247" s="55">
        <v>34.5</v>
      </c>
      <c r="I1247" s="55">
        <v>1</v>
      </c>
      <c r="J1247" s="55">
        <v>24.2</v>
      </c>
      <c r="K1247" s="55">
        <v>0.14000000000000001</v>
      </c>
      <c r="L1247" s="55">
        <v>7.0000000000000007E-2</v>
      </c>
      <c r="M1247" s="55">
        <v>1.6</v>
      </c>
      <c r="N1247" s="55">
        <v>4.8</v>
      </c>
      <c r="O1247" s="73">
        <v>0</v>
      </c>
    </row>
    <row r="1248" spans="1:16" ht="18" customHeight="1">
      <c r="A1248" s="47"/>
      <c r="B1248" s="48" t="s">
        <v>1936</v>
      </c>
      <c r="C1248" s="54" t="s">
        <v>881</v>
      </c>
      <c r="D1248" s="55">
        <v>300</v>
      </c>
      <c r="E1248" s="55">
        <v>8.9</v>
      </c>
      <c r="F1248" s="55">
        <v>79.599999999999994</v>
      </c>
      <c r="G1248" s="55">
        <v>1.7</v>
      </c>
      <c r="H1248" s="55">
        <v>34.5</v>
      </c>
      <c r="I1248" s="55">
        <v>1</v>
      </c>
      <c r="J1248" s="55">
        <v>24.2</v>
      </c>
      <c r="K1248" s="55">
        <v>0.14000000000000001</v>
      </c>
      <c r="L1248" s="55">
        <v>7.0000000000000007E-2</v>
      </c>
      <c r="M1248" s="55">
        <v>1.6</v>
      </c>
      <c r="N1248" s="55">
        <v>4.8</v>
      </c>
      <c r="O1248" s="73">
        <v>0</v>
      </c>
    </row>
    <row r="1249" spans="1:16" ht="18" customHeight="1">
      <c r="A1249" s="47"/>
      <c r="B1249" s="48" t="s">
        <v>1520</v>
      </c>
      <c r="C1249" s="54" t="s">
        <v>881</v>
      </c>
      <c r="D1249" s="55">
        <v>214</v>
      </c>
      <c r="E1249" s="55">
        <v>9.6</v>
      </c>
      <c r="F1249" s="55">
        <v>67.8</v>
      </c>
      <c r="G1249" s="55">
        <v>5.3</v>
      </c>
      <c r="H1249" s="55">
        <v>31</v>
      </c>
      <c r="I1249" s="55">
        <v>1.3</v>
      </c>
      <c r="J1249" s="55">
        <v>36</v>
      </c>
      <c r="K1249" s="55">
        <v>0.21</v>
      </c>
      <c r="L1249" s="55">
        <v>0.09</v>
      </c>
      <c r="M1249" s="55">
        <v>0.9</v>
      </c>
      <c r="N1249" s="55">
        <v>1</v>
      </c>
      <c r="O1249" s="72">
        <v>0</v>
      </c>
    </row>
    <row r="1250" spans="1:16" ht="18" customHeight="1">
      <c r="A1250" s="47"/>
      <c r="B1250" s="48" t="s">
        <v>1521</v>
      </c>
      <c r="C1250" s="54"/>
      <c r="D1250" s="55">
        <v>556.29999999999995</v>
      </c>
      <c r="E1250" s="55">
        <v>27.9</v>
      </c>
      <c r="F1250" s="55">
        <v>35.200000000000003</v>
      </c>
      <c r="G1250" s="55">
        <v>5.0999999999999996</v>
      </c>
      <c r="H1250" s="55">
        <v>32.299999999999997</v>
      </c>
      <c r="I1250" s="55">
        <v>1.5</v>
      </c>
      <c r="J1250" s="55">
        <v>116.4</v>
      </c>
      <c r="K1250" s="55">
        <v>0.1</v>
      </c>
      <c r="L1250" s="55">
        <v>0.09</v>
      </c>
      <c r="M1250" s="55">
        <v>0.8</v>
      </c>
      <c r="N1250" s="55">
        <v>5.9</v>
      </c>
      <c r="O1250" s="73">
        <v>0</v>
      </c>
    </row>
    <row r="1251" spans="1:16" ht="18" customHeight="1">
      <c r="A1251" s="47"/>
      <c r="B1251" s="48" t="s">
        <v>1750</v>
      </c>
      <c r="C1251" s="54"/>
      <c r="D1251" s="55">
        <v>190</v>
      </c>
      <c r="E1251" s="55">
        <v>8.9</v>
      </c>
      <c r="F1251" s="55">
        <v>79.599999999999994</v>
      </c>
      <c r="G1251" s="55">
        <v>1.7</v>
      </c>
      <c r="H1251" s="55">
        <v>34.5</v>
      </c>
      <c r="I1251" s="55">
        <v>1</v>
      </c>
      <c r="J1251" s="55">
        <v>24.2</v>
      </c>
      <c r="K1251" s="55">
        <v>0.14000000000000001</v>
      </c>
      <c r="L1251" s="55">
        <v>7.0000000000000007E-2</v>
      </c>
      <c r="M1251" s="55">
        <v>1.6</v>
      </c>
      <c r="N1251" s="55">
        <v>4.8</v>
      </c>
      <c r="O1251" s="73">
        <v>0</v>
      </c>
    </row>
    <row r="1252" spans="1:16" ht="18" customHeight="1">
      <c r="A1252" s="47"/>
      <c r="B1252" s="48" t="s">
        <v>1522</v>
      </c>
      <c r="C1252" s="54" t="s">
        <v>881</v>
      </c>
      <c r="D1252" s="55">
        <v>220</v>
      </c>
      <c r="E1252" s="55">
        <v>27.9</v>
      </c>
      <c r="F1252" s="55">
        <v>79.599999999999994</v>
      </c>
      <c r="G1252" s="55">
        <v>10.4</v>
      </c>
      <c r="H1252" s="55">
        <v>32.299999999999997</v>
      </c>
      <c r="I1252" s="55">
        <v>1.5</v>
      </c>
      <c r="J1252" s="55">
        <v>116.4</v>
      </c>
      <c r="K1252" s="55">
        <v>0.1</v>
      </c>
      <c r="L1252" s="55">
        <v>0.09</v>
      </c>
      <c r="M1252" s="55">
        <v>0.8</v>
      </c>
      <c r="N1252" s="55">
        <v>5.9</v>
      </c>
      <c r="O1252" s="73">
        <v>0</v>
      </c>
    </row>
    <row r="1253" spans="1:16" ht="18" customHeight="1">
      <c r="A1253" s="47"/>
      <c r="B1253" s="48" t="s">
        <v>1665</v>
      </c>
      <c r="C1253" s="54" t="s">
        <v>881</v>
      </c>
      <c r="D1253" s="55">
        <v>380</v>
      </c>
      <c r="E1253" s="55">
        <v>27.9</v>
      </c>
      <c r="F1253" s="55">
        <v>67.8</v>
      </c>
      <c r="G1253" s="55">
        <v>10.4</v>
      </c>
      <c r="H1253" s="55">
        <v>32.299999999999997</v>
      </c>
      <c r="I1253" s="55">
        <v>1.5</v>
      </c>
      <c r="J1253" s="55">
        <v>116.4</v>
      </c>
      <c r="K1253" s="55">
        <v>0.1</v>
      </c>
      <c r="L1253" s="55">
        <v>0.09</v>
      </c>
      <c r="M1253" s="55">
        <v>0.8</v>
      </c>
      <c r="N1253" s="55">
        <v>5.9</v>
      </c>
      <c r="O1253" s="73">
        <v>0</v>
      </c>
    </row>
    <row r="1254" spans="1:16" ht="18" customHeight="1">
      <c r="A1254" s="47"/>
      <c r="B1254" s="48" t="s">
        <v>1523</v>
      </c>
      <c r="C1254" s="54"/>
      <c r="D1254" s="55">
        <v>165</v>
      </c>
      <c r="E1254" s="55">
        <v>9.6</v>
      </c>
      <c r="F1254" s="55">
        <v>51.1</v>
      </c>
      <c r="G1254" s="55">
        <v>5.0999999999999996</v>
      </c>
      <c r="H1254" s="55">
        <v>31</v>
      </c>
      <c r="I1254" s="55">
        <v>1.3</v>
      </c>
      <c r="J1254" s="55">
        <v>36</v>
      </c>
      <c r="K1254" s="55">
        <v>0.21</v>
      </c>
      <c r="L1254" s="55">
        <v>0.09</v>
      </c>
      <c r="M1254" s="55">
        <v>0.9</v>
      </c>
      <c r="N1254" s="55">
        <v>1</v>
      </c>
      <c r="O1254" s="55">
        <v>0</v>
      </c>
    </row>
    <row r="1255" spans="1:16" ht="18" customHeight="1">
      <c r="A1255" s="47"/>
      <c r="B1255" s="48" t="s">
        <v>1524</v>
      </c>
      <c r="C1255" s="71"/>
      <c r="D1255" s="55">
        <v>87</v>
      </c>
      <c r="E1255" s="55">
        <v>18.2</v>
      </c>
      <c r="F1255" s="55">
        <v>7.8</v>
      </c>
      <c r="G1255" s="55">
        <v>18.399999999999999</v>
      </c>
      <c r="H1255" s="55">
        <v>28</v>
      </c>
      <c r="I1255" s="55">
        <v>0.3</v>
      </c>
      <c r="J1255" s="55">
        <v>0</v>
      </c>
      <c r="K1255" s="55">
        <v>0.04</v>
      </c>
      <c r="L1255" s="55">
        <v>0.05</v>
      </c>
      <c r="M1255" s="55">
        <v>2.7</v>
      </c>
      <c r="N1255" s="55">
        <v>2</v>
      </c>
      <c r="O1255" s="55">
        <v>27</v>
      </c>
    </row>
    <row r="1256" spans="1:16" ht="18" customHeight="1">
      <c r="A1256" s="47"/>
      <c r="B1256" s="48" t="s">
        <v>1525</v>
      </c>
      <c r="C1256" s="71"/>
      <c r="D1256" s="55">
        <v>87</v>
      </c>
      <c r="E1256" s="55">
        <v>18.2</v>
      </c>
      <c r="F1256" s="55">
        <v>7.8</v>
      </c>
      <c r="G1256" s="55">
        <v>1.36</v>
      </c>
      <c r="H1256" s="55">
        <v>28</v>
      </c>
      <c r="I1256" s="55">
        <v>0.3</v>
      </c>
      <c r="J1256" s="55">
        <v>0</v>
      </c>
      <c r="K1256" s="55">
        <v>0.04</v>
      </c>
      <c r="L1256" s="55">
        <v>0.05</v>
      </c>
      <c r="M1256" s="55">
        <v>2.7</v>
      </c>
      <c r="N1256" s="55">
        <v>2</v>
      </c>
      <c r="O1256" s="55">
        <v>27</v>
      </c>
    </row>
    <row r="1257" spans="1:16" ht="18" customHeight="1">
      <c r="A1257" s="47"/>
      <c r="B1257" s="48" t="s">
        <v>1526</v>
      </c>
      <c r="C1257" s="54" t="s">
        <v>1527</v>
      </c>
      <c r="D1257" s="55">
        <v>2.1</v>
      </c>
      <c r="E1257" s="55">
        <v>0.5</v>
      </c>
      <c r="F1257" s="55">
        <v>18.600000000000001</v>
      </c>
      <c r="G1257" s="55">
        <v>0.5</v>
      </c>
      <c r="H1257" s="55">
        <v>11.9</v>
      </c>
      <c r="I1257" s="55">
        <v>0.8</v>
      </c>
      <c r="J1257" s="55">
        <v>0</v>
      </c>
      <c r="K1257" s="55">
        <v>0</v>
      </c>
      <c r="L1257" s="55">
        <v>0.03</v>
      </c>
      <c r="M1257" s="55">
        <v>0</v>
      </c>
      <c r="N1257" s="55">
        <v>0</v>
      </c>
      <c r="O1257" s="72">
        <v>0</v>
      </c>
    </row>
    <row r="1258" spans="1:16" ht="18" customHeight="1">
      <c r="A1258" s="74" t="s">
        <v>1528</v>
      </c>
      <c r="B1258" s="48" t="s">
        <v>1529</v>
      </c>
      <c r="C1258" s="54"/>
      <c r="D1258" s="55">
        <v>113</v>
      </c>
      <c r="E1258" s="55">
        <v>11.5</v>
      </c>
      <c r="F1258" s="55">
        <v>15.2</v>
      </c>
      <c r="G1258" s="55">
        <v>11.9</v>
      </c>
      <c r="H1258" s="55">
        <v>52.18</v>
      </c>
      <c r="I1258" s="55">
        <v>2</v>
      </c>
      <c r="J1258" s="55">
        <v>84</v>
      </c>
      <c r="K1258" s="55">
        <v>0.13</v>
      </c>
      <c r="L1258" s="55">
        <v>0.2</v>
      </c>
      <c r="M1258" s="55">
        <v>2.99</v>
      </c>
      <c r="N1258" s="55">
        <v>4.3</v>
      </c>
      <c r="O1258" s="55">
        <v>0</v>
      </c>
    </row>
    <row r="1259" spans="1:16" ht="18" customHeight="1">
      <c r="A1259" s="47" t="s">
        <v>729</v>
      </c>
      <c r="B1259" s="48" t="s">
        <v>1530</v>
      </c>
      <c r="C1259" s="54" t="s">
        <v>803</v>
      </c>
      <c r="D1259" s="55">
        <v>154</v>
      </c>
      <c r="E1259" s="55">
        <v>21</v>
      </c>
      <c r="F1259" s="55">
        <v>0.2</v>
      </c>
      <c r="G1259" s="55">
        <v>7.8</v>
      </c>
      <c r="H1259" s="55">
        <v>6</v>
      </c>
      <c r="I1259" s="55">
        <v>2.2000000000000002</v>
      </c>
      <c r="J1259" s="55">
        <v>11</v>
      </c>
      <c r="K1259" s="55">
        <v>0.11</v>
      </c>
      <c r="L1259" s="55">
        <v>0.23</v>
      </c>
      <c r="M1259" s="55">
        <v>4.5</v>
      </c>
      <c r="N1259" s="55">
        <v>1</v>
      </c>
      <c r="O1259" s="55">
        <v>5</v>
      </c>
      <c r="P1259" s="47" t="s">
        <v>51</v>
      </c>
    </row>
    <row r="1260" spans="1:16" ht="18" customHeight="1">
      <c r="A1260" s="47" t="s">
        <v>729</v>
      </c>
      <c r="B1260" s="48" t="s">
        <v>1531</v>
      </c>
      <c r="C1260" s="54" t="s">
        <v>816</v>
      </c>
      <c r="D1260" s="55">
        <v>136</v>
      </c>
      <c r="E1260" s="55">
        <v>11.5</v>
      </c>
      <c r="F1260" s="55">
        <v>0.2</v>
      </c>
      <c r="G1260" s="55">
        <v>15.64</v>
      </c>
      <c r="H1260" s="55">
        <v>12</v>
      </c>
      <c r="I1260" s="55">
        <v>1.8</v>
      </c>
      <c r="J1260" s="55">
        <v>4</v>
      </c>
      <c r="K1260" s="55">
        <v>0.09</v>
      </c>
      <c r="L1260" s="55">
        <v>0.08</v>
      </c>
      <c r="M1260" s="55">
        <v>3</v>
      </c>
      <c r="N1260" s="55">
        <v>1</v>
      </c>
      <c r="O1260" s="55">
        <v>0</v>
      </c>
      <c r="P1260" s="47" t="s">
        <v>51</v>
      </c>
    </row>
    <row r="1261" spans="1:16" ht="18" customHeight="1">
      <c r="A1261" s="47"/>
      <c r="B1261" s="48" t="s">
        <v>1532</v>
      </c>
      <c r="C1261" s="54"/>
      <c r="D1261" s="55">
        <v>162.6</v>
      </c>
      <c r="E1261" s="55">
        <v>8.1999999999999993</v>
      </c>
      <c r="F1261" s="55">
        <v>17.7</v>
      </c>
      <c r="G1261" s="55">
        <v>6</v>
      </c>
      <c r="H1261" s="55">
        <v>10.7</v>
      </c>
      <c r="I1261" s="55">
        <v>1.62</v>
      </c>
      <c r="J1261" s="55">
        <v>137.80000000000001</v>
      </c>
      <c r="K1261" s="55">
        <v>0.27</v>
      </c>
      <c r="L1261" s="55">
        <v>0.06</v>
      </c>
      <c r="M1261" s="55">
        <v>1.5</v>
      </c>
      <c r="N1261" s="55">
        <v>2.6</v>
      </c>
      <c r="O1261" s="55">
        <v>0</v>
      </c>
    </row>
    <row r="1262" spans="1:16" ht="18" customHeight="1">
      <c r="A1262" s="47"/>
      <c r="B1262" s="48" t="s">
        <v>1533</v>
      </c>
      <c r="C1262" s="54"/>
      <c r="D1262" s="55">
        <v>162.6</v>
      </c>
      <c r="E1262" s="55">
        <v>8.1999999999999993</v>
      </c>
      <c r="F1262" s="55">
        <v>20.2</v>
      </c>
      <c r="G1262" s="55">
        <v>2.5</v>
      </c>
      <c r="H1262" s="55">
        <v>10.7</v>
      </c>
      <c r="I1262" s="55">
        <v>1.62</v>
      </c>
      <c r="J1262" s="55">
        <v>137.80000000000001</v>
      </c>
      <c r="K1262" s="55">
        <v>0.27</v>
      </c>
      <c r="L1262" s="55">
        <v>0.06</v>
      </c>
      <c r="M1262" s="55">
        <v>1.5</v>
      </c>
      <c r="N1262" s="55">
        <v>2.6</v>
      </c>
      <c r="O1262" s="55">
        <v>0</v>
      </c>
    </row>
    <row r="1263" spans="1:16" ht="18" customHeight="1">
      <c r="A1263" s="47"/>
      <c r="B1263" s="48" t="s">
        <v>1534</v>
      </c>
      <c r="C1263" s="54"/>
      <c r="D1263" s="55">
        <v>158</v>
      </c>
      <c r="E1263" s="55">
        <v>12.7</v>
      </c>
      <c r="F1263" s="55">
        <v>2.8</v>
      </c>
      <c r="G1263" s="55">
        <v>11.1</v>
      </c>
      <c r="H1263" s="55">
        <v>47</v>
      </c>
      <c r="I1263" s="55">
        <v>1.8</v>
      </c>
      <c r="J1263" s="55">
        <v>156</v>
      </c>
      <c r="K1263" s="55">
        <v>0.1</v>
      </c>
      <c r="L1263" s="55">
        <v>0.26</v>
      </c>
      <c r="M1263" s="55">
        <v>0.1</v>
      </c>
      <c r="N1263" s="55">
        <v>0</v>
      </c>
      <c r="O1263" s="55">
        <v>12</v>
      </c>
    </row>
    <row r="1264" spans="1:16" ht="18" customHeight="1">
      <c r="A1264" s="47"/>
      <c r="B1264" s="48" t="s">
        <v>1535</v>
      </c>
      <c r="C1264" s="54"/>
      <c r="D1264" s="55">
        <v>236</v>
      </c>
      <c r="E1264" s="55">
        <v>21.1</v>
      </c>
      <c r="F1264" s="55">
        <v>23.7</v>
      </c>
      <c r="G1264" s="55">
        <v>12.1</v>
      </c>
      <c r="H1264" s="55">
        <v>12</v>
      </c>
      <c r="I1264" s="55">
        <v>3.6</v>
      </c>
      <c r="J1264" s="55">
        <v>5</v>
      </c>
      <c r="K1264" s="55">
        <v>0.56000000000000005</v>
      </c>
      <c r="L1264" s="55">
        <v>0.16</v>
      </c>
      <c r="M1264" s="55">
        <v>5.7</v>
      </c>
      <c r="N1264" s="55">
        <v>2</v>
      </c>
      <c r="O1264" s="55">
        <v>0</v>
      </c>
    </row>
    <row r="1265" spans="1:16" ht="18" customHeight="1">
      <c r="A1265" s="47"/>
      <c r="B1265" s="48" t="s">
        <v>1536</v>
      </c>
      <c r="C1265" s="54"/>
      <c r="D1265" s="55">
        <v>236</v>
      </c>
      <c r="E1265" s="55">
        <v>21.1</v>
      </c>
      <c r="F1265" s="55">
        <v>23.7</v>
      </c>
      <c r="G1265" s="55">
        <v>11</v>
      </c>
      <c r="H1265" s="55">
        <v>12</v>
      </c>
      <c r="I1265" s="55">
        <v>3.6</v>
      </c>
      <c r="J1265" s="55">
        <v>5</v>
      </c>
      <c r="K1265" s="55">
        <v>0.56000000000000005</v>
      </c>
      <c r="L1265" s="55">
        <v>0.16</v>
      </c>
      <c r="M1265" s="55">
        <v>5.7</v>
      </c>
      <c r="N1265" s="55">
        <v>2</v>
      </c>
      <c r="O1265" s="55">
        <v>0</v>
      </c>
    </row>
    <row r="1266" spans="1:16" ht="18" customHeight="1">
      <c r="A1266" s="47"/>
      <c r="B1266" s="48" t="s">
        <v>1537</v>
      </c>
      <c r="C1266" s="54"/>
      <c r="D1266" s="55">
        <v>236</v>
      </c>
      <c r="E1266" s="55">
        <v>21.1</v>
      </c>
      <c r="F1266" s="55">
        <v>23.7</v>
      </c>
      <c r="G1266" s="55">
        <v>13</v>
      </c>
      <c r="H1266" s="55">
        <v>12</v>
      </c>
      <c r="I1266" s="55">
        <v>3.6</v>
      </c>
      <c r="J1266" s="55">
        <v>5</v>
      </c>
      <c r="K1266" s="55">
        <v>0.56000000000000005</v>
      </c>
      <c r="L1266" s="55">
        <v>0.16</v>
      </c>
      <c r="M1266" s="55">
        <v>5.7</v>
      </c>
      <c r="N1266" s="55">
        <v>2</v>
      </c>
      <c r="O1266" s="55">
        <v>0</v>
      </c>
    </row>
    <row r="1267" spans="1:16" ht="18" customHeight="1">
      <c r="A1267" s="47" t="s">
        <v>1538</v>
      </c>
      <c r="B1267" s="48" t="s">
        <v>1982</v>
      </c>
      <c r="C1267" s="54"/>
      <c r="D1267" s="55">
        <v>161</v>
      </c>
      <c r="E1267" s="55">
        <v>21.1</v>
      </c>
      <c r="F1267" s="55">
        <v>23.7</v>
      </c>
      <c r="G1267" s="55">
        <v>13.5</v>
      </c>
      <c r="H1267" s="55">
        <v>12</v>
      </c>
      <c r="I1267" s="55">
        <v>3.6</v>
      </c>
      <c r="J1267" s="55">
        <v>5</v>
      </c>
      <c r="K1267" s="55">
        <v>0.56000000000000005</v>
      </c>
      <c r="L1267" s="55">
        <v>0.16</v>
      </c>
      <c r="M1267" s="55">
        <v>5.7</v>
      </c>
      <c r="N1267" s="55">
        <v>2</v>
      </c>
      <c r="O1267" s="55">
        <v>0</v>
      </c>
    </row>
    <row r="1268" spans="1:16" ht="18" customHeight="1">
      <c r="A1268" s="47" t="s">
        <v>1538</v>
      </c>
      <c r="B1268" s="48" t="s">
        <v>1539</v>
      </c>
      <c r="C1268" s="54"/>
      <c r="D1268" s="55">
        <v>236</v>
      </c>
      <c r="E1268" s="55">
        <v>21.1</v>
      </c>
      <c r="F1268" s="55">
        <v>23.7</v>
      </c>
      <c r="G1268" s="55">
        <v>13.5</v>
      </c>
      <c r="H1268" s="55">
        <v>12</v>
      </c>
      <c r="I1268" s="55">
        <v>3.6</v>
      </c>
      <c r="J1268" s="55">
        <v>5</v>
      </c>
      <c r="K1268" s="55">
        <v>0.56000000000000005</v>
      </c>
      <c r="L1268" s="55">
        <v>0.16</v>
      </c>
      <c r="M1268" s="55">
        <v>5.7</v>
      </c>
      <c r="N1268" s="55">
        <v>2</v>
      </c>
      <c r="O1268" s="55">
        <v>0</v>
      </c>
    </row>
    <row r="1269" spans="1:16" ht="18" customHeight="1">
      <c r="A1269" s="47"/>
      <c r="B1269" s="48" t="s">
        <v>1540</v>
      </c>
      <c r="C1269" s="54"/>
      <c r="D1269" s="55">
        <v>245</v>
      </c>
      <c r="E1269" s="55">
        <v>23.2</v>
      </c>
      <c r="F1269" s="55">
        <v>23.7</v>
      </c>
      <c r="G1269" s="55">
        <v>11</v>
      </c>
      <c r="H1269" s="55">
        <v>27</v>
      </c>
      <c r="I1269" s="55">
        <v>3.6</v>
      </c>
      <c r="J1269" s="55">
        <v>5</v>
      </c>
      <c r="K1269" s="55">
        <v>0.56000000000000005</v>
      </c>
      <c r="L1269" s="55">
        <v>0.16</v>
      </c>
      <c r="M1269" s="55">
        <v>5.7</v>
      </c>
      <c r="N1269" s="55">
        <v>2</v>
      </c>
      <c r="O1269" s="55">
        <v>0</v>
      </c>
    </row>
    <row r="1270" spans="1:16" ht="18" customHeight="1">
      <c r="A1270" s="47"/>
      <c r="B1270" s="48" t="s">
        <v>1541</v>
      </c>
      <c r="C1270" s="54"/>
      <c r="D1270" s="55">
        <v>245</v>
      </c>
      <c r="E1270" s="55">
        <v>23.2</v>
      </c>
      <c r="F1270" s="55">
        <v>23.7</v>
      </c>
      <c r="G1270" s="55">
        <v>12.1</v>
      </c>
      <c r="H1270" s="55">
        <v>27</v>
      </c>
      <c r="I1270" s="55">
        <v>3.6</v>
      </c>
      <c r="J1270" s="55">
        <v>5</v>
      </c>
      <c r="K1270" s="55">
        <v>0.56000000000000005</v>
      </c>
      <c r="L1270" s="55">
        <v>0.16</v>
      </c>
      <c r="M1270" s="55">
        <v>5.7</v>
      </c>
      <c r="N1270" s="55">
        <v>2</v>
      </c>
      <c r="O1270" s="55">
        <v>0</v>
      </c>
    </row>
    <row r="1271" spans="1:16" ht="18" customHeight="1">
      <c r="A1271" s="47"/>
      <c r="B1271" s="48" t="s">
        <v>22</v>
      </c>
      <c r="C1271" s="54"/>
      <c r="D1271" s="55">
        <v>96</v>
      </c>
      <c r="E1271" s="55">
        <v>2.7</v>
      </c>
      <c r="F1271" s="55">
        <v>18.3</v>
      </c>
      <c r="G1271" s="55">
        <v>1</v>
      </c>
      <c r="H1271" s="55">
        <v>3</v>
      </c>
      <c r="I1271" s="55">
        <v>0.6</v>
      </c>
      <c r="J1271" s="55">
        <v>13</v>
      </c>
      <c r="K1271" s="55">
        <v>0.03</v>
      </c>
      <c r="L1271" s="55">
        <v>0.06</v>
      </c>
      <c r="M1271" s="55">
        <v>0.9</v>
      </c>
      <c r="N1271" s="55">
        <v>4</v>
      </c>
      <c r="O1271" s="55"/>
    </row>
    <row r="1272" spans="1:16" ht="18" customHeight="1">
      <c r="A1272" s="47"/>
      <c r="B1272" s="48" t="s">
        <v>1542</v>
      </c>
      <c r="C1272" s="54"/>
      <c r="D1272" s="55">
        <v>96</v>
      </c>
      <c r="E1272" s="55">
        <v>2.7</v>
      </c>
      <c r="F1272" s="55">
        <v>18.3</v>
      </c>
      <c r="G1272" s="55">
        <v>3.2</v>
      </c>
      <c r="H1272" s="55">
        <v>3</v>
      </c>
      <c r="I1272" s="55">
        <v>0.6</v>
      </c>
      <c r="J1272" s="55">
        <v>13</v>
      </c>
      <c r="K1272" s="55">
        <v>0.03</v>
      </c>
      <c r="L1272" s="55">
        <v>0.06</v>
      </c>
      <c r="M1272" s="55">
        <v>0.9</v>
      </c>
      <c r="N1272" s="55">
        <v>4</v>
      </c>
      <c r="O1272" s="55"/>
    </row>
    <row r="1273" spans="1:16" ht="18" customHeight="1">
      <c r="A1273" s="47"/>
      <c r="B1273" s="48" t="s">
        <v>1543</v>
      </c>
      <c r="C1273" s="54" t="s">
        <v>1293</v>
      </c>
      <c r="D1273" s="55">
        <v>104</v>
      </c>
      <c r="E1273" s="55">
        <v>15.3</v>
      </c>
      <c r="F1273" s="55">
        <v>3.5</v>
      </c>
      <c r="G1273" s="55">
        <v>1.7</v>
      </c>
      <c r="H1273" s="55">
        <v>59</v>
      </c>
      <c r="I1273" s="55">
        <v>2.2000000000000002</v>
      </c>
      <c r="J1273" s="55">
        <v>0</v>
      </c>
      <c r="K1273" s="55">
        <v>0.02</v>
      </c>
      <c r="L1273" s="55">
        <v>0.03</v>
      </c>
      <c r="M1273" s="55">
        <v>1.3</v>
      </c>
      <c r="N1273" s="55">
        <v>0</v>
      </c>
      <c r="O1273" s="55">
        <v>0</v>
      </c>
    </row>
    <row r="1274" spans="1:16" ht="18" customHeight="1">
      <c r="A1274" s="47"/>
      <c r="B1274" s="48" t="s">
        <v>13</v>
      </c>
      <c r="C1274" s="54" t="s">
        <v>1359</v>
      </c>
      <c r="D1274" s="55">
        <v>178</v>
      </c>
      <c r="E1274" s="55">
        <v>3.1</v>
      </c>
      <c r="F1274" s="55">
        <v>51.2</v>
      </c>
      <c r="G1274" s="55">
        <v>0.5</v>
      </c>
      <c r="H1274" s="55">
        <v>5</v>
      </c>
      <c r="I1274" s="55">
        <v>0.9</v>
      </c>
      <c r="J1274" s="55">
        <v>0</v>
      </c>
      <c r="K1274" s="55">
        <v>0.02</v>
      </c>
      <c r="L1274" s="55">
        <v>0.01</v>
      </c>
      <c r="M1274" s="55">
        <v>1.8</v>
      </c>
      <c r="N1274" s="55">
        <v>0</v>
      </c>
      <c r="O1274" s="55">
        <v>0</v>
      </c>
      <c r="P1274" s="52"/>
    </row>
    <row r="1275" spans="1:16" ht="18" customHeight="1">
      <c r="A1275" s="47"/>
      <c r="B1275" s="48" t="s">
        <v>1544</v>
      </c>
      <c r="C1275" s="54"/>
      <c r="D1275" s="55">
        <v>62</v>
      </c>
      <c r="E1275" s="55">
        <v>5</v>
      </c>
      <c r="F1275" s="55">
        <v>17</v>
      </c>
      <c r="G1275" s="55">
        <v>5.4</v>
      </c>
      <c r="H1275" s="55">
        <v>140</v>
      </c>
      <c r="I1275" s="55">
        <v>0.6</v>
      </c>
      <c r="J1275" s="55">
        <v>0.03</v>
      </c>
      <c r="K1275" s="55">
        <v>0.05</v>
      </c>
      <c r="L1275" s="55">
        <v>0.04</v>
      </c>
      <c r="M1275" s="55">
        <v>0.3</v>
      </c>
      <c r="N1275" s="55">
        <v>0</v>
      </c>
      <c r="O1275" s="55">
        <v>0</v>
      </c>
      <c r="P1275" s="52"/>
    </row>
    <row r="1276" spans="1:16" ht="18" customHeight="1">
      <c r="A1276" s="47"/>
      <c r="B1276" s="48" t="s">
        <v>1545</v>
      </c>
      <c r="C1276" s="54"/>
      <c r="D1276" s="55">
        <v>161.30000000000001</v>
      </c>
      <c r="E1276" s="55">
        <v>6.5</v>
      </c>
      <c r="F1276" s="55">
        <v>12.4</v>
      </c>
      <c r="G1276" s="55">
        <v>0.7</v>
      </c>
      <c r="H1276" s="55">
        <v>102.4</v>
      </c>
      <c r="I1276" s="55">
        <v>2.6</v>
      </c>
      <c r="J1276" s="55">
        <v>0</v>
      </c>
      <c r="K1276" s="55">
        <v>0.1</v>
      </c>
      <c r="L1276" s="55">
        <v>0.1</v>
      </c>
      <c r="M1276" s="55">
        <v>0.23</v>
      </c>
      <c r="N1276" s="55">
        <v>0</v>
      </c>
      <c r="O1276" s="55">
        <v>0</v>
      </c>
      <c r="P1276" s="52"/>
    </row>
    <row r="1277" spans="1:16" ht="18" customHeight="1">
      <c r="A1277" s="47"/>
      <c r="B1277" s="48" t="s">
        <v>1546</v>
      </c>
      <c r="C1277" s="54"/>
      <c r="D1277" s="69">
        <v>532</v>
      </c>
      <c r="E1277" s="69">
        <v>5</v>
      </c>
      <c r="F1277" s="69">
        <v>20.13</v>
      </c>
      <c r="G1277" s="69">
        <v>3.6</v>
      </c>
      <c r="H1277" s="69">
        <v>28</v>
      </c>
      <c r="I1277" s="69">
        <v>0.5</v>
      </c>
      <c r="J1277" s="69">
        <v>0</v>
      </c>
      <c r="K1277" s="69">
        <v>0.05</v>
      </c>
      <c r="L1277" s="69">
        <v>0.02</v>
      </c>
      <c r="M1277" s="69">
        <v>0.2</v>
      </c>
      <c r="N1277" s="69">
        <v>0</v>
      </c>
      <c r="O1277" s="73">
        <v>0</v>
      </c>
      <c r="P1277" s="52"/>
    </row>
    <row r="1278" spans="1:16" ht="18" customHeight="1">
      <c r="A1278" s="47"/>
      <c r="B1278" s="48" t="s">
        <v>1547</v>
      </c>
      <c r="C1278" s="54"/>
      <c r="D1278" s="69">
        <v>492</v>
      </c>
      <c r="E1278" s="69">
        <v>5.2</v>
      </c>
      <c r="F1278" s="69">
        <v>65</v>
      </c>
      <c r="G1278" s="69">
        <v>21.8</v>
      </c>
      <c r="H1278" s="69">
        <v>26</v>
      </c>
      <c r="I1278" s="69">
        <v>0.3</v>
      </c>
      <c r="J1278" s="69">
        <v>0</v>
      </c>
      <c r="K1278" s="69">
        <v>0.04</v>
      </c>
      <c r="L1278" s="69">
        <v>0.02</v>
      </c>
      <c r="M1278" s="69">
        <v>0.2</v>
      </c>
      <c r="N1278" s="69">
        <v>0</v>
      </c>
      <c r="O1278" s="73">
        <v>0</v>
      </c>
      <c r="P1278" s="52"/>
    </row>
    <row r="1279" spans="1:16" ht="18" customHeight="1">
      <c r="A1279" s="47"/>
      <c r="B1279" s="48" t="s">
        <v>1920</v>
      </c>
      <c r="C1279" s="54"/>
      <c r="D1279" s="69">
        <v>152</v>
      </c>
      <c r="E1279" s="69">
        <v>5.2</v>
      </c>
      <c r="F1279" s="69">
        <v>64.7</v>
      </c>
      <c r="G1279" s="69">
        <v>29.7</v>
      </c>
      <c r="H1279" s="69">
        <v>26</v>
      </c>
      <c r="I1279" s="69">
        <v>0.3</v>
      </c>
      <c r="J1279" s="69">
        <v>0</v>
      </c>
      <c r="K1279" s="69">
        <v>0.04</v>
      </c>
      <c r="L1279" s="69">
        <v>0.02</v>
      </c>
      <c r="M1279" s="69">
        <v>0.2</v>
      </c>
      <c r="N1279" s="69">
        <v>0</v>
      </c>
      <c r="O1279" s="73">
        <v>0</v>
      </c>
      <c r="P1279" s="52"/>
    </row>
    <row r="1280" spans="1:16" ht="18" customHeight="1">
      <c r="A1280" s="47"/>
      <c r="B1280" s="48" t="s">
        <v>1548</v>
      </c>
      <c r="C1280" s="54"/>
      <c r="D1280" s="69">
        <v>492</v>
      </c>
      <c r="E1280" s="69">
        <v>5.2</v>
      </c>
      <c r="F1280" s="69">
        <v>64.7</v>
      </c>
      <c r="G1280" s="69">
        <v>29.7</v>
      </c>
      <c r="H1280" s="69">
        <v>26</v>
      </c>
      <c r="I1280" s="69">
        <v>0.3</v>
      </c>
      <c r="J1280" s="69">
        <v>0</v>
      </c>
      <c r="K1280" s="69">
        <v>0.04</v>
      </c>
      <c r="L1280" s="69">
        <v>0.02</v>
      </c>
      <c r="M1280" s="69">
        <v>0.2</v>
      </c>
      <c r="N1280" s="69">
        <v>0</v>
      </c>
      <c r="O1280" s="73">
        <v>0</v>
      </c>
      <c r="P1280" s="52"/>
    </row>
    <row r="1281" spans="1:16" ht="18" customHeight="1">
      <c r="A1281" s="47"/>
      <c r="B1281" s="48" t="s">
        <v>1549</v>
      </c>
      <c r="C1281" s="54"/>
      <c r="D1281" s="69">
        <v>492</v>
      </c>
      <c r="E1281" s="69">
        <v>5.2</v>
      </c>
      <c r="F1281" s="69">
        <v>73.5</v>
      </c>
      <c r="G1281" s="69">
        <v>10</v>
      </c>
      <c r="H1281" s="69">
        <v>26</v>
      </c>
      <c r="I1281" s="69">
        <v>0.3</v>
      </c>
      <c r="J1281" s="69">
        <v>0</v>
      </c>
      <c r="K1281" s="69">
        <v>0.04</v>
      </c>
      <c r="L1281" s="69">
        <v>0.02</v>
      </c>
      <c r="M1281" s="69">
        <v>0.2</v>
      </c>
      <c r="N1281" s="69">
        <v>0</v>
      </c>
      <c r="O1281" s="73">
        <v>0</v>
      </c>
      <c r="P1281" s="52"/>
    </row>
    <row r="1282" spans="1:16" ht="18" customHeight="1">
      <c r="A1282" s="47"/>
      <c r="B1282" s="48" t="s">
        <v>2243</v>
      </c>
      <c r="C1282" s="54"/>
      <c r="D1282" s="69">
        <v>211.4</v>
      </c>
      <c r="E1282" s="69">
        <v>5.2</v>
      </c>
      <c r="F1282" s="69">
        <v>73.5</v>
      </c>
      <c r="G1282" s="69">
        <v>10</v>
      </c>
      <c r="H1282" s="69">
        <v>26</v>
      </c>
      <c r="I1282" s="69">
        <v>0.3</v>
      </c>
      <c r="J1282" s="69">
        <v>0</v>
      </c>
      <c r="K1282" s="69">
        <v>0.04</v>
      </c>
      <c r="L1282" s="69">
        <v>0.02</v>
      </c>
      <c r="M1282" s="69">
        <v>0.2</v>
      </c>
      <c r="N1282" s="69"/>
      <c r="O1282" s="73"/>
      <c r="P1282" s="52"/>
    </row>
    <row r="1283" spans="1:16" ht="18" customHeight="1">
      <c r="A1283" s="47"/>
      <c r="B1283" s="48" t="s">
        <v>2365</v>
      </c>
      <c r="C1283" s="54"/>
      <c r="D1283" s="69">
        <v>55.56</v>
      </c>
      <c r="E1283" s="69">
        <v>0.74</v>
      </c>
      <c r="F1283" s="69">
        <v>13.33</v>
      </c>
      <c r="G1283" s="69">
        <v>0</v>
      </c>
      <c r="H1283" s="69">
        <v>11</v>
      </c>
      <c r="I1283" s="69"/>
      <c r="J1283" s="69"/>
      <c r="K1283" s="69"/>
      <c r="L1283" s="69"/>
      <c r="M1283" s="69"/>
      <c r="N1283" s="69"/>
      <c r="O1283" s="73"/>
      <c r="P1283" s="52"/>
    </row>
    <row r="1284" spans="1:16" ht="18" customHeight="1">
      <c r="A1284" s="47"/>
      <c r="B1284" s="48" t="s">
        <v>1927</v>
      </c>
      <c r="C1284" s="54"/>
      <c r="D1284" s="69">
        <v>211.4</v>
      </c>
      <c r="E1284" s="69">
        <v>5.2</v>
      </c>
      <c r="F1284" s="69">
        <v>73.5</v>
      </c>
      <c r="G1284" s="69">
        <v>10</v>
      </c>
      <c r="H1284" s="69">
        <v>26</v>
      </c>
      <c r="I1284" s="69">
        <v>0.3</v>
      </c>
      <c r="J1284" s="69">
        <v>0</v>
      </c>
      <c r="K1284" s="69">
        <v>0.04</v>
      </c>
      <c r="L1284" s="69">
        <v>0.02</v>
      </c>
      <c r="M1284" s="69">
        <v>0.2</v>
      </c>
      <c r="N1284" s="69">
        <v>0</v>
      </c>
      <c r="O1284" s="73">
        <v>0</v>
      </c>
      <c r="P1284" s="52"/>
    </row>
    <row r="1285" spans="1:16" ht="18" customHeight="1">
      <c r="A1285" s="47"/>
      <c r="B1285" s="48" t="s">
        <v>1550</v>
      </c>
      <c r="C1285" s="54"/>
      <c r="D1285" s="69">
        <v>492</v>
      </c>
      <c r="E1285" s="69">
        <v>5.2</v>
      </c>
      <c r="F1285" s="69">
        <v>45.5</v>
      </c>
      <c r="G1285" s="69">
        <v>12.3</v>
      </c>
      <c r="H1285" s="69">
        <v>26</v>
      </c>
      <c r="I1285" s="69">
        <v>0.3</v>
      </c>
      <c r="J1285" s="69">
        <v>0</v>
      </c>
      <c r="K1285" s="69">
        <v>0.04</v>
      </c>
      <c r="L1285" s="69">
        <v>0.02</v>
      </c>
      <c r="M1285" s="69">
        <v>0.2</v>
      </c>
      <c r="N1285" s="69">
        <v>0</v>
      </c>
      <c r="O1285" s="73">
        <v>0</v>
      </c>
      <c r="P1285" s="52"/>
    </row>
    <row r="1286" spans="1:16" ht="18" customHeight="1">
      <c r="A1286" s="47"/>
      <c r="B1286" s="48" t="s">
        <v>1551</v>
      </c>
      <c r="C1286" s="54"/>
      <c r="D1286" s="69">
        <v>301</v>
      </c>
      <c r="E1286" s="69">
        <v>5.5</v>
      </c>
      <c r="F1286" s="69">
        <v>25.5</v>
      </c>
      <c r="G1286" s="69">
        <v>13.9</v>
      </c>
      <c r="H1286" s="69">
        <v>56.2</v>
      </c>
      <c r="I1286" s="69">
        <v>0.5</v>
      </c>
      <c r="J1286" s="69">
        <v>71</v>
      </c>
      <c r="K1286" s="69">
        <v>0.13</v>
      </c>
      <c r="L1286" s="69">
        <v>0.04</v>
      </c>
      <c r="M1286" s="69">
        <v>0.5</v>
      </c>
      <c r="N1286" s="69">
        <v>0</v>
      </c>
      <c r="O1286" s="72">
        <v>0</v>
      </c>
      <c r="P1286" s="52"/>
    </row>
    <row r="1287" spans="1:16" ht="18" customHeight="1">
      <c r="A1287" s="47"/>
      <c r="B1287" s="48" t="s">
        <v>1552</v>
      </c>
      <c r="C1287" s="54"/>
      <c r="D1287" s="69">
        <v>301</v>
      </c>
      <c r="E1287" s="69">
        <v>5.5</v>
      </c>
      <c r="F1287" s="69">
        <v>25.5</v>
      </c>
      <c r="G1287" s="69">
        <v>9.4</v>
      </c>
      <c r="H1287" s="69">
        <v>56.2</v>
      </c>
      <c r="I1287" s="69">
        <v>0.5</v>
      </c>
      <c r="J1287" s="69">
        <v>71</v>
      </c>
      <c r="K1287" s="69">
        <v>0.13</v>
      </c>
      <c r="L1287" s="69">
        <v>0.04</v>
      </c>
      <c r="M1287" s="69">
        <v>0.5</v>
      </c>
      <c r="N1287" s="69">
        <v>0</v>
      </c>
      <c r="O1287" s="72">
        <v>0</v>
      </c>
      <c r="P1287" s="52"/>
    </row>
    <row r="1288" spans="1:16" ht="18" customHeight="1">
      <c r="A1288" s="47"/>
      <c r="B1288" s="48" t="s">
        <v>1553</v>
      </c>
      <c r="C1288" s="54"/>
      <c r="D1288" s="69">
        <v>301</v>
      </c>
      <c r="E1288" s="69">
        <v>5.5</v>
      </c>
      <c r="F1288" s="69">
        <v>25.5</v>
      </c>
      <c r="G1288" s="69">
        <v>8.5</v>
      </c>
      <c r="H1288" s="69">
        <v>56.2</v>
      </c>
      <c r="I1288" s="69">
        <v>0.5</v>
      </c>
      <c r="J1288" s="69">
        <v>71</v>
      </c>
      <c r="K1288" s="69">
        <v>0.13</v>
      </c>
      <c r="L1288" s="69">
        <v>0.04</v>
      </c>
      <c r="M1288" s="69">
        <v>0.5</v>
      </c>
      <c r="N1288" s="69">
        <v>0</v>
      </c>
      <c r="O1288" s="72">
        <v>0</v>
      </c>
      <c r="P1288" s="52"/>
    </row>
    <row r="1289" spans="1:16" ht="18" customHeight="1">
      <c r="A1289" s="47"/>
      <c r="B1289" s="48" t="s">
        <v>1554</v>
      </c>
      <c r="C1289" s="54"/>
      <c r="D1289" s="55">
        <v>100</v>
      </c>
      <c r="E1289" s="55">
        <v>3</v>
      </c>
      <c r="F1289" s="55">
        <v>15.3</v>
      </c>
      <c r="G1289" s="55">
        <v>1.5</v>
      </c>
      <c r="H1289" s="55">
        <v>31</v>
      </c>
      <c r="I1289" s="55">
        <v>1.3</v>
      </c>
      <c r="J1289" s="55">
        <v>36</v>
      </c>
      <c r="K1289" s="55">
        <v>0.1</v>
      </c>
      <c r="L1289" s="55">
        <v>0.05</v>
      </c>
      <c r="M1289" s="55">
        <v>0.9</v>
      </c>
      <c r="N1289" s="55">
        <v>1</v>
      </c>
      <c r="O1289" s="55">
        <v>0</v>
      </c>
      <c r="P1289" s="52"/>
    </row>
    <row r="1290" spans="1:16" ht="18" customHeight="1">
      <c r="A1290" s="47"/>
      <c r="B1290" s="48" t="s">
        <v>1555</v>
      </c>
      <c r="C1290" s="54"/>
      <c r="D1290" s="55">
        <v>43</v>
      </c>
      <c r="E1290" s="55">
        <v>0.2</v>
      </c>
      <c r="F1290" s="55">
        <v>14</v>
      </c>
      <c r="G1290" s="55">
        <v>0.1</v>
      </c>
      <c r="H1290" s="55">
        <v>2</v>
      </c>
      <c r="I1290" s="55">
        <v>0.5</v>
      </c>
      <c r="J1290" s="55">
        <v>0</v>
      </c>
      <c r="K1290" s="55">
        <v>0.01</v>
      </c>
      <c r="L1290" s="55">
        <v>0.01</v>
      </c>
      <c r="M1290" s="55">
        <v>0.1</v>
      </c>
      <c r="N1290" s="55">
        <v>2</v>
      </c>
      <c r="O1290" s="55">
        <v>0</v>
      </c>
      <c r="P1290" s="52"/>
    </row>
    <row r="1291" spans="1:16" ht="18" customHeight="1">
      <c r="A1291" s="47"/>
      <c r="B1291" s="48" t="s">
        <v>1556</v>
      </c>
      <c r="C1291" s="54" t="s">
        <v>304</v>
      </c>
      <c r="D1291" s="55">
        <v>43</v>
      </c>
      <c r="E1291" s="55">
        <v>0.2</v>
      </c>
      <c r="F1291" s="55">
        <v>11.7</v>
      </c>
      <c r="G1291" s="55">
        <v>0</v>
      </c>
      <c r="H1291" s="55">
        <v>2</v>
      </c>
      <c r="I1291" s="55">
        <v>0.5</v>
      </c>
      <c r="J1291" s="55">
        <v>0</v>
      </c>
      <c r="K1291" s="55">
        <v>0.01</v>
      </c>
      <c r="L1291" s="55">
        <v>0.01</v>
      </c>
      <c r="M1291" s="55">
        <v>0.1</v>
      </c>
      <c r="N1291" s="55">
        <v>2</v>
      </c>
      <c r="O1291" s="55">
        <v>0</v>
      </c>
      <c r="P1291" s="52"/>
    </row>
    <row r="1292" spans="1:16" ht="18" customHeight="1">
      <c r="A1292" s="47"/>
      <c r="B1292" s="48" t="s">
        <v>3</v>
      </c>
      <c r="C1292" s="54" t="s">
        <v>1078</v>
      </c>
      <c r="D1292" s="55">
        <v>18</v>
      </c>
      <c r="E1292" s="55">
        <v>2</v>
      </c>
      <c r="F1292" s="55">
        <v>3.9</v>
      </c>
      <c r="G1292" s="55">
        <v>0.5</v>
      </c>
      <c r="H1292" s="55">
        <v>47</v>
      </c>
      <c r="I1292" s="55">
        <v>0.8</v>
      </c>
      <c r="J1292" s="55">
        <v>48</v>
      </c>
      <c r="K1292" s="55">
        <v>0.06</v>
      </c>
      <c r="L1292" s="55">
        <v>0.06</v>
      </c>
      <c r="M1292" s="55">
        <v>0.8</v>
      </c>
      <c r="N1292" s="55">
        <v>14</v>
      </c>
      <c r="O1292" s="55">
        <v>0</v>
      </c>
      <c r="P1292" s="52"/>
    </row>
    <row r="1293" spans="1:16" ht="18" customHeight="1">
      <c r="A1293" s="47"/>
      <c r="B1293" s="48" t="s">
        <v>1557</v>
      </c>
      <c r="C1293" s="54"/>
      <c r="D1293" s="75">
        <v>312</v>
      </c>
      <c r="E1293" s="75">
        <v>43.9</v>
      </c>
      <c r="F1293" s="75">
        <v>29.2</v>
      </c>
      <c r="G1293" s="75">
        <v>1.5</v>
      </c>
      <c r="H1293" s="75">
        <v>392</v>
      </c>
      <c r="I1293" s="75">
        <v>0.06</v>
      </c>
      <c r="J1293" s="75">
        <v>0</v>
      </c>
      <c r="K1293" s="75">
        <v>0.03</v>
      </c>
      <c r="L1293" s="75">
        <v>0.08</v>
      </c>
      <c r="M1293" s="55">
        <v>0</v>
      </c>
      <c r="N1293" s="55">
        <v>0</v>
      </c>
      <c r="O1293" s="72">
        <v>0</v>
      </c>
      <c r="P1293" s="52"/>
    </row>
    <row r="1294" spans="1:16" ht="18" customHeight="1">
      <c r="A1294" s="47"/>
      <c r="B1294" s="48" t="s">
        <v>1558</v>
      </c>
      <c r="C1294" s="54"/>
      <c r="D1294" s="55">
        <v>203</v>
      </c>
      <c r="E1294" s="55">
        <v>15.6</v>
      </c>
      <c r="F1294" s="55">
        <v>24.6</v>
      </c>
      <c r="G1294" s="55">
        <v>4.2</v>
      </c>
      <c r="H1294" s="55">
        <v>46</v>
      </c>
      <c r="I1294" s="55">
        <v>1.1000000000000001</v>
      </c>
      <c r="J1294" s="55">
        <v>8</v>
      </c>
      <c r="K1294" s="55">
        <v>0.23</v>
      </c>
      <c r="L1294" s="55">
        <v>0.1</v>
      </c>
      <c r="M1294" s="55">
        <v>0</v>
      </c>
      <c r="N1294" s="55">
        <v>1</v>
      </c>
      <c r="O1294" s="73">
        <v>0</v>
      </c>
      <c r="P1294" s="52"/>
    </row>
    <row r="1295" spans="1:16" ht="18" customHeight="1">
      <c r="A1295" s="47"/>
      <c r="B1295" s="48" t="s">
        <v>1559</v>
      </c>
      <c r="C1295" s="54"/>
      <c r="D1295" s="55">
        <v>197</v>
      </c>
      <c r="E1295" s="55">
        <v>0.9</v>
      </c>
      <c r="F1295" s="55">
        <v>76.3</v>
      </c>
      <c r="G1295" s="55">
        <v>1.36</v>
      </c>
      <c r="H1295" s="55">
        <v>25.7</v>
      </c>
      <c r="I1295" s="55">
        <v>1.1299999999999999</v>
      </c>
      <c r="J1295" s="55">
        <v>440</v>
      </c>
      <c r="K1295" s="55">
        <v>0.02</v>
      </c>
      <c r="L1295" s="55">
        <v>0.04</v>
      </c>
      <c r="M1295" s="55">
        <v>0.4</v>
      </c>
      <c r="N1295" s="55">
        <v>6.7</v>
      </c>
      <c r="O1295" s="72">
        <v>0</v>
      </c>
      <c r="P1295" s="52"/>
    </row>
    <row r="1296" spans="1:16" ht="18" customHeight="1">
      <c r="A1296" s="47"/>
      <c r="B1296" s="48" t="s">
        <v>1560</v>
      </c>
      <c r="C1296" s="54"/>
      <c r="D1296" s="55">
        <v>137</v>
      </c>
      <c r="E1296" s="55">
        <v>0.9</v>
      </c>
      <c r="F1296" s="55">
        <v>33.1</v>
      </c>
      <c r="G1296" s="55">
        <v>3.2</v>
      </c>
      <c r="H1296" s="55">
        <v>25.7</v>
      </c>
      <c r="I1296" s="55">
        <v>1.1299999999999999</v>
      </c>
      <c r="J1296" s="55">
        <v>440</v>
      </c>
      <c r="K1296" s="55">
        <v>0.02</v>
      </c>
      <c r="L1296" s="55">
        <v>0.04</v>
      </c>
      <c r="M1296" s="55">
        <v>0.4</v>
      </c>
      <c r="N1296" s="55">
        <v>6.7</v>
      </c>
      <c r="O1296" s="72">
        <v>0</v>
      </c>
      <c r="P1296" s="52"/>
    </row>
    <row r="1297" spans="1:16" ht="18" customHeight="1">
      <c r="A1297" s="47"/>
      <c r="B1297" s="48" t="s">
        <v>1561</v>
      </c>
      <c r="C1297" s="54"/>
      <c r="D1297" s="76">
        <v>295</v>
      </c>
      <c r="E1297" s="76">
        <v>63.5</v>
      </c>
      <c r="F1297" s="76">
        <v>0.4</v>
      </c>
      <c r="G1297" s="76">
        <v>2.7</v>
      </c>
      <c r="H1297" s="76">
        <v>35</v>
      </c>
      <c r="I1297" s="76">
        <v>3</v>
      </c>
      <c r="J1297" s="55">
        <v>0</v>
      </c>
      <c r="K1297" s="55">
        <v>0.06</v>
      </c>
      <c r="L1297" s="55">
        <v>0.03</v>
      </c>
      <c r="M1297" s="55">
        <v>0</v>
      </c>
      <c r="N1297" s="55">
        <v>0.35</v>
      </c>
      <c r="O1297" s="73">
        <v>0</v>
      </c>
      <c r="P1297" s="52"/>
    </row>
    <row r="1298" spans="1:16" ht="18" customHeight="1">
      <c r="A1298" s="47"/>
      <c r="B1298" s="48" t="s">
        <v>7</v>
      </c>
      <c r="C1298" s="54"/>
      <c r="D1298" s="55">
        <v>234</v>
      </c>
      <c r="E1298" s="55">
        <v>7.2</v>
      </c>
      <c r="F1298" s="55">
        <v>10.5</v>
      </c>
      <c r="G1298" s="55">
        <v>6.9</v>
      </c>
      <c r="H1298" s="55">
        <v>1</v>
      </c>
      <c r="I1298" s="55">
        <v>1</v>
      </c>
      <c r="J1298" s="55">
        <v>16</v>
      </c>
      <c r="K1298" s="55">
        <v>0.1</v>
      </c>
      <c r="L1298" s="55">
        <v>0.08</v>
      </c>
      <c r="M1298" s="55">
        <v>0.87</v>
      </c>
      <c r="N1298" s="55">
        <v>0</v>
      </c>
      <c r="O1298" s="55">
        <v>0</v>
      </c>
      <c r="P1298" s="52"/>
    </row>
    <row r="1299" spans="1:16" ht="18" customHeight="1">
      <c r="A1299" s="47"/>
      <c r="B1299" s="48" t="s">
        <v>1562</v>
      </c>
      <c r="C1299" s="54"/>
      <c r="D1299" s="55">
        <v>123</v>
      </c>
      <c r="E1299" s="55">
        <v>7.2</v>
      </c>
      <c r="F1299" s="55">
        <v>10.5</v>
      </c>
      <c r="G1299" s="55">
        <v>11.26</v>
      </c>
      <c r="H1299" s="55">
        <v>1</v>
      </c>
      <c r="I1299" s="55">
        <v>1</v>
      </c>
      <c r="J1299" s="55">
        <v>16</v>
      </c>
      <c r="K1299" s="55">
        <v>0.1</v>
      </c>
      <c r="L1299" s="55">
        <v>0.08</v>
      </c>
      <c r="M1299" s="55">
        <v>0.87</v>
      </c>
      <c r="N1299" s="55">
        <v>0</v>
      </c>
      <c r="O1299" s="55">
        <v>0</v>
      </c>
      <c r="P1299" s="52"/>
    </row>
    <row r="1300" spans="1:16" ht="18" customHeight="1">
      <c r="A1300" s="47"/>
      <c r="B1300" s="48" t="s">
        <v>17</v>
      </c>
      <c r="C1300" s="54"/>
      <c r="D1300" s="55">
        <v>198</v>
      </c>
      <c r="E1300" s="55">
        <v>7.2</v>
      </c>
      <c r="F1300" s="55">
        <v>10.5</v>
      </c>
      <c r="G1300" s="55">
        <v>16</v>
      </c>
      <c r="H1300" s="55">
        <v>1</v>
      </c>
      <c r="I1300" s="55">
        <v>1</v>
      </c>
      <c r="J1300" s="55">
        <v>16</v>
      </c>
      <c r="K1300" s="55">
        <v>0.1</v>
      </c>
      <c r="L1300" s="55">
        <v>0.08</v>
      </c>
      <c r="M1300" s="55">
        <v>0.87</v>
      </c>
      <c r="N1300" s="55">
        <v>0</v>
      </c>
      <c r="O1300" s="55">
        <v>0</v>
      </c>
      <c r="P1300" s="52"/>
    </row>
    <row r="1301" spans="1:16" ht="18" customHeight="1">
      <c r="A1301" s="47"/>
      <c r="B1301" s="48" t="s">
        <v>2030</v>
      </c>
      <c r="C1301" s="54"/>
      <c r="D1301" s="55">
        <v>200</v>
      </c>
      <c r="E1301" s="55">
        <v>7.4</v>
      </c>
      <c r="F1301" s="55">
        <v>11.2</v>
      </c>
      <c r="G1301" s="55">
        <v>17</v>
      </c>
      <c r="H1301" s="55">
        <v>1.5</v>
      </c>
      <c r="I1301" s="55">
        <v>1.5</v>
      </c>
      <c r="J1301" s="55">
        <v>16.3</v>
      </c>
      <c r="K1301" s="55">
        <v>0.1</v>
      </c>
      <c r="L1301" s="55">
        <v>0.08</v>
      </c>
      <c r="M1301" s="55">
        <v>0.87</v>
      </c>
      <c r="N1301" s="55">
        <v>0</v>
      </c>
      <c r="O1301" s="55">
        <v>0</v>
      </c>
      <c r="P1301" s="52"/>
    </row>
    <row r="1302" spans="1:16" ht="18" customHeight="1">
      <c r="A1302" s="47"/>
      <c r="B1302" s="48" t="s">
        <v>2031</v>
      </c>
      <c r="C1302" s="54"/>
      <c r="D1302" s="55">
        <v>198</v>
      </c>
      <c r="E1302" s="55">
        <v>7.2</v>
      </c>
      <c r="F1302" s="55">
        <v>10.5</v>
      </c>
      <c r="G1302" s="55">
        <v>16</v>
      </c>
      <c r="H1302" s="55">
        <v>1</v>
      </c>
      <c r="I1302" s="55">
        <v>1</v>
      </c>
      <c r="J1302" s="55">
        <v>16</v>
      </c>
      <c r="K1302" s="55">
        <v>0.1</v>
      </c>
      <c r="L1302" s="55">
        <v>0.08</v>
      </c>
      <c r="M1302" s="55">
        <v>0.87</v>
      </c>
      <c r="N1302" s="55">
        <v>0</v>
      </c>
      <c r="O1302" s="55">
        <v>0</v>
      </c>
      <c r="P1302" s="52"/>
    </row>
    <row r="1303" spans="1:16" ht="18" customHeight="1">
      <c r="A1303" s="47"/>
      <c r="B1303" s="48" t="s">
        <v>890</v>
      </c>
      <c r="C1303" s="54"/>
      <c r="D1303" s="55">
        <v>454</v>
      </c>
      <c r="E1303" s="55">
        <v>7.3</v>
      </c>
      <c r="F1303" s="55">
        <v>63</v>
      </c>
      <c r="G1303" s="55">
        <v>10</v>
      </c>
      <c r="H1303" s="55">
        <v>89</v>
      </c>
      <c r="I1303" s="55">
        <v>0.5</v>
      </c>
      <c r="J1303" s="55">
        <v>76</v>
      </c>
      <c r="K1303" s="55">
        <v>4.59</v>
      </c>
      <c r="L1303" s="55">
        <v>0.05</v>
      </c>
      <c r="M1303" s="55">
        <v>1.3</v>
      </c>
      <c r="N1303" s="56">
        <v>0</v>
      </c>
      <c r="O1303" s="56">
        <v>0</v>
      </c>
      <c r="P1303" s="52"/>
    </row>
    <row r="1304" spans="1:16" ht="18" customHeight="1">
      <c r="A1304" s="47"/>
      <c r="B1304" s="48" t="s">
        <v>1563</v>
      </c>
      <c r="C1304" s="54"/>
      <c r="D1304" s="55">
        <v>87</v>
      </c>
      <c r="E1304" s="55">
        <v>2.1</v>
      </c>
      <c r="F1304" s="55">
        <v>3.7</v>
      </c>
      <c r="G1304" s="55">
        <v>0.3</v>
      </c>
      <c r="H1304" s="55">
        <v>47</v>
      </c>
      <c r="I1304" s="55">
        <v>0.6</v>
      </c>
      <c r="J1304" s="55">
        <v>8</v>
      </c>
      <c r="K1304" s="55">
        <v>0.02</v>
      </c>
      <c r="L1304" s="55">
        <v>0.02</v>
      </c>
      <c r="M1304" s="55">
        <v>0.5</v>
      </c>
      <c r="N1304" s="55">
        <v>4</v>
      </c>
      <c r="O1304" s="55">
        <v>0</v>
      </c>
      <c r="P1304" s="52"/>
    </row>
    <row r="1305" spans="1:16" ht="18" customHeight="1">
      <c r="A1305" s="47"/>
      <c r="B1305" s="48" t="s">
        <v>1564</v>
      </c>
      <c r="C1305" s="54"/>
      <c r="D1305" s="55">
        <v>123</v>
      </c>
      <c r="E1305" s="55">
        <v>7.2</v>
      </c>
      <c r="F1305" s="55">
        <v>0</v>
      </c>
      <c r="G1305" s="55">
        <v>16.5</v>
      </c>
      <c r="H1305" s="55">
        <v>1</v>
      </c>
      <c r="I1305" s="55">
        <v>1</v>
      </c>
      <c r="J1305" s="55">
        <v>16</v>
      </c>
      <c r="K1305" s="55">
        <v>0.1</v>
      </c>
      <c r="L1305" s="55">
        <v>0.08</v>
      </c>
      <c r="M1305" s="55">
        <v>0.87</v>
      </c>
      <c r="N1305" s="55">
        <v>0</v>
      </c>
      <c r="O1305" s="55">
        <v>0</v>
      </c>
      <c r="P1305" s="52"/>
    </row>
    <row r="1306" spans="1:16" ht="18" customHeight="1">
      <c r="A1306" s="47"/>
      <c r="B1306" s="48" t="s">
        <v>1565</v>
      </c>
      <c r="C1306" s="54"/>
      <c r="D1306" s="55">
        <v>376</v>
      </c>
      <c r="E1306" s="50">
        <v>8.8000000000000007</v>
      </c>
      <c r="F1306" s="50">
        <v>32</v>
      </c>
      <c r="G1306" s="50">
        <v>8.9</v>
      </c>
      <c r="H1306" s="55">
        <v>36</v>
      </c>
      <c r="I1306" s="55">
        <v>0.7</v>
      </c>
      <c r="J1306" s="55">
        <v>29</v>
      </c>
      <c r="K1306" s="55">
        <v>0.14000000000000001</v>
      </c>
      <c r="L1306" s="55">
        <v>0.06</v>
      </c>
      <c r="M1306" s="55">
        <v>1.3</v>
      </c>
      <c r="N1306" s="55">
        <v>0</v>
      </c>
      <c r="O1306" s="55">
        <v>0</v>
      </c>
      <c r="P1306" s="52"/>
    </row>
    <row r="1307" spans="1:16" ht="18" customHeight="1">
      <c r="A1307" s="47"/>
      <c r="B1307" s="53" t="s">
        <v>1566</v>
      </c>
      <c r="C1307" s="54" t="s">
        <v>90</v>
      </c>
      <c r="D1307" s="55">
        <v>376</v>
      </c>
      <c r="E1307" s="50">
        <v>8.8000000000000007</v>
      </c>
      <c r="F1307" s="50">
        <v>29.4</v>
      </c>
      <c r="G1307" s="50">
        <v>28.1</v>
      </c>
      <c r="H1307" s="55">
        <v>36</v>
      </c>
      <c r="I1307" s="55">
        <v>0.7</v>
      </c>
      <c r="J1307" s="55">
        <v>29</v>
      </c>
      <c r="K1307" s="55">
        <v>0.14000000000000001</v>
      </c>
      <c r="L1307" s="55">
        <v>0.06</v>
      </c>
      <c r="M1307" s="55">
        <v>1.3</v>
      </c>
      <c r="N1307" s="55">
        <v>0</v>
      </c>
      <c r="O1307" s="55">
        <v>0</v>
      </c>
      <c r="P1307" s="52"/>
    </row>
    <row r="1308" spans="1:16" ht="18" customHeight="1">
      <c r="A1308" s="47"/>
      <c r="B1308" s="53" t="s">
        <v>1567</v>
      </c>
      <c r="C1308" s="54" t="s">
        <v>90</v>
      </c>
      <c r="D1308" s="55">
        <v>376</v>
      </c>
      <c r="E1308" s="50">
        <v>8.8000000000000007</v>
      </c>
      <c r="F1308" s="50">
        <v>52.4</v>
      </c>
      <c r="G1308" s="50">
        <v>2.2000000000000002</v>
      </c>
      <c r="H1308" s="55">
        <v>36</v>
      </c>
      <c r="I1308" s="55">
        <v>0.7</v>
      </c>
      <c r="J1308" s="55">
        <v>29</v>
      </c>
      <c r="K1308" s="55">
        <v>0.14000000000000001</v>
      </c>
      <c r="L1308" s="55">
        <v>0.06</v>
      </c>
      <c r="M1308" s="55">
        <v>1.3</v>
      </c>
      <c r="N1308" s="55">
        <v>0</v>
      </c>
      <c r="O1308" s="55">
        <v>0</v>
      </c>
      <c r="P1308" s="52"/>
    </row>
    <row r="1309" spans="1:16" ht="18" customHeight="1">
      <c r="A1309" s="47"/>
      <c r="B1309" s="48" t="s">
        <v>21</v>
      </c>
      <c r="C1309" s="54"/>
      <c r="D1309" s="55">
        <v>148</v>
      </c>
      <c r="E1309" s="55">
        <v>7.2</v>
      </c>
      <c r="F1309" s="55">
        <v>0</v>
      </c>
      <c r="G1309" s="55">
        <v>16.5</v>
      </c>
      <c r="H1309" s="55">
        <v>1</v>
      </c>
      <c r="I1309" s="55">
        <v>1</v>
      </c>
      <c r="J1309" s="55">
        <v>16</v>
      </c>
      <c r="K1309" s="55">
        <v>0.1</v>
      </c>
      <c r="L1309" s="55">
        <v>0.08</v>
      </c>
      <c r="M1309" s="55">
        <v>0.87</v>
      </c>
      <c r="N1309" s="55">
        <v>0</v>
      </c>
      <c r="O1309" s="55">
        <v>0</v>
      </c>
      <c r="P1309" s="52"/>
    </row>
    <row r="1310" spans="1:16" ht="18" customHeight="1">
      <c r="A1310" s="47"/>
      <c r="B1310" s="48" t="s">
        <v>1568</v>
      </c>
      <c r="C1310" s="54"/>
      <c r="D1310" s="55">
        <v>380</v>
      </c>
      <c r="E1310" s="55">
        <v>7.2</v>
      </c>
      <c r="F1310" s="55">
        <v>10.5</v>
      </c>
      <c r="G1310" s="55">
        <v>16.5</v>
      </c>
      <c r="H1310" s="55">
        <v>1</v>
      </c>
      <c r="I1310" s="55">
        <v>1</v>
      </c>
      <c r="J1310" s="55">
        <v>16</v>
      </c>
      <c r="K1310" s="55">
        <v>0.1</v>
      </c>
      <c r="L1310" s="55">
        <v>0.08</v>
      </c>
      <c r="M1310" s="55">
        <v>0.87</v>
      </c>
      <c r="N1310" s="55">
        <v>0</v>
      </c>
      <c r="O1310" s="55">
        <v>0</v>
      </c>
      <c r="P1310" s="52"/>
    </row>
    <row r="1311" spans="1:16" ht="18" customHeight="1">
      <c r="A1311" s="47"/>
      <c r="B1311" s="48" t="s">
        <v>4</v>
      </c>
      <c r="C1311" s="54" t="s">
        <v>1446</v>
      </c>
      <c r="D1311" s="55">
        <v>170</v>
      </c>
      <c r="E1311" s="55">
        <v>10.4</v>
      </c>
      <c r="F1311" s="55">
        <v>0</v>
      </c>
      <c r="G1311" s="55">
        <v>3.48</v>
      </c>
      <c r="H1311" s="55">
        <v>196</v>
      </c>
      <c r="I1311" s="55">
        <v>3.1</v>
      </c>
      <c r="J1311" s="55">
        <v>6</v>
      </c>
      <c r="K1311" s="55">
        <v>0.16</v>
      </c>
      <c r="L1311" s="55">
        <v>26.1</v>
      </c>
      <c r="M1311" s="55">
        <v>2</v>
      </c>
      <c r="N1311" s="55">
        <v>0</v>
      </c>
      <c r="O1311" s="55">
        <v>0</v>
      </c>
      <c r="P1311" s="52"/>
    </row>
    <row r="1312" spans="1:16" ht="18" customHeight="1">
      <c r="A1312" s="47"/>
      <c r="B1312" s="48" t="s">
        <v>1569</v>
      </c>
      <c r="C1312" s="54"/>
      <c r="D1312" s="75">
        <v>357</v>
      </c>
      <c r="E1312" s="75">
        <v>11.2</v>
      </c>
      <c r="F1312" s="77">
        <v>77.099999999999994</v>
      </c>
      <c r="G1312" s="75">
        <v>1.9</v>
      </c>
      <c r="H1312" s="78">
        <v>26</v>
      </c>
      <c r="I1312" s="79">
        <v>1.5</v>
      </c>
      <c r="J1312" s="79">
        <v>0</v>
      </c>
      <c r="K1312" s="79">
        <v>0</v>
      </c>
      <c r="L1312" s="79">
        <v>0</v>
      </c>
      <c r="M1312" s="79">
        <v>0</v>
      </c>
      <c r="N1312" s="79">
        <v>0</v>
      </c>
      <c r="O1312" s="79">
        <v>0</v>
      </c>
      <c r="P1312" s="52"/>
    </row>
    <row r="1313" spans="1:16" ht="18" customHeight="1">
      <c r="A1313" s="47"/>
      <c r="B1313" s="48" t="s">
        <v>1570</v>
      </c>
      <c r="C1313" s="54"/>
      <c r="D1313" s="75">
        <v>357</v>
      </c>
      <c r="E1313" s="75">
        <v>11.2</v>
      </c>
      <c r="F1313" s="77">
        <v>74.599999999999994</v>
      </c>
      <c r="G1313" s="75">
        <v>2</v>
      </c>
      <c r="H1313" s="78">
        <v>26</v>
      </c>
      <c r="I1313" s="79">
        <v>1.5</v>
      </c>
      <c r="J1313" s="79">
        <v>0</v>
      </c>
      <c r="K1313" s="79">
        <v>0</v>
      </c>
      <c r="L1313" s="79">
        <v>0</v>
      </c>
      <c r="M1313" s="79">
        <v>0</v>
      </c>
      <c r="N1313" s="79">
        <v>0</v>
      </c>
      <c r="O1313" s="79">
        <v>0</v>
      </c>
      <c r="P1313" s="52"/>
    </row>
    <row r="1314" spans="1:16" ht="18" customHeight="1">
      <c r="A1314" s="47"/>
      <c r="B1314" s="48" t="s">
        <v>1651</v>
      </c>
      <c r="C1314" s="54"/>
      <c r="D1314" s="75">
        <v>357</v>
      </c>
      <c r="E1314" s="75">
        <v>11.2</v>
      </c>
      <c r="F1314" s="77">
        <v>74.599999999999994</v>
      </c>
      <c r="G1314" s="75">
        <v>2</v>
      </c>
      <c r="H1314" s="78">
        <v>26</v>
      </c>
      <c r="I1314" s="79">
        <v>1.5</v>
      </c>
      <c r="J1314" s="79">
        <v>0</v>
      </c>
      <c r="K1314" s="79">
        <v>0</v>
      </c>
      <c r="L1314" s="79">
        <v>0</v>
      </c>
      <c r="M1314" s="79">
        <v>0</v>
      </c>
      <c r="N1314" s="79">
        <v>0</v>
      </c>
      <c r="O1314" s="79">
        <v>0</v>
      </c>
      <c r="P1314" s="52"/>
    </row>
    <row r="1315" spans="1:16" ht="18" customHeight="1">
      <c r="A1315" s="47"/>
      <c r="B1315" s="48" t="s">
        <v>1895</v>
      </c>
      <c r="C1315" s="54"/>
      <c r="D1315" s="75">
        <v>327</v>
      </c>
      <c r="E1315" s="75">
        <v>12</v>
      </c>
      <c r="F1315" s="77">
        <v>67</v>
      </c>
      <c r="G1315" s="75">
        <v>1</v>
      </c>
      <c r="H1315" s="78">
        <v>26</v>
      </c>
      <c r="I1315" s="79">
        <v>1.5</v>
      </c>
      <c r="J1315" s="79">
        <v>0</v>
      </c>
      <c r="K1315" s="79">
        <v>0</v>
      </c>
      <c r="L1315" s="79">
        <v>0</v>
      </c>
      <c r="M1315" s="79">
        <v>0</v>
      </c>
      <c r="N1315" s="79">
        <v>0</v>
      </c>
      <c r="O1315" s="79">
        <v>0</v>
      </c>
      <c r="P1315" s="52"/>
    </row>
    <row r="1316" spans="1:16" ht="18" customHeight="1">
      <c r="A1316" s="47"/>
      <c r="B1316" s="80" t="s">
        <v>1571</v>
      </c>
      <c r="C1316" s="81"/>
      <c r="D1316" s="55">
        <v>110</v>
      </c>
      <c r="E1316" s="50">
        <v>3.5</v>
      </c>
      <c r="F1316" s="50">
        <v>51.2</v>
      </c>
      <c r="G1316" s="50">
        <v>0.5</v>
      </c>
      <c r="H1316" s="55">
        <v>4</v>
      </c>
      <c r="I1316" s="55">
        <v>1</v>
      </c>
      <c r="J1316" s="55">
        <v>0</v>
      </c>
      <c r="K1316" s="55">
        <v>0.02</v>
      </c>
      <c r="L1316" s="55">
        <v>0.01</v>
      </c>
      <c r="M1316" s="55">
        <v>0.7</v>
      </c>
      <c r="N1316" s="55">
        <v>0</v>
      </c>
      <c r="O1316" s="55">
        <v>0</v>
      </c>
      <c r="P1316" s="76">
        <v>51.2</v>
      </c>
    </row>
    <row r="1317" spans="1:16" ht="18" customHeight="1">
      <c r="A1317" s="47"/>
      <c r="B1317" s="82" t="s">
        <v>1572</v>
      </c>
      <c r="C1317" s="83"/>
      <c r="D1317" s="55">
        <v>110</v>
      </c>
      <c r="E1317" s="50">
        <v>3.5</v>
      </c>
      <c r="F1317" s="50">
        <v>51.2</v>
      </c>
      <c r="G1317" s="50">
        <v>0.8</v>
      </c>
      <c r="H1317" s="55">
        <v>4</v>
      </c>
      <c r="I1317" s="55">
        <v>1</v>
      </c>
      <c r="J1317" s="55">
        <v>0</v>
      </c>
      <c r="K1317" s="55">
        <v>0.02</v>
      </c>
      <c r="L1317" s="55">
        <v>0.01</v>
      </c>
      <c r="M1317" s="55">
        <v>0.7</v>
      </c>
      <c r="N1317" s="55">
        <v>0</v>
      </c>
      <c r="O1317" s="55">
        <v>0</v>
      </c>
      <c r="P1317" s="52"/>
    </row>
    <row r="1318" spans="1:16" ht="18" customHeight="1">
      <c r="A1318" s="47"/>
      <c r="B1318" s="80" t="s">
        <v>1573</v>
      </c>
      <c r="C1318" s="81"/>
      <c r="D1318" s="55">
        <v>110</v>
      </c>
      <c r="E1318" s="50">
        <v>3.5</v>
      </c>
      <c r="F1318" s="50">
        <v>63.6</v>
      </c>
      <c r="G1318" s="50">
        <v>0.5</v>
      </c>
      <c r="H1318" s="55">
        <v>4</v>
      </c>
      <c r="I1318" s="55">
        <v>1</v>
      </c>
      <c r="J1318" s="55">
        <v>0</v>
      </c>
      <c r="K1318" s="55">
        <v>0.02</v>
      </c>
      <c r="L1318" s="55">
        <v>0.01</v>
      </c>
      <c r="M1318" s="55">
        <v>0.7</v>
      </c>
      <c r="N1318" s="55">
        <v>0</v>
      </c>
      <c r="O1318" s="55">
        <v>0</v>
      </c>
      <c r="P1318" s="52"/>
    </row>
    <row r="1319" spans="1:16" ht="18" customHeight="1">
      <c r="A1319" s="47"/>
      <c r="B1319" s="80" t="s">
        <v>1574</v>
      </c>
      <c r="C1319" s="81"/>
      <c r="D1319" s="55">
        <v>110</v>
      </c>
      <c r="E1319" s="50">
        <v>3.5</v>
      </c>
      <c r="F1319" s="50">
        <v>52.5</v>
      </c>
      <c r="G1319" s="50">
        <v>0.8</v>
      </c>
      <c r="H1319" s="55">
        <v>4</v>
      </c>
      <c r="I1319" s="55">
        <v>1</v>
      </c>
      <c r="J1319" s="55">
        <v>0</v>
      </c>
      <c r="K1319" s="55">
        <v>0.02</v>
      </c>
      <c r="L1319" s="55">
        <v>0.01</v>
      </c>
      <c r="M1319" s="55">
        <v>0.7</v>
      </c>
      <c r="N1319" s="55">
        <v>0</v>
      </c>
      <c r="O1319" s="55">
        <v>0</v>
      </c>
      <c r="P1319" s="52"/>
    </row>
    <row r="1320" spans="1:16" ht="18" customHeight="1">
      <c r="A1320" s="47"/>
      <c r="B1320" s="53" t="s">
        <v>1661</v>
      </c>
      <c r="C1320" s="54" t="s">
        <v>90</v>
      </c>
      <c r="D1320" s="55">
        <v>271</v>
      </c>
      <c r="E1320" s="50">
        <v>8.8000000000000007</v>
      </c>
      <c r="F1320" s="50">
        <v>58</v>
      </c>
      <c r="G1320" s="50">
        <v>11.1</v>
      </c>
      <c r="H1320" s="55">
        <v>36</v>
      </c>
      <c r="I1320" s="55">
        <v>0.7</v>
      </c>
      <c r="J1320" s="55">
        <v>29</v>
      </c>
      <c r="K1320" s="55">
        <v>0.14000000000000001</v>
      </c>
      <c r="L1320" s="55">
        <v>0.06</v>
      </c>
      <c r="M1320" s="55">
        <v>1.3</v>
      </c>
      <c r="N1320" s="55">
        <v>0</v>
      </c>
      <c r="O1320" s="55">
        <v>0</v>
      </c>
      <c r="P1320" s="52"/>
    </row>
    <row r="1321" spans="1:16" ht="18" customHeight="1">
      <c r="A1321" s="47"/>
      <c r="B1321" s="48" t="s">
        <v>1575</v>
      </c>
      <c r="C1321" s="54"/>
      <c r="D1321" s="55">
        <v>189</v>
      </c>
      <c r="E1321" s="55">
        <v>3.83</v>
      </c>
      <c r="F1321" s="55">
        <v>25.8</v>
      </c>
      <c r="G1321" s="55">
        <v>5.8</v>
      </c>
      <c r="H1321" s="55">
        <v>10.84</v>
      </c>
      <c r="I1321" s="55">
        <v>1.2</v>
      </c>
      <c r="J1321" s="55">
        <v>16.100000000000001</v>
      </c>
      <c r="K1321" s="55">
        <v>7.0000000000000001E-3</v>
      </c>
      <c r="L1321" s="55">
        <v>7.0000000000000001E-3</v>
      </c>
      <c r="M1321" s="55">
        <v>0.02</v>
      </c>
      <c r="N1321" s="55">
        <v>1.92</v>
      </c>
      <c r="O1321" s="55"/>
      <c r="P1321" s="52"/>
    </row>
    <row r="1322" spans="1:16" ht="18" customHeight="1">
      <c r="A1322" s="47"/>
      <c r="B1322" s="48" t="s">
        <v>1576</v>
      </c>
      <c r="C1322" s="54"/>
      <c r="D1322" s="55">
        <v>250</v>
      </c>
      <c r="E1322" s="50">
        <v>6</v>
      </c>
      <c r="F1322" s="50">
        <v>33</v>
      </c>
      <c r="G1322" s="50">
        <v>3.9</v>
      </c>
      <c r="H1322" s="55">
        <v>71</v>
      </c>
      <c r="I1322" s="55">
        <v>1.1000000000000001</v>
      </c>
      <c r="J1322" s="55">
        <v>0</v>
      </c>
      <c r="K1322" s="55">
        <v>0.05</v>
      </c>
      <c r="L1322" s="55">
        <v>0.08</v>
      </c>
      <c r="M1322" s="55">
        <v>0.4</v>
      </c>
      <c r="N1322" s="55">
        <v>0</v>
      </c>
      <c r="O1322" s="55">
        <v>0</v>
      </c>
      <c r="P1322" s="52"/>
    </row>
    <row r="1323" spans="1:16" ht="18" customHeight="1">
      <c r="A1323" s="47"/>
      <c r="B1323" s="48" t="s">
        <v>1577</v>
      </c>
      <c r="C1323" s="54"/>
      <c r="D1323" s="55">
        <v>100</v>
      </c>
      <c r="E1323" s="55">
        <v>3</v>
      </c>
      <c r="F1323" s="55">
        <v>8.9</v>
      </c>
      <c r="G1323" s="55">
        <v>7.7</v>
      </c>
      <c r="H1323" s="55">
        <v>31</v>
      </c>
      <c r="I1323" s="55">
        <v>1.3</v>
      </c>
      <c r="J1323" s="55">
        <v>36</v>
      </c>
      <c r="K1323" s="55">
        <v>0.1</v>
      </c>
      <c r="L1323" s="55">
        <v>0.05</v>
      </c>
      <c r="M1323" s="55">
        <v>0.9</v>
      </c>
      <c r="N1323" s="55">
        <v>1</v>
      </c>
      <c r="O1323" s="55">
        <v>0</v>
      </c>
      <c r="P1323" s="52"/>
    </row>
    <row r="1324" spans="1:16" ht="18" customHeight="1">
      <c r="A1324" s="47"/>
      <c r="B1324" s="82" t="s">
        <v>1578</v>
      </c>
      <c r="C1324" s="83"/>
      <c r="D1324" s="55">
        <v>205</v>
      </c>
      <c r="E1324" s="55">
        <v>12.54</v>
      </c>
      <c r="F1324" s="55">
        <v>41</v>
      </c>
      <c r="G1324" s="55">
        <v>8.1</v>
      </c>
      <c r="H1324" s="55">
        <v>14.6</v>
      </c>
      <c r="I1324" s="55">
        <v>4.8600000000000003</v>
      </c>
      <c r="J1324" s="55">
        <v>51.4</v>
      </c>
      <c r="K1324" s="55">
        <v>0.6</v>
      </c>
      <c r="L1324" s="55">
        <v>0.2</v>
      </c>
      <c r="M1324" s="55">
        <v>1.9</v>
      </c>
      <c r="N1324" s="55">
        <v>1.2</v>
      </c>
      <c r="O1324" s="55">
        <v>0</v>
      </c>
      <c r="P1324" s="52"/>
    </row>
    <row r="1325" spans="1:16" ht="18" customHeight="1">
      <c r="A1325" s="47"/>
      <c r="B1325" s="48" t="s">
        <v>1747</v>
      </c>
      <c r="C1325" s="54"/>
      <c r="D1325" s="55">
        <v>46</v>
      </c>
      <c r="E1325" s="55">
        <v>2</v>
      </c>
      <c r="F1325" s="55">
        <v>44</v>
      </c>
      <c r="G1325" s="55">
        <v>0</v>
      </c>
      <c r="H1325" s="55">
        <v>18</v>
      </c>
      <c r="I1325" s="55">
        <v>0.9</v>
      </c>
      <c r="J1325" s="55">
        <v>158</v>
      </c>
      <c r="K1325" s="55">
        <v>0.09</v>
      </c>
      <c r="L1325" s="55">
        <v>0.08</v>
      </c>
      <c r="M1325" s="55">
        <v>1.3</v>
      </c>
      <c r="N1325" s="55">
        <v>10</v>
      </c>
      <c r="O1325" s="72">
        <v>0</v>
      </c>
      <c r="P1325" s="52"/>
    </row>
    <row r="1326" spans="1:16" ht="18" customHeight="1">
      <c r="A1326" s="47"/>
      <c r="B1326" s="48" t="s">
        <v>1773</v>
      </c>
      <c r="C1326" s="54"/>
      <c r="D1326" s="55">
        <v>46</v>
      </c>
      <c r="E1326" s="55">
        <v>2</v>
      </c>
      <c r="F1326" s="55">
        <v>44</v>
      </c>
      <c r="G1326" s="55">
        <v>0</v>
      </c>
      <c r="H1326" s="55">
        <v>18</v>
      </c>
      <c r="I1326" s="55">
        <v>0.9</v>
      </c>
      <c r="J1326" s="55">
        <v>158</v>
      </c>
      <c r="K1326" s="55">
        <v>0.09</v>
      </c>
      <c r="L1326" s="55">
        <v>0.08</v>
      </c>
      <c r="M1326" s="55">
        <v>1.3</v>
      </c>
      <c r="N1326" s="55">
        <v>10</v>
      </c>
      <c r="O1326" s="72">
        <v>0</v>
      </c>
      <c r="P1326" s="52"/>
    </row>
    <row r="1327" spans="1:16" ht="18" customHeight="1">
      <c r="A1327" s="47"/>
      <c r="B1327" s="48" t="s">
        <v>1879</v>
      </c>
      <c r="C1327" s="54"/>
      <c r="D1327" s="55">
        <v>297</v>
      </c>
      <c r="E1327" s="55">
        <v>2</v>
      </c>
      <c r="F1327" s="55">
        <v>44</v>
      </c>
      <c r="G1327" s="55">
        <v>0</v>
      </c>
      <c r="H1327" s="55">
        <v>18</v>
      </c>
      <c r="I1327" s="55">
        <v>0.9</v>
      </c>
      <c r="J1327" s="55">
        <v>158</v>
      </c>
      <c r="K1327" s="55">
        <v>0.09</v>
      </c>
      <c r="L1327" s="55">
        <v>0.08</v>
      </c>
      <c r="M1327" s="55">
        <v>1.3</v>
      </c>
      <c r="N1327" s="55">
        <v>10</v>
      </c>
      <c r="O1327" s="72">
        <v>0</v>
      </c>
      <c r="P1327" s="52"/>
    </row>
    <row r="1328" spans="1:16" ht="18" customHeight="1">
      <c r="A1328" s="47"/>
      <c r="B1328" s="48" t="s">
        <v>2104</v>
      </c>
      <c r="C1328" s="54"/>
      <c r="D1328" s="55">
        <v>297</v>
      </c>
      <c r="E1328" s="55">
        <v>2</v>
      </c>
      <c r="F1328" s="55">
        <v>44</v>
      </c>
      <c r="G1328" s="55">
        <v>0</v>
      </c>
      <c r="H1328" s="55">
        <v>18</v>
      </c>
      <c r="I1328" s="55">
        <v>0.9</v>
      </c>
      <c r="J1328" s="55">
        <v>158</v>
      </c>
      <c r="K1328" s="55">
        <v>0.09</v>
      </c>
      <c r="L1328" s="55">
        <v>0.08</v>
      </c>
      <c r="M1328" s="55">
        <v>1.3</v>
      </c>
      <c r="N1328" s="55">
        <v>10</v>
      </c>
      <c r="O1328" s="72">
        <v>0</v>
      </c>
      <c r="P1328" s="52"/>
    </row>
    <row r="1329" spans="1:16" ht="18" customHeight="1">
      <c r="A1329" s="47"/>
      <c r="B1329" s="48" t="s">
        <v>2050</v>
      </c>
      <c r="C1329" s="54"/>
      <c r="D1329" s="55">
        <v>46</v>
      </c>
      <c r="E1329" s="55">
        <v>2</v>
      </c>
      <c r="F1329" s="55">
        <v>44</v>
      </c>
      <c r="G1329" s="55">
        <v>0</v>
      </c>
      <c r="H1329" s="55">
        <v>18</v>
      </c>
      <c r="I1329" s="55">
        <v>0.9</v>
      </c>
      <c r="J1329" s="55">
        <v>158</v>
      </c>
      <c r="K1329" s="55">
        <v>0.09</v>
      </c>
      <c r="L1329" s="55">
        <v>0.08</v>
      </c>
      <c r="M1329" s="55">
        <v>1.3</v>
      </c>
      <c r="N1329" s="55">
        <v>10</v>
      </c>
      <c r="O1329" s="72">
        <v>0</v>
      </c>
      <c r="P1329" s="52"/>
    </row>
    <row r="1330" spans="1:16" ht="18" customHeight="1">
      <c r="A1330" s="47"/>
      <c r="B1330" s="48" t="s">
        <v>1946</v>
      </c>
      <c r="C1330" s="54"/>
      <c r="D1330" s="55">
        <v>46</v>
      </c>
      <c r="E1330" s="55">
        <v>2</v>
      </c>
      <c r="F1330" s="55">
        <v>44</v>
      </c>
      <c r="G1330" s="55">
        <v>0</v>
      </c>
      <c r="H1330" s="55">
        <v>18</v>
      </c>
      <c r="I1330" s="55">
        <v>0.9</v>
      </c>
      <c r="J1330" s="55">
        <v>158</v>
      </c>
      <c r="K1330" s="55">
        <v>0.09</v>
      </c>
      <c r="L1330" s="55">
        <v>0.08</v>
      </c>
      <c r="M1330" s="55">
        <v>1.3</v>
      </c>
      <c r="N1330" s="55">
        <v>10</v>
      </c>
      <c r="O1330" s="72">
        <v>0</v>
      </c>
      <c r="P1330" s="52"/>
    </row>
    <row r="1331" spans="1:16" ht="18" customHeight="1">
      <c r="A1331" s="47"/>
      <c r="B1331" s="48" t="s">
        <v>1579</v>
      </c>
      <c r="C1331" s="54"/>
      <c r="D1331" s="55">
        <v>46</v>
      </c>
      <c r="E1331" s="55">
        <v>2</v>
      </c>
      <c r="F1331" s="55">
        <v>44</v>
      </c>
      <c r="G1331" s="55">
        <v>0</v>
      </c>
      <c r="H1331" s="55">
        <v>18</v>
      </c>
      <c r="I1331" s="55">
        <v>0.9</v>
      </c>
      <c r="J1331" s="55">
        <v>158</v>
      </c>
      <c r="K1331" s="55">
        <v>0.09</v>
      </c>
      <c r="L1331" s="55">
        <v>0.08</v>
      </c>
      <c r="M1331" s="55">
        <v>1.3</v>
      </c>
      <c r="N1331" s="55">
        <v>10</v>
      </c>
      <c r="O1331" s="72">
        <v>0</v>
      </c>
      <c r="P1331" s="52"/>
    </row>
    <row r="1332" spans="1:16" ht="18" customHeight="1">
      <c r="A1332" s="47"/>
      <c r="B1332" s="48" t="s">
        <v>1804</v>
      </c>
      <c r="C1332" s="54"/>
      <c r="D1332" s="55">
        <v>46</v>
      </c>
      <c r="E1332" s="55">
        <v>2</v>
      </c>
      <c r="F1332" s="55">
        <v>44</v>
      </c>
      <c r="G1332" s="55">
        <v>0</v>
      </c>
      <c r="H1332" s="55">
        <v>18</v>
      </c>
      <c r="I1332" s="55">
        <v>0.9</v>
      </c>
      <c r="J1332" s="55">
        <v>158</v>
      </c>
      <c r="K1332" s="55">
        <v>0.09</v>
      </c>
      <c r="L1332" s="55">
        <v>0.08</v>
      </c>
      <c r="M1332" s="55">
        <v>1.3</v>
      </c>
      <c r="N1332" s="55">
        <v>10</v>
      </c>
      <c r="O1332" s="72">
        <v>0</v>
      </c>
      <c r="P1332" s="52"/>
    </row>
    <row r="1333" spans="1:16" ht="18" customHeight="1">
      <c r="A1333" s="47"/>
      <c r="B1333" s="48" t="s">
        <v>1905</v>
      </c>
      <c r="C1333" s="54"/>
      <c r="D1333" s="55">
        <v>46</v>
      </c>
      <c r="E1333" s="55">
        <v>2</v>
      </c>
      <c r="F1333" s="55">
        <v>44</v>
      </c>
      <c r="G1333" s="55">
        <v>0</v>
      </c>
      <c r="H1333" s="55">
        <v>18</v>
      </c>
      <c r="I1333" s="55">
        <v>0.9</v>
      </c>
      <c r="J1333" s="55">
        <v>158</v>
      </c>
      <c r="K1333" s="55">
        <v>0.09</v>
      </c>
      <c r="L1333" s="55">
        <v>0.08</v>
      </c>
      <c r="M1333" s="55">
        <v>1.3</v>
      </c>
      <c r="N1333" s="55">
        <v>10</v>
      </c>
      <c r="O1333" s="72">
        <v>0</v>
      </c>
      <c r="P1333" s="52"/>
    </row>
    <row r="1334" spans="1:16" ht="18" customHeight="1">
      <c r="A1334" s="47"/>
      <c r="B1334" s="48" t="s">
        <v>1903</v>
      </c>
      <c r="C1334" s="54"/>
      <c r="D1334" s="55">
        <v>46</v>
      </c>
      <c r="E1334" s="55">
        <v>2</v>
      </c>
      <c r="F1334" s="55">
        <v>44</v>
      </c>
      <c r="G1334" s="55">
        <v>0</v>
      </c>
      <c r="H1334" s="55">
        <v>18</v>
      </c>
      <c r="I1334" s="55">
        <v>0.9</v>
      </c>
      <c r="J1334" s="55">
        <v>158</v>
      </c>
      <c r="K1334" s="55">
        <v>0.09</v>
      </c>
      <c r="L1334" s="55">
        <v>0.08</v>
      </c>
      <c r="M1334" s="55">
        <v>1.3</v>
      </c>
      <c r="N1334" s="55">
        <v>10</v>
      </c>
      <c r="O1334" s="72">
        <v>0</v>
      </c>
      <c r="P1334" s="52"/>
    </row>
    <row r="1335" spans="1:16" ht="18" customHeight="1">
      <c r="A1335" s="47"/>
      <c r="B1335" s="48" t="s">
        <v>1975</v>
      </c>
      <c r="C1335" s="54"/>
      <c r="D1335" s="55">
        <v>48</v>
      </c>
      <c r="E1335" s="55">
        <v>2</v>
      </c>
      <c r="F1335" s="55">
        <v>44</v>
      </c>
      <c r="G1335" s="55">
        <v>0</v>
      </c>
      <c r="H1335" s="55">
        <v>18</v>
      </c>
      <c r="I1335" s="55">
        <v>0.9</v>
      </c>
      <c r="J1335" s="55">
        <v>158</v>
      </c>
      <c r="K1335" s="55">
        <v>0.09</v>
      </c>
      <c r="L1335" s="55">
        <v>0.08</v>
      </c>
      <c r="M1335" s="55">
        <v>1.3</v>
      </c>
      <c r="N1335" s="55">
        <v>10</v>
      </c>
      <c r="O1335" s="72">
        <v>0</v>
      </c>
      <c r="P1335" s="52"/>
    </row>
    <row r="1336" spans="1:16" ht="18" customHeight="1">
      <c r="A1336" s="47"/>
      <c r="B1336" s="48" t="s">
        <v>1974</v>
      </c>
      <c r="C1336" s="54"/>
      <c r="D1336" s="55">
        <v>50</v>
      </c>
      <c r="E1336" s="55">
        <v>2</v>
      </c>
      <c r="F1336" s="55">
        <v>44</v>
      </c>
      <c r="G1336" s="55">
        <v>0</v>
      </c>
      <c r="H1336" s="55">
        <v>18</v>
      </c>
      <c r="I1336" s="55">
        <v>0.9</v>
      </c>
      <c r="J1336" s="55">
        <v>158</v>
      </c>
      <c r="K1336" s="55">
        <v>0.09</v>
      </c>
      <c r="L1336" s="55">
        <v>0.08</v>
      </c>
      <c r="M1336" s="55">
        <v>1.3</v>
      </c>
      <c r="N1336" s="55">
        <v>10</v>
      </c>
      <c r="O1336" s="72">
        <v>0</v>
      </c>
      <c r="P1336" s="52"/>
    </row>
    <row r="1337" spans="1:16" ht="18" customHeight="1">
      <c r="A1337" s="47"/>
      <c r="B1337" s="48" t="s">
        <v>1983</v>
      </c>
      <c r="C1337" s="54"/>
      <c r="D1337" s="55">
        <v>50</v>
      </c>
      <c r="E1337" s="55">
        <v>2</v>
      </c>
      <c r="F1337" s="55">
        <v>44</v>
      </c>
      <c r="G1337" s="55">
        <v>0</v>
      </c>
      <c r="H1337" s="55">
        <v>18</v>
      </c>
      <c r="I1337" s="55">
        <v>0.9</v>
      </c>
      <c r="J1337" s="55">
        <v>158</v>
      </c>
      <c r="K1337" s="55">
        <v>0.09</v>
      </c>
      <c r="L1337" s="55">
        <v>0.08</v>
      </c>
      <c r="M1337" s="55">
        <v>1.3</v>
      </c>
      <c r="N1337" s="55">
        <v>10</v>
      </c>
      <c r="O1337" s="72">
        <v>0</v>
      </c>
      <c r="P1337" s="52"/>
    </row>
    <row r="1338" spans="1:16" ht="18" customHeight="1">
      <c r="A1338" s="47"/>
      <c r="B1338" s="48" t="s">
        <v>1808</v>
      </c>
      <c r="C1338" s="54"/>
      <c r="D1338" s="55">
        <v>283</v>
      </c>
      <c r="E1338" s="55">
        <v>11.09</v>
      </c>
      <c r="F1338" s="55">
        <v>17.11</v>
      </c>
      <c r="G1338" s="55">
        <v>18.600000000000001</v>
      </c>
      <c r="H1338" s="55">
        <v>19.8</v>
      </c>
      <c r="I1338" s="55">
        <v>0.6</v>
      </c>
      <c r="J1338" s="55">
        <v>0</v>
      </c>
      <c r="K1338" s="55">
        <v>0</v>
      </c>
      <c r="L1338" s="55">
        <v>0</v>
      </c>
      <c r="M1338" s="55">
        <v>0</v>
      </c>
      <c r="N1338" s="55">
        <v>0</v>
      </c>
      <c r="O1338" s="72">
        <v>0</v>
      </c>
      <c r="P1338" s="52"/>
    </row>
    <row r="1339" spans="1:16" ht="18" customHeight="1">
      <c r="A1339" s="47"/>
      <c r="B1339" s="48" t="s">
        <v>1580</v>
      </c>
      <c r="C1339" s="54"/>
      <c r="D1339" s="55">
        <v>376</v>
      </c>
      <c r="E1339" s="50">
        <v>8.8000000000000007</v>
      </c>
      <c r="F1339" s="50">
        <v>51.3</v>
      </c>
      <c r="G1339" s="50">
        <v>26.5</v>
      </c>
      <c r="H1339" s="55">
        <v>36</v>
      </c>
      <c r="I1339" s="55">
        <v>0.7</v>
      </c>
      <c r="J1339" s="55">
        <v>29</v>
      </c>
      <c r="K1339" s="55">
        <v>0.14000000000000001</v>
      </c>
      <c r="L1339" s="55">
        <v>0.06</v>
      </c>
      <c r="M1339" s="55">
        <v>1.3</v>
      </c>
      <c r="N1339" s="55">
        <v>0</v>
      </c>
      <c r="O1339" s="55">
        <v>0</v>
      </c>
      <c r="P1339" s="52"/>
    </row>
    <row r="1340" spans="1:16" ht="18" customHeight="1">
      <c r="A1340" s="47"/>
      <c r="B1340" s="48" t="s">
        <v>1683</v>
      </c>
      <c r="C1340" s="54"/>
      <c r="D1340" s="55">
        <v>38</v>
      </c>
      <c r="E1340" s="55">
        <v>1.1000000000000001</v>
      </c>
      <c r="F1340" s="55">
        <v>5.9</v>
      </c>
      <c r="G1340" s="55">
        <v>0.1</v>
      </c>
      <c r="H1340" s="55">
        <v>19</v>
      </c>
      <c r="I1340" s="55">
        <v>0.3</v>
      </c>
      <c r="J1340" s="55">
        <v>27</v>
      </c>
      <c r="K1340" s="55">
        <v>7.0000000000000007E-2</v>
      </c>
      <c r="L1340" s="55">
        <v>0.04</v>
      </c>
      <c r="M1340" s="55">
        <v>0.5</v>
      </c>
      <c r="N1340" s="55">
        <v>35</v>
      </c>
      <c r="O1340" s="55">
        <v>3</v>
      </c>
      <c r="P1340" s="52"/>
    </row>
    <row r="1341" spans="1:16" ht="18" customHeight="1">
      <c r="A1341" s="47"/>
      <c r="B1341" s="48" t="s">
        <v>1581</v>
      </c>
      <c r="C1341" s="54"/>
      <c r="D1341" s="55">
        <v>165</v>
      </c>
      <c r="E1341" s="55">
        <v>5.5</v>
      </c>
      <c r="F1341" s="55">
        <v>29.46</v>
      </c>
      <c r="G1341" s="55">
        <v>1.36</v>
      </c>
      <c r="H1341" s="55">
        <v>70</v>
      </c>
      <c r="I1341" s="55">
        <v>0.4</v>
      </c>
      <c r="J1341" s="55">
        <v>15</v>
      </c>
      <c r="K1341" s="55">
        <v>0.06</v>
      </c>
      <c r="L1341" s="55">
        <v>0.18</v>
      </c>
      <c r="M1341" s="55">
        <v>0.5</v>
      </c>
      <c r="N1341" s="55">
        <v>0</v>
      </c>
      <c r="O1341" s="55">
        <v>0</v>
      </c>
      <c r="P1341" s="52"/>
    </row>
    <row r="1342" spans="1:16" ht="18" customHeight="1">
      <c r="A1342" s="47"/>
      <c r="B1342" s="48" t="s">
        <v>1582</v>
      </c>
      <c r="C1342" s="54"/>
      <c r="D1342" s="55">
        <v>247</v>
      </c>
      <c r="E1342" s="50">
        <v>6.3</v>
      </c>
      <c r="F1342" s="50">
        <v>37.299999999999997</v>
      </c>
      <c r="G1342" s="50">
        <v>5.0999999999999996</v>
      </c>
      <c r="H1342" s="55">
        <v>14</v>
      </c>
      <c r="I1342" s="55">
        <v>0.5</v>
      </c>
      <c r="J1342" s="55">
        <v>0</v>
      </c>
      <c r="K1342" s="55">
        <v>7.0000000000000007E-2</v>
      </c>
      <c r="L1342" s="55">
        <v>0.02</v>
      </c>
      <c r="M1342" s="55">
        <v>0.5</v>
      </c>
      <c r="N1342" s="55">
        <v>0</v>
      </c>
      <c r="O1342" s="55">
        <v>0</v>
      </c>
      <c r="P1342" s="52"/>
    </row>
    <row r="1343" spans="1:16" ht="18" customHeight="1">
      <c r="A1343" s="47"/>
      <c r="B1343" s="48" t="s">
        <v>1583</v>
      </c>
      <c r="C1343" s="54"/>
      <c r="D1343" s="55">
        <v>247</v>
      </c>
      <c r="E1343" s="50">
        <v>6.3</v>
      </c>
      <c r="F1343" s="50">
        <v>37.299999999999997</v>
      </c>
      <c r="G1343" s="50">
        <v>5.2</v>
      </c>
      <c r="H1343" s="55">
        <v>14</v>
      </c>
      <c r="I1343" s="55">
        <v>0.5</v>
      </c>
      <c r="J1343" s="55">
        <v>0</v>
      </c>
      <c r="K1343" s="55">
        <v>7.0000000000000007E-2</v>
      </c>
      <c r="L1343" s="55">
        <v>0.02</v>
      </c>
      <c r="M1343" s="55">
        <v>0.5</v>
      </c>
      <c r="N1343" s="55">
        <v>0</v>
      </c>
      <c r="O1343" s="55">
        <v>0</v>
      </c>
      <c r="P1343" s="52"/>
    </row>
    <row r="1344" spans="1:16" ht="18" customHeight="1">
      <c r="A1344" s="47"/>
      <c r="B1344" s="48" t="s">
        <v>1584</v>
      </c>
      <c r="C1344" s="54"/>
      <c r="D1344" s="55">
        <v>13</v>
      </c>
      <c r="E1344" s="55">
        <v>1.5</v>
      </c>
      <c r="F1344" s="55">
        <v>4.3</v>
      </c>
      <c r="G1344" s="55">
        <v>0.15</v>
      </c>
      <c r="H1344" s="55">
        <v>75</v>
      </c>
      <c r="I1344" s="55">
        <v>0.8</v>
      </c>
      <c r="J1344" s="55">
        <v>220</v>
      </c>
      <c r="K1344" s="55">
        <v>0.05</v>
      </c>
      <c r="L1344" s="55">
        <v>0.08</v>
      </c>
      <c r="M1344" s="55">
        <v>0.4</v>
      </c>
      <c r="N1344" s="55">
        <v>24</v>
      </c>
      <c r="O1344" s="55">
        <v>13</v>
      </c>
      <c r="P1344" s="52"/>
    </row>
    <row r="1345" spans="1:16" ht="18" customHeight="1">
      <c r="A1345" s="47"/>
      <c r="B1345" s="48" t="s">
        <v>1585</v>
      </c>
      <c r="C1345" s="84"/>
      <c r="D1345" s="55">
        <v>398</v>
      </c>
      <c r="E1345" s="55">
        <v>0.3</v>
      </c>
      <c r="F1345" s="55">
        <v>14.29</v>
      </c>
      <c r="G1345" s="55">
        <v>41</v>
      </c>
      <c r="H1345" s="55">
        <v>2</v>
      </c>
      <c r="I1345" s="55">
        <v>0.5</v>
      </c>
      <c r="J1345" s="55">
        <v>0</v>
      </c>
      <c r="K1345" s="55">
        <v>0</v>
      </c>
      <c r="L1345" s="55">
        <v>0</v>
      </c>
      <c r="M1345" s="55">
        <v>0</v>
      </c>
      <c r="N1345" s="55">
        <v>0</v>
      </c>
      <c r="O1345" s="72">
        <v>0</v>
      </c>
      <c r="P1345" s="52"/>
    </row>
    <row r="1346" spans="1:16" ht="18" customHeight="1">
      <c r="A1346" s="47"/>
      <c r="B1346" s="48" t="s">
        <v>2105</v>
      </c>
      <c r="C1346" s="84"/>
      <c r="D1346" s="55">
        <v>45</v>
      </c>
      <c r="E1346" s="55">
        <v>1</v>
      </c>
      <c r="F1346" s="55">
        <v>9</v>
      </c>
      <c r="G1346" s="55">
        <v>0.6</v>
      </c>
      <c r="H1346" s="55"/>
      <c r="I1346" s="55"/>
      <c r="J1346" s="55"/>
      <c r="K1346" s="55"/>
      <c r="L1346" s="55"/>
      <c r="M1346" s="55"/>
      <c r="N1346" s="55"/>
      <c r="O1346" s="72"/>
      <c r="P1346" s="52"/>
    </row>
    <row r="1347" spans="1:16" ht="18" customHeight="1">
      <c r="A1347" s="47"/>
      <c r="B1347" s="48" t="s">
        <v>1586</v>
      </c>
      <c r="C1347" s="84"/>
      <c r="D1347" s="55">
        <v>9.5</v>
      </c>
      <c r="E1347" s="55">
        <v>1.1100000000000001</v>
      </c>
      <c r="F1347" s="55">
        <v>8.4</v>
      </c>
      <c r="G1347" s="55">
        <v>0.7</v>
      </c>
      <c r="H1347" s="55">
        <v>30.02</v>
      </c>
      <c r="I1347" s="55">
        <v>0.32</v>
      </c>
      <c r="J1347" s="55">
        <v>4.74</v>
      </c>
      <c r="K1347" s="55">
        <v>0.02</v>
      </c>
      <c r="L1347" s="55">
        <v>0.02</v>
      </c>
      <c r="M1347" s="55">
        <v>0</v>
      </c>
      <c r="N1347" s="55">
        <v>22.12</v>
      </c>
      <c r="O1347" s="73">
        <v>21</v>
      </c>
      <c r="P1347" s="52"/>
    </row>
    <row r="1348" spans="1:16" ht="18" customHeight="1">
      <c r="A1348" s="47"/>
      <c r="B1348" s="48" t="s">
        <v>1587</v>
      </c>
      <c r="C1348" s="54" t="s">
        <v>1352</v>
      </c>
      <c r="D1348" s="55">
        <v>19</v>
      </c>
      <c r="E1348" s="55">
        <v>3.1</v>
      </c>
      <c r="F1348" s="55">
        <v>3</v>
      </c>
      <c r="G1348" s="55">
        <v>0.5</v>
      </c>
      <c r="H1348" s="55">
        <v>85</v>
      </c>
      <c r="I1348" s="55">
        <v>7.8</v>
      </c>
      <c r="J1348" s="55">
        <v>374</v>
      </c>
      <c r="K1348" s="55">
        <v>0.09</v>
      </c>
      <c r="L1348" s="55">
        <v>0.17</v>
      </c>
      <c r="M1348" s="55">
        <v>0.4</v>
      </c>
      <c r="N1348" s="55">
        <v>13</v>
      </c>
      <c r="O1348" s="55">
        <v>0</v>
      </c>
      <c r="P1348" s="52"/>
    </row>
    <row r="1349" spans="1:16" ht="18" customHeight="1">
      <c r="A1349" s="47"/>
      <c r="B1349" s="48" t="s">
        <v>1588</v>
      </c>
      <c r="C1349" s="54" t="s">
        <v>1589</v>
      </c>
      <c r="D1349" s="55">
        <v>12</v>
      </c>
      <c r="E1349" s="55">
        <v>0.2</v>
      </c>
      <c r="F1349" s="55">
        <v>3</v>
      </c>
      <c r="G1349" s="55">
        <v>0</v>
      </c>
      <c r="H1349" s="55">
        <v>75</v>
      </c>
      <c r="I1349" s="55">
        <v>0.5</v>
      </c>
      <c r="J1349" s="55">
        <v>0</v>
      </c>
      <c r="K1349" s="55">
        <v>0</v>
      </c>
      <c r="L1349" s="55">
        <v>0</v>
      </c>
      <c r="M1349" s="55">
        <v>0</v>
      </c>
      <c r="N1349" s="55">
        <v>0</v>
      </c>
      <c r="O1349" s="55">
        <v>0</v>
      </c>
      <c r="P1349" s="52"/>
    </row>
    <row r="1350" spans="1:16">
      <c r="A1350" s="47"/>
      <c r="B1350" s="48" t="s">
        <v>1718</v>
      </c>
      <c r="C1350" s="54" t="s">
        <v>1591</v>
      </c>
      <c r="D1350" s="55">
        <v>120</v>
      </c>
      <c r="E1350" s="55">
        <v>11.1</v>
      </c>
      <c r="F1350" s="55">
        <v>72.3</v>
      </c>
      <c r="G1350" s="55">
        <v>1.6</v>
      </c>
      <c r="H1350" s="55">
        <v>12</v>
      </c>
      <c r="I1350" s="55">
        <v>3.7</v>
      </c>
      <c r="J1350" s="55">
        <v>0</v>
      </c>
      <c r="K1350" s="55">
        <v>0.27</v>
      </c>
      <c r="L1350" s="55">
        <v>0.03</v>
      </c>
      <c r="M1350" s="55">
        <v>0</v>
      </c>
      <c r="N1350" s="55">
        <v>2</v>
      </c>
      <c r="O1350" s="55">
        <v>0</v>
      </c>
      <c r="P1350" s="52"/>
    </row>
    <row r="1351" spans="1:16">
      <c r="A1351" s="47"/>
      <c r="B1351" s="48" t="s">
        <v>1882</v>
      </c>
      <c r="C1351" s="54" t="s">
        <v>1591</v>
      </c>
      <c r="D1351" s="55">
        <v>350</v>
      </c>
      <c r="E1351" s="55">
        <v>11.1</v>
      </c>
      <c r="F1351" s="55">
        <v>72.3</v>
      </c>
      <c r="G1351" s="55">
        <v>1.6</v>
      </c>
      <c r="H1351" s="55">
        <v>12</v>
      </c>
      <c r="I1351" s="55">
        <v>3.7</v>
      </c>
      <c r="J1351" s="55">
        <v>0</v>
      </c>
      <c r="K1351" s="55">
        <v>0.27</v>
      </c>
      <c r="L1351" s="55">
        <v>0.03</v>
      </c>
      <c r="M1351" s="55">
        <v>0</v>
      </c>
      <c r="N1351" s="55">
        <v>2</v>
      </c>
      <c r="O1351" s="55">
        <v>0</v>
      </c>
      <c r="P1351" s="52"/>
    </row>
    <row r="1352" spans="1:16">
      <c r="A1352" s="47"/>
      <c r="B1352" s="48" t="s">
        <v>1590</v>
      </c>
      <c r="C1352" s="54" t="s">
        <v>1591</v>
      </c>
      <c r="D1352" s="55">
        <v>350</v>
      </c>
      <c r="E1352" s="55">
        <v>11.1</v>
      </c>
      <c r="F1352" s="55">
        <v>72.3</v>
      </c>
      <c r="G1352" s="55">
        <v>1.6</v>
      </c>
      <c r="H1352" s="55">
        <v>12</v>
      </c>
      <c r="I1352" s="55">
        <v>3.7</v>
      </c>
      <c r="J1352" s="55">
        <v>0</v>
      </c>
      <c r="K1352" s="55">
        <v>0.27</v>
      </c>
      <c r="L1352" s="55">
        <v>0.03</v>
      </c>
      <c r="M1352" s="55">
        <v>0</v>
      </c>
      <c r="N1352" s="55">
        <v>2</v>
      </c>
      <c r="O1352" s="55">
        <v>0</v>
      </c>
      <c r="P1352" s="52"/>
    </row>
    <row r="1353" spans="1:16">
      <c r="A1353" s="47"/>
      <c r="B1353" s="48" t="s">
        <v>1592</v>
      </c>
      <c r="C1353" s="54" t="s">
        <v>335</v>
      </c>
      <c r="D1353" s="55">
        <v>54</v>
      </c>
      <c r="E1353" s="55">
        <v>0.9</v>
      </c>
      <c r="F1353" s="55">
        <v>56</v>
      </c>
      <c r="G1353" s="55">
        <v>0.2</v>
      </c>
      <c r="H1353" s="55">
        <v>30</v>
      </c>
      <c r="I1353" s="55">
        <v>0.3</v>
      </c>
      <c r="J1353" s="55">
        <v>8</v>
      </c>
      <c r="K1353" s="55">
        <v>0</v>
      </c>
      <c r="L1353" s="55">
        <v>0.02</v>
      </c>
      <c r="M1353" s="55">
        <v>0.3</v>
      </c>
      <c r="N1353" s="55">
        <v>27</v>
      </c>
      <c r="O1353" s="55">
        <v>14</v>
      </c>
      <c r="P1353" s="52"/>
    </row>
    <row r="1354" spans="1:16">
      <c r="A1354" s="47"/>
      <c r="B1354" s="48" t="s">
        <v>1593</v>
      </c>
      <c r="C1354" s="54" t="s">
        <v>335</v>
      </c>
      <c r="D1354" s="55">
        <v>54</v>
      </c>
      <c r="E1354" s="55">
        <v>0.9</v>
      </c>
      <c r="F1354" s="55">
        <v>56</v>
      </c>
      <c r="G1354" s="55">
        <v>1.79</v>
      </c>
      <c r="H1354" s="55">
        <v>30</v>
      </c>
      <c r="I1354" s="55">
        <v>0.3</v>
      </c>
      <c r="J1354" s="55">
        <v>8</v>
      </c>
      <c r="K1354" s="55">
        <v>0</v>
      </c>
      <c r="L1354" s="55">
        <v>0.02</v>
      </c>
      <c r="M1354" s="55">
        <v>0.3</v>
      </c>
      <c r="N1354" s="55">
        <v>27</v>
      </c>
      <c r="O1354" s="55">
        <v>14</v>
      </c>
      <c r="P1354" s="52"/>
    </row>
    <row r="1355" spans="1:16">
      <c r="B1355" s="48" t="s">
        <v>1594</v>
      </c>
      <c r="C1355" s="71" t="s">
        <v>1595</v>
      </c>
      <c r="D1355" s="85">
        <v>18</v>
      </c>
      <c r="E1355" s="85">
        <v>1.2</v>
      </c>
      <c r="F1355" s="85">
        <v>1.3</v>
      </c>
      <c r="G1355" s="85">
        <v>0.2</v>
      </c>
      <c r="H1355" s="85">
        <v>56</v>
      </c>
      <c r="I1355" s="85">
        <v>2.1</v>
      </c>
      <c r="J1355" s="85">
        <v>365</v>
      </c>
      <c r="K1355" s="85">
        <v>7.0000000000000007E-2</v>
      </c>
      <c r="L1355" s="85">
        <v>0.08</v>
      </c>
      <c r="M1355" s="85">
        <v>0</v>
      </c>
      <c r="N1355" s="85">
        <v>19</v>
      </c>
      <c r="O1355" s="85">
        <v>0</v>
      </c>
      <c r="P1355" s="52"/>
    </row>
    <row r="1356" spans="1:16">
      <c r="B1356" s="48" t="s">
        <v>1596</v>
      </c>
      <c r="C1356" s="54" t="s">
        <v>1151</v>
      </c>
      <c r="D1356" s="55">
        <v>10</v>
      </c>
      <c r="E1356" s="55">
        <v>1.4</v>
      </c>
      <c r="F1356" s="55">
        <v>2.7</v>
      </c>
      <c r="G1356" s="55">
        <v>8.8999999999999996E-2</v>
      </c>
      <c r="H1356" s="55">
        <v>61</v>
      </c>
      <c r="I1356" s="55">
        <v>1.3</v>
      </c>
      <c r="J1356" s="55">
        <v>61</v>
      </c>
      <c r="K1356" s="55">
        <v>0.03</v>
      </c>
      <c r="L1356" s="55">
        <v>0.03</v>
      </c>
      <c r="M1356" s="55">
        <v>0.7</v>
      </c>
      <c r="N1356" s="55">
        <v>24</v>
      </c>
      <c r="O1356" s="55">
        <v>6</v>
      </c>
      <c r="P1356" s="52"/>
    </row>
    <row r="1357" spans="1:16">
      <c r="B1357" s="48" t="s">
        <v>1597</v>
      </c>
      <c r="C1357" s="71" t="s">
        <v>1598</v>
      </c>
      <c r="D1357" s="85">
        <v>265</v>
      </c>
      <c r="E1357" s="85">
        <v>37.799999999999997</v>
      </c>
      <c r="F1357" s="85">
        <v>40.299999999999997</v>
      </c>
      <c r="G1357" s="85">
        <v>2</v>
      </c>
      <c r="H1357" s="85">
        <v>230</v>
      </c>
      <c r="I1357" s="85">
        <v>18</v>
      </c>
      <c r="J1357" s="85">
        <v>3450</v>
      </c>
      <c r="K1357" s="85">
        <v>0.96</v>
      </c>
      <c r="L1357" s="85">
        <v>2.8</v>
      </c>
      <c r="M1357" s="85">
        <v>0</v>
      </c>
      <c r="N1357" s="85">
        <v>70</v>
      </c>
      <c r="O1357" s="85">
        <v>0</v>
      </c>
      <c r="P1357" s="52"/>
    </row>
    <row r="1358" spans="1:16">
      <c r="B1358" s="48" t="s">
        <v>2218</v>
      </c>
      <c r="C1358" s="71"/>
      <c r="D1358" s="85">
        <v>75</v>
      </c>
      <c r="E1358" s="85">
        <v>1.7</v>
      </c>
      <c r="F1358" s="85">
        <v>13.5</v>
      </c>
      <c r="G1358" s="85">
        <v>1.55</v>
      </c>
      <c r="H1358" s="85"/>
      <c r="I1358" s="85"/>
      <c r="J1358" s="85"/>
      <c r="K1358" s="85"/>
      <c r="L1358" s="85"/>
      <c r="M1358" s="85"/>
      <c r="N1358" s="85"/>
      <c r="O1358" s="85"/>
      <c r="P1358" s="52"/>
    </row>
    <row r="1359" spans="1:16">
      <c r="B1359" s="48" t="s">
        <v>1599</v>
      </c>
      <c r="C1359" s="71" t="s">
        <v>1598</v>
      </c>
      <c r="D1359" s="85">
        <v>265</v>
      </c>
      <c r="E1359" s="85">
        <v>37.799999999999997</v>
      </c>
      <c r="F1359" s="85">
        <v>41.7</v>
      </c>
      <c r="G1359" s="85">
        <v>2.2999999999999998</v>
      </c>
      <c r="H1359" s="85">
        <v>230</v>
      </c>
      <c r="I1359" s="85">
        <v>18</v>
      </c>
      <c r="J1359" s="85">
        <v>3450</v>
      </c>
      <c r="K1359" s="85">
        <v>0.96</v>
      </c>
      <c r="L1359" s="85">
        <v>2.8</v>
      </c>
      <c r="M1359" s="85">
        <v>0</v>
      </c>
      <c r="N1359" s="85">
        <v>70</v>
      </c>
      <c r="O1359" s="85">
        <v>0</v>
      </c>
      <c r="P1359" s="52"/>
    </row>
    <row r="1360" spans="1:16">
      <c r="B1360" s="48" t="s">
        <v>1711</v>
      </c>
      <c r="C1360" s="54"/>
      <c r="D1360" s="55">
        <v>371</v>
      </c>
      <c r="E1360" s="55">
        <v>10</v>
      </c>
      <c r="F1360" s="55">
        <v>2</v>
      </c>
      <c r="G1360" s="55">
        <v>0</v>
      </c>
      <c r="H1360" s="55">
        <v>47.5</v>
      </c>
      <c r="I1360" s="55">
        <v>4.2</v>
      </c>
      <c r="J1360" s="55"/>
      <c r="K1360" s="55"/>
      <c r="L1360" s="55"/>
      <c r="M1360" s="55"/>
      <c r="N1360" s="55"/>
      <c r="O1360" s="55"/>
      <c r="P1360" s="52"/>
    </row>
    <row r="1361" spans="2:16">
      <c r="B1361" s="48" t="s">
        <v>1600</v>
      </c>
      <c r="C1361" s="54"/>
      <c r="D1361" s="55">
        <v>148</v>
      </c>
      <c r="E1361" s="55">
        <v>10</v>
      </c>
      <c r="F1361" s="55">
        <v>14.1</v>
      </c>
      <c r="G1361" s="55">
        <v>3.7</v>
      </c>
      <c r="H1361" s="55">
        <v>36</v>
      </c>
      <c r="I1361" s="55">
        <v>2.1</v>
      </c>
      <c r="J1361" s="55">
        <v>208</v>
      </c>
      <c r="K1361" s="55">
        <v>0.45</v>
      </c>
      <c r="L1361" s="55">
        <v>0.09</v>
      </c>
      <c r="M1361" s="55">
        <v>2.7</v>
      </c>
      <c r="N1361" s="55">
        <v>2</v>
      </c>
      <c r="O1361" s="55">
        <v>0</v>
      </c>
      <c r="P1361" s="52"/>
    </row>
    <row r="1362" spans="2:16">
      <c r="B1362" s="58" t="s">
        <v>2106</v>
      </c>
      <c r="C1362" s="86"/>
      <c r="D1362" s="87">
        <v>50</v>
      </c>
      <c r="E1362" s="87">
        <v>0</v>
      </c>
      <c r="F1362" s="87">
        <v>13</v>
      </c>
      <c r="G1362" s="87">
        <v>11</v>
      </c>
      <c r="H1362" s="87"/>
      <c r="I1362" s="87"/>
      <c r="J1362" s="87"/>
      <c r="K1362" s="87"/>
      <c r="L1362" s="87"/>
      <c r="M1362" s="87"/>
      <c r="N1362" s="87"/>
      <c r="O1362" s="87"/>
      <c r="P1362" s="52"/>
    </row>
    <row r="1363" spans="2:16" ht="12.75" customHeight="1">
      <c r="B1363" s="58" t="s">
        <v>2107</v>
      </c>
      <c r="C1363" s="86"/>
      <c r="D1363" s="87">
        <v>240</v>
      </c>
      <c r="E1363" s="87">
        <v>12</v>
      </c>
      <c r="F1363" s="87">
        <v>14</v>
      </c>
      <c r="G1363" s="87">
        <v>15</v>
      </c>
      <c r="H1363" s="87"/>
      <c r="I1363" s="87"/>
      <c r="J1363" s="87"/>
      <c r="K1363" s="87"/>
      <c r="L1363" s="87"/>
      <c r="M1363" s="87"/>
      <c r="N1363" s="87"/>
      <c r="O1363" s="87"/>
      <c r="P1363" s="52"/>
    </row>
    <row r="1364" spans="2:16">
      <c r="B1364" s="58" t="s">
        <v>2082</v>
      </c>
    </row>
    <row r="1365" spans="2:16">
      <c r="B1365" s="48" t="s">
        <v>1687</v>
      </c>
      <c r="C1365" s="54" t="s">
        <v>883</v>
      </c>
      <c r="D1365" s="55">
        <v>196.83</v>
      </c>
      <c r="E1365" s="55">
        <v>7.46</v>
      </c>
      <c r="F1365" s="55">
        <v>19.5</v>
      </c>
      <c r="G1365" s="55">
        <v>10.4</v>
      </c>
      <c r="H1365" s="55">
        <v>32.53</v>
      </c>
      <c r="I1365" s="55">
        <v>0</v>
      </c>
      <c r="J1365" s="55">
        <v>18.899999999999999</v>
      </c>
      <c r="K1365" s="55">
        <v>0.12</v>
      </c>
      <c r="L1365" s="55">
        <v>0.06</v>
      </c>
      <c r="M1365" s="55">
        <v>0</v>
      </c>
      <c r="N1365" s="55">
        <v>0</v>
      </c>
      <c r="O1365" s="55">
        <v>0</v>
      </c>
      <c r="P1365" s="52"/>
    </row>
    <row r="1366" spans="2:16">
      <c r="B1366" s="53" t="s">
        <v>1601</v>
      </c>
      <c r="C1366" s="54" t="s">
        <v>149</v>
      </c>
      <c r="D1366" s="55">
        <v>339.1</v>
      </c>
      <c r="E1366" s="50">
        <v>6.6</v>
      </c>
      <c r="F1366" s="50">
        <v>56.1</v>
      </c>
      <c r="G1366" s="50">
        <v>0.8</v>
      </c>
      <c r="H1366" s="55">
        <v>37.1</v>
      </c>
      <c r="I1366" s="55">
        <v>1.82</v>
      </c>
      <c r="J1366" s="55">
        <v>0</v>
      </c>
      <c r="K1366" s="55">
        <v>0.22</v>
      </c>
      <c r="L1366" s="55">
        <v>0.03</v>
      </c>
      <c r="M1366" s="55">
        <v>2.2999999999999998</v>
      </c>
      <c r="N1366" s="55">
        <v>0</v>
      </c>
      <c r="O1366" s="55">
        <v>0</v>
      </c>
      <c r="P1366" s="52"/>
    </row>
    <row r="1367" spans="2:16">
      <c r="B1367" s="53" t="s">
        <v>1602</v>
      </c>
      <c r="C1367" s="54" t="s">
        <v>1603</v>
      </c>
      <c r="D1367" s="55">
        <v>235</v>
      </c>
      <c r="E1367" s="50">
        <v>18.5</v>
      </c>
      <c r="F1367" s="50">
        <v>2.4</v>
      </c>
      <c r="G1367" s="50">
        <v>16.5</v>
      </c>
      <c r="H1367" s="55">
        <v>1</v>
      </c>
      <c r="I1367" s="55">
        <v>1.7</v>
      </c>
      <c r="J1367" s="55">
        <v>2</v>
      </c>
      <c r="K1367" s="55">
        <v>0.92</v>
      </c>
      <c r="L1367" s="55">
        <v>0.18</v>
      </c>
      <c r="M1367" s="55">
        <v>0</v>
      </c>
      <c r="N1367" s="55">
        <v>0</v>
      </c>
      <c r="O1367" s="55">
        <v>0</v>
      </c>
      <c r="P1367" s="52"/>
    </row>
    <row r="1368" spans="2:16">
      <c r="B1368" s="48" t="s">
        <v>1604</v>
      </c>
      <c r="C1368" s="54"/>
      <c r="D1368" s="55">
        <v>45</v>
      </c>
      <c r="E1368" s="55">
        <v>0.6</v>
      </c>
      <c r="F1368" s="55">
        <v>21.5</v>
      </c>
      <c r="G1368" s="55">
        <v>0.1</v>
      </c>
      <c r="H1368" s="55">
        <v>9</v>
      </c>
      <c r="I1368" s="55">
        <v>0.2</v>
      </c>
      <c r="J1368" s="55">
        <v>0</v>
      </c>
      <c r="K1368" s="55">
        <v>0.01</v>
      </c>
      <c r="L1368" s="55">
        <v>0.01</v>
      </c>
      <c r="M1368" s="55">
        <v>0.3</v>
      </c>
      <c r="N1368" s="55">
        <v>0</v>
      </c>
      <c r="O1368" s="55">
        <v>0</v>
      </c>
      <c r="P1368" s="52"/>
    </row>
    <row r="1369" spans="2:16">
      <c r="B1369" s="48" t="s">
        <v>1694</v>
      </c>
      <c r="C1369" s="84"/>
      <c r="D1369" s="55">
        <v>9.5</v>
      </c>
      <c r="E1369" s="55">
        <v>1.1100000000000001</v>
      </c>
      <c r="F1369" s="55">
        <v>3.9</v>
      </c>
      <c r="G1369" s="55">
        <v>0.08</v>
      </c>
      <c r="H1369" s="55">
        <v>30.02</v>
      </c>
      <c r="I1369" s="55">
        <v>0.32</v>
      </c>
      <c r="J1369" s="55">
        <v>4.74</v>
      </c>
      <c r="K1369" s="55">
        <v>0.02</v>
      </c>
      <c r="L1369" s="55">
        <v>0.02</v>
      </c>
      <c r="M1369" s="55">
        <v>0</v>
      </c>
      <c r="N1369" s="55">
        <v>22.12</v>
      </c>
      <c r="O1369" s="73">
        <v>21</v>
      </c>
      <c r="P1369" s="52"/>
    </row>
    <row r="1370" spans="2:16">
      <c r="B1370" s="48" t="s">
        <v>1702</v>
      </c>
      <c r="C1370" s="84"/>
      <c r="D1370" s="55">
        <v>100</v>
      </c>
      <c r="E1370" s="55">
        <v>0.35</v>
      </c>
      <c r="F1370" s="55">
        <v>1.6</v>
      </c>
      <c r="G1370" s="55">
        <v>2.4</v>
      </c>
      <c r="H1370" s="55">
        <v>1.6</v>
      </c>
      <c r="I1370" s="55">
        <v>0.5</v>
      </c>
      <c r="J1370" s="55">
        <v>2.9</v>
      </c>
      <c r="K1370" s="55">
        <v>0.12</v>
      </c>
      <c r="L1370" s="55">
        <v>0.14000000000000001</v>
      </c>
      <c r="M1370" s="55">
        <v>0</v>
      </c>
      <c r="N1370" s="55">
        <v>2</v>
      </c>
      <c r="O1370" s="73">
        <v>0</v>
      </c>
      <c r="P1370" s="52"/>
    </row>
    <row r="1371" spans="2:16">
      <c r="B1371" s="48" t="s">
        <v>1605</v>
      </c>
      <c r="C1371" s="84"/>
      <c r="D1371" s="55">
        <v>85</v>
      </c>
      <c r="E1371" s="55">
        <v>0.35</v>
      </c>
      <c r="F1371" s="55">
        <v>1.6</v>
      </c>
      <c r="G1371" s="55">
        <v>2.4</v>
      </c>
      <c r="H1371" s="55">
        <v>1.6</v>
      </c>
      <c r="I1371" s="55">
        <v>0.5</v>
      </c>
      <c r="J1371" s="55">
        <v>2.9</v>
      </c>
      <c r="K1371" s="55">
        <v>0.12</v>
      </c>
      <c r="L1371" s="55">
        <v>0.14000000000000001</v>
      </c>
      <c r="M1371" s="55">
        <v>0</v>
      </c>
      <c r="N1371" s="55">
        <v>2</v>
      </c>
      <c r="O1371" s="73">
        <v>0</v>
      </c>
      <c r="P1371" s="52"/>
    </row>
    <row r="1372" spans="2:16">
      <c r="B1372" s="48" t="s">
        <v>1655</v>
      </c>
      <c r="C1372" s="84"/>
      <c r="D1372" s="55">
        <v>40</v>
      </c>
      <c r="E1372" s="55">
        <v>0.35</v>
      </c>
      <c r="F1372" s="55">
        <v>1.6</v>
      </c>
      <c r="G1372" s="55">
        <v>2.4</v>
      </c>
      <c r="H1372" s="55">
        <v>1.6</v>
      </c>
      <c r="I1372" s="55">
        <v>0.5</v>
      </c>
      <c r="J1372" s="55">
        <v>2.9</v>
      </c>
      <c r="K1372" s="55">
        <v>0.12</v>
      </c>
      <c r="L1372" s="55">
        <v>0.14000000000000001</v>
      </c>
      <c r="M1372" s="55">
        <v>0</v>
      </c>
      <c r="N1372" s="55">
        <v>2</v>
      </c>
      <c r="O1372" s="73">
        <v>0</v>
      </c>
      <c r="P1372" s="52"/>
    </row>
    <row r="1373" spans="2:16">
      <c r="B1373" s="48" t="s">
        <v>1679</v>
      </c>
      <c r="C1373" s="84"/>
      <c r="D1373" s="55">
        <v>40</v>
      </c>
      <c r="E1373" s="55">
        <v>0.35</v>
      </c>
      <c r="F1373" s="55">
        <v>1.6</v>
      </c>
      <c r="G1373" s="55">
        <v>2.4</v>
      </c>
      <c r="H1373" s="55">
        <v>1.6</v>
      </c>
      <c r="I1373" s="55">
        <v>0.5</v>
      </c>
      <c r="J1373" s="55">
        <v>2.9</v>
      </c>
      <c r="K1373" s="55">
        <v>0.12</v>
      </c>
      <c r="L1373" s="55">
        <v>0.14000000000000001</v>
      </c>
      <c r="M1373" s="55">
        <v>0</v>
      </c>
      <c r="N1373" s="55">
        <v>2</v>
      </c>
      <c r="O1373" s="73">
        <v>0</v>
      </c>
      <c r="P1373" s="52"/>
    </row>
    <row r="1374" spans="2:16">
      <c r="B1374" s="48" t="s">
        <v>1967</v>
      </c>
      <c r="C1374" s="54" t="s">
        <v>758</v>
      </c>
      <c r="D1374" s="55">
        <v>153</v>
      </c>
      <c r="E1374" s="55">
        <v>10.6</v>
      </c>
      <c r="F1374" s="55">
        <v>34.97</v>
      </c>
      <c r="G1374" s="55">
        <v>22.2</v>
      </c>
      <c r="H1374" s="55">
        <v>24</v>
      </c>
      <c r="I1374" s="55">
        <v>2.4</v>
      </c>
      <c r="J1374" s="55">
        <v>0</v>
      </c>
      <c r="K1374" s="55">
        <v>0.24</v>
      </c>
      <c r="L1374" s="55">
        <v>0.28000000000000003</v>
      </c>
      <c r="M1374" s="55">
        <v>0</v>
      </c>
      <c r="N1374" s="55">
        <v>0</v>
      </c>
      <c r="O1374" s="55">
        <v>0</v>
      </c>
      <c r="P1374" s="52"/>
    </row>
    <row r="1375" spans="2:16">
      <c r="B1375" s="48" t="s">
        <v>1606</v>
      </c>
      <c r="C1375" s="54"/>
      <c r="D1375" s="55">
        <v>107</v>
      </c>
      <c r="E1375" s="55">
        <v>7.7</v>
      </c>
      <c r="F1375" s="55">
        <v>8</v>
      </c>
      <c r="G1375" s="55">
        <v>8</v>
      </c>
      <c r="H1375" s="55">
        <v>25</v>
      </c>
      <c r="I1375" s="55">
        <v>1.2</v>
      </c>
      <c r="J1375" s="55">
        <v>0</v>
      </c>
      <c r="K1375" s="55">
        <v>0</v>
      </c>
      <c r="L1375" s="55">
        <v>7.0000000000000007E-2</v>
      </c>
      <c r="M1375" s="55">
        <v>0.8</v>
      </c>
      <c r="N1375" s="56">
        <v>0</v>
      </c>
      <c r="O1375" s="55">
        <v>0</v>
      </c>
      <c r="P1375" s="52"/>
    </row>
    <row r="1376" spans="2:16">
      <c r="B1376" s="48" t="s">
        <v>1607</v>
      </c>
      <c r="C1376" s="54" t="s">
        <v>758</v>
      </c>
      <c r="D1376" s="55">
        <v>247</v>
      </c>
      <c r="E1376" s="55">
        <v>10.6</v>
      </c>
      <c r="F1376" s="55">
        <v>34.97</v>
      </c>
      <c r="G1376" s="55">
        <v>22.2</v>
      </c>
      <c r="H1376" s="55">
        <v>24</v>
      </c>
      <c r="I1376" s="55">
        <v>2.4</v>
      </c>
      <c r="J1376" s="55">
        <v>0</v>
      </c>
      <c r="K1376" s="55">
        <v>0.24</v>
      </c>
      <c r="L1376" s="55">
        <v>0.28000000000000003</v>
      </c>
      <c r="M1376" s="55">
        <v>0</v>
      </c>
      <c r="N1376" s="55">
        <v>0</v>
      </c>
      <c r="O1376" s="55">
        <v>0</v>
      </c>
      <c r="P1376" s="52"/>
    </row>
    <row r="1377" spans="2:16">
      <c r="B1377" s="48" t="s">
        <v>1935</v>
      </c>
      <c r="C1377" s="54" t="s">
        <v>758</v>
      </c>
      <c r="D1377" s="55">
        <v>247</v>
      </c>
      <c r="E1377" s="55">
        <v>10.6</v>
      </c>
      <c r="F1377" s="55">
        <v>34.97</v>
      </c>
      <c r="G1377" s="55">
        <v>22.2</v>
      </c>
      <c r="H1377" s="55">
        <v>24</v>
      </c>
      <c r="I1377" s="55">
        <v>2.4</v>
      </c>
      <c r="J1377" s="55">
        <v>0</v>
      </c>
      <c r="K1377" s="55">
        <v>0.24</v>
      </c>
      <c r="L1377" s="55">
        <v>0.28000000000000003</v>
      </c>
      <c r="M1377" s="55">
        <v>0</v>
      </c>
      <c r="N1377" s="55">
        <v>0</v>
      </c>
      <c r="O1377" s="55">
        <v>0</v>
      </c>
      <c r="P1377" s="52"/>
    </row>
    <row r="1378" spans="2:16">
      <c r="B1378" s="48" t="s">
        <v>1608</v>
      </c>
      <c r="C1378" s="84" t="s">
        <v>1609</v>
      </c>
      <c r="D1378" s="55">
        <v>102</v>
      </c>
      <c r="E1378" s="55">
        <v>11.46</v>
      </c>
      <c r="F1378" s="55">
        <v>0</v>
      </c>
      <c r="G1378" s="55">
        <v>12.79</v>
      </c>
      <c r="H1378" s="55">
        <v>6.27</v>
      </c>
      <c r="I1378" s="55">
        <v>0.56999999999999995</v>
      </c>
      <c r="J1378" s="55">
        <v>8.5500000000000007</v>
      </c>
      <c r="K1378" s="55">
        <v>0.05</v>
      </c>
      <c r="L1378" s="55">
        <v>0.11</v>
      </c>
      <c r="M1378" s="55">
        <v>0</v>
      </c>
      <c r="N1378" s="55">
        <v>0.71</v>
      </c>
      <c r="O1378" s="73">
        <v>0</v>
      </c>
      <c r="P1378" s="52"/>
    </row>
    <row r="1379" spans="2:16">
      <c r="B1379" s="48" t="s">
        <v>1610</v>
      </c>
      <c r="C1379" s="54" t="s">
        <v>1115</v>
      </c>
      <c r="D1379" s="55">
        <v>53</v>
      </c>
      <c r="E1379" s="55">
        <v>3.8</v>
      </c>
      <c r="F1379" s="55">
        <v>25.36</v>
      </c>
      <c r="G1379" s="55">
        <v>5</v>
      </c>
      <c r="H1379" s="55">
        <v>32</v>
      </c>
      <c r="I1379" s="55">
        <v>0.8</v>
      </c>
      <c r="J1379" s="55">
        <v>0</v>
      </c>
      <c r="K1379" s="55">
        <v>0.09</v>
      </c>
      <c r="L1379" s="55">
        <v>0.05</v>
      </c>
      <c r="M1379" s="55">
        <v>0.3</v>
      </c>
      <c r="N1379" s="55">
        <v>0</v>
      </c>
      <c r="O1379" s="55">
        <v>0</v>
      </c>
      <c r="P1379" s="52"/>
    </row>
    <row r="1380" spans="2:16">
      <c r="B1380" s="48" t="s">
        <v>1611</v>
      </c>
      <c r="C1380" s="54" t="s">
        <v>1611</v>
      </c>
      <c r="D1380" s="55">
        <v>215</v>
      </c>
      <c r="E1380" s="55">
        <v>3.3</v>
      </c>
      <c r="F1380" s="55">
        <v>47.4</v>
      </c>
      <c r="G1380" s="55">
        <v>0.4</v>
      </c>
      <c r="H1380" s="55">
        <v>23</v>
      </c>
      <c r="I1380" s="55">
        <v>2.8</v>
      </c>
      <c r="J1380" s="55">
        <v>0</v>
      </c>
      <c r="K1380" s="55">
        <v>0.1</v>
      </c>
      <c r="L1380" s="55">
        <v>0.11</v>
      </c>
      <c r="M1380" s="55">
        <v>0</v>
      </c>
      <c r="N1380" s="56">
        <v>0</v>
      </c>
      <c r="O1380" s="55">
        <v>0</v>
      </c>
      <c r="P1380" s="52"/>
    </row>
    <row r="1381" spans="2:16">
      <c r="B1381" s="48" t="s">
        <v>1612</v>
      </c>
      <c r="C1381" s="54" t="s">
        <v>795</v>
      </c>
      <c r="D1381" s="55">
        <v>250</v>
      </c>
      <c r="E1381" s="55">
        <v>18.8</v>
      </c>
      <c r="F1381" s="55">
        <v>1.9</v>
      </c>
      <c r="G1381" s="55">
        <v>18</v>
      </c>
      <c r="H1381" s="55">
        <v>9</v>
      </c>
      <c r="I1381" s="55">
        <v>2.2000000000000002</v>
      </c>
      <c r="J1381" s="55">
        <v>12</v>
      </c>
      <c r="K1381" s="55">
        <v>7.0000000000000007E-2</v>
      </c>
      <c r="L1381" s="55">
        <v>0.2</v>
      </c>
      <c r="M1381" s="55">
        <v>5.2</v>
      </c>
      <c r="N1381" s="55">
        <v>1</v>
      </c>
      <c r="O1381" s="55">
        <v>0</v>
      </c>
      <c r="P1381" s="52"/>
    </row>
    <row r="1382" spans="2:16">
      <c r="B1382" s="58" t="s">
        <v>2122</v>
      </c>
      <c r="D1382" s="47">
        <v>113</v>
      </c>
      <c r="E1382" s="47">
        <v>3.7</v>
      </c>
      <c r="F1382" s="47">
        <v>23.9</v>
      </c>
      <c r="G1382" s="47">
        <v>0.3</v>
      </c>
      <c r="H1382" s="47">
        <v>129.5</v>
      </c>
    </row>
    <row r="1383" spans="2:16">
      <c r="B1383" s="48" t="s">
        <v>1613</v>
      </c>
      <c r="C1383" s="54"/>
      <c r="D1383" s="55">
        <v>270</v>
      </c>
      <c r="E1383" s="55">
        <v>52.7</v>
      </c>
      <c r="F1383" s="55">
        <v>0.9</v>
      </c>
      <c r="G1383" s="55">
        <v>5.3</v>
      </c>
      <c r="H1383" s="55">
        <v>1825</v>
      </c>
      <c r="I1383" s="55">
        <v>7.5</v>
      </c>
      <c r="J1383" s="55">
        <v>0</v>
      </c>
      <c r="K1383" s="55">
        <v>0.15</v>
      </c>
      <c r="L1383" s="55">
        <v>0.18</v>
      </c>
      <c r="M1383" s="55">
        <v>11.6</v>
      </c>
      <c r="N1383" s="55">
        <v>0</v>
      </c>
      <c r="O1383" s="55">
        <v>0</v>
      </c>
      <c r="P1383" s="52"/>
    </row>
    <row r="1384" spans="2:16">
      <c r="B1384" s="48" t="s">
        <v>1614</v>
      </c>
      <c r="C1384" s="54" t="s">
        <v>512</v>
      </c>
      <c r="D1384" s="55">
        <v>270</v>
      </c>
      <c r="E1384" s="55">
        <v>52.7</v>
      </c>
      <c r="F1384" s="55">
        <v>0.9</v>
      </c>
      <c r="G1384" s="55">
        <v>4.9000000000000004</v>
      </c>
      <c r="H1384" s="55">
        <v>1825</v>
      </c>
      <c r="I1384" s="55">
        <v>7.5</v>
      </c>
      <c r="J1384" s="55">
        <v>0</v>
      </c>
      <c r="K1384" s="55">
        <v>0.15</v>
      </c>
      <c r="L1384" s="55">
        <v>0.18</v>
      </c>
      <c r="M1384" s="55">
        <v>11.6</v>
      </c>
      <c r="N1384" s="55">
        <v>0</v>
      </c>
      <c r="O1384" s="55">
        <v>0</v>
      </c>
      <c r="P1384" s="52"/>
    </row>
    <row r="1385" spans="2:16">
      <c r="B1385" s="53" t="s">
        <v>1615</v>
      </c>
      <c r="C1385" s="54" t="s">
        <v>90</v>
      </c>
      <c r="D1385" s="55">
        <v>376</v>
      </c>
      <c r="E1385" s="50">
        <v>8.8000000000000007</v>
      </c>
      <c r="F1385" s="50">
        <v>47.2</v>
      </c>
      <c r="G1385" s="50">
        <v>1.4</v>
      </c>
      <c r="H1385" s="55">
        <v>36</v>
      </c>
      <c r="I1385" s="55">
        <v>0.7</v>
      </c>
      <c r="J1385" s="55">
        <v>29</v>
      </c>
      <c r="K1385" s="55">
        <v>0.14000000000000001</v>
      </c>
      <c r="L1385" s="55">
        <v>0.06</v>
      </c>
      <c r="M1385" s="55">
        <v>1.3</v>
      </c>
      <c r="N1385" s="55">
        <v>0</v>
      </c>
      <c r="O1385" s="55">
        <v>0</v>
      </c>
      <c r="P1385" s="52"/>
    </row>
    <row r="1386" spans="2:16">
      <c r="B1386" s="48" t="s">
        <v>1616</v>
      </c>
      <c r="C1386" s="54"/>
      <c r="D1386" s="55">
        <v>109</v>
      </c>
      <c r="E1386" s="55">
        <v>5</v>
      </c>
      <c r="F1386" s="55">
        <v>0</v>
      </c>
      <c r="G1386" s="55">
        <v>0.2</v>
      </c>
      <c r="H1386" s="55">
        <v>22</v>
      </c>
      <c r="I1386" s="55">
        <v>1.7</v>
      </c>
      <c r="J1386" s="55">
        <v>6</v>
      </c>
      <c r="K1386" s="55">
        <v>7.0000000000000007E-2</v>
      </c>
      <c r="L1386" s="55">
        <v>0.15</v>
      </c>
      <c r="M1386" s="55">
        <v>0.15</v>
      </c>
      <c r="N1386" s="55">
        <v>0</v>
      </c>
      <c r="O1386" s="55"/>
      <c r="P1386" s="52"/>
    </row>
    <row r="1387" spans="2:16">
      <c r="B1387" s="88" t="s">
        <v>1617</v>
      </c>
      <c r="D1387" s="47">
        <v>80</v>
      </c>
      <c r="E1387" s="47">
        <v>0</v>
      </c>
      <c r="H1387" s="47">
        <v>42</v>
      </c>
      <c r="I1387" s="47">
        <v>3.8</v>
      </c>
      <c r="J1387" s="47">
        <v>0</v>
      </c>
      <c r="K1387" s="47">
        <v>0</v>
      </c>
      <c r="L1387" s="47">
        <v>1</v>
      </c>
      <c r="M1387" s="47">
        <v>0</v>
      </c>
      <c r="N1387" s="47">
        <v>0</v>
      </c>
      <c r="O1387" s="47">
        <v>0</v>
      </c>
    </row>
    <row r="1388" spans="2:16">
      <c r="B1388" s="88" t="s">
        <v>1618</v>
      </c>
      <c r="D1388" s="47">
        <v>85</v>
      </c>
      <c r="E1388" s="47">
        <v>1</v>
      </c>
      <c r="H1388" s="47">
        <v>0</v>
      </c>
      <c r="I1388" s="47">
        <v>0</v>
      </c>
      <c r="J1388" s="47">
        <v>0</v>
      </c>
      <c r="K1388" s="47">
        <v>0</v>
      </c>
      <c r="L1388" s="47">
        <v>0</v>
      </c>
      <c r="M1388" s="47">
        <v>0</v>
      </c>
      <c r="N1388" s="47">
        <v>0</v>
      </c>
      <c r="O1388" s="47">
        <v>0</v>
      </c>
    </row>
    <row r="1389" spans="2:16">
      <c r="B1389" s="88" t="s">
        <v>1619</v>
      </c>
    </row>
    <row r="1390" spans="2:16">
      <c r="B1390" s="88" t="s">
        <v>1620</v>
      </c>
    </row>
    <row r="1391" spans="2:16">
      <c r="B1391" s="88" t="s">
        <v>1621</v>
      </c>
    </row>
    <row r="1392" spans="2:16">
      <c r="B1392" s="88" t="s">
        <v>2108</v>
      </c>
      <c r="C1392" s="59" t="s">
        <v>1760</v>
      </c>
      <c r="D1392" s="47">
        <v>50</v>
      </c>
      <c r="E1392" s="47">
        <v>0</v>
      </c>
      <c r="F1392" s="47">
        <v>12</v>
      </c>
      <c r="G1392" s="47">
        <v>0</v>
      </c>
      <c r="H1392" s="47">
        <v>0</v>
      </c>
      <c r="I1392" s="47">
        <v>0</v>
      </c>
      <c r="J1392" s="47">
        <v>0</v>
      </c>
    </row>
    <row r="1393" spans="2:15">
      <c r="B1393" s="88" t="s">
        <v>1815</v>
      </c>
      <c r="D1393" s="47">
        <v>115</v>
      </c>
      <c r="E1393" s="47">
        <v>24</v>
      </c>
      <c r="F1393" s="47">
        <v>0.1</v>
      </c>
      <c r="G1393" s="47">
        <v>1.4</v>
      </c>
      <c r="H1393" s="47">
        <v>11</v>
      </c>
      <c r="I1393" s="47">
        <v>1.1000000000000001</v>
      </c>
      <c r="J1393" s="47">
        <v>0</v>
      </c>
      <c r="K1393" s="47">
        <v>0.2</v>
      </c>
      <c r="L1393" s="47">
        <v>0.21</v>
      </c>
      <c r="M1393" s="47">
        <v>2.9</v>
      </c>
      <c r="N1393" s="47">
        <v>0</v>
      </c>
    </row>
    <row r="1394" spans="2:15">
      <c r="B1394" s="88" t="s">
        <v>1816</v>
      </c>
      <c r="C1394" s="59" t="s">
        <v>1817</v>
      </c>
      <c r="D1394" s="47">
        <v>40</v>
      </c>
      <c r="E1394" s="47">
        <v>1</v>
      </c>
      <c r="F1394" s="47">
        <v>9</v>
      </c>
      <c r="G1394" s="47">
        <v>0</v>
      </c>
      <c r="H1394" s="47">
        <v>0</v>
      </c>
      <c r="I1394" s="47">
        <v>0</v>
      </c>
      <c r="J1394" s="47">
        <v>0</v>
      </c>
      <c r="K1394" s="47">
        <v>0</v>
      </c>
      <c r="L1394" s="47">
        <v>0</v>
      </c>
      <c r="M1394" s="47">
        <v>0</v>
      </c>
      <c r="N1394" s="47">
        <v>0</v>
      </c>
    </row>
    <row r="1395" spans="2:15">
      <c r="B1395" s="88" t="s">
        <v>1819</v>
      </c>
      <c r="C1395" s="59" t="s">
        <v>1817</v>
      </c>
      <c r="D1395" s="47">
        <v>45</v>
      </c>
      <c r="E1395" s="47">
        <v>0</v>
      </c>
      <c r="F1395" s="47">
        <v>11</v>
      </c>
      <c r="G1395" s="47">
        <v>0</v>
      </c>
      <c r="H1395" s="47">
        <v>0</v>
      </c>
      <c r="I1395" s="47">
        <v>0</v>
      </c>
      <c r="J1395" s="47">
        <v>0</v>
      </c>
      <c r="K1395" s="47">
        <v>0</v>
      </c>
      <c r="L1395" s="47">
        <v>0</v>
      </c>
      <c r="M1395" s="47">
        <v>0</v>
      </c>
      <c r="N1395" s="47">
        <v>0</v>
      </c>
    </row>
    <row r="1396" spans="2:15">
      <c r="B1396" s="88" t="s">
        <v>1962</v>
      </c>
      <c r="C1396" s="59" t="s">
        <v>1817</v>
      </c>
      <c r="D1396" s="47">
        <v>45</v>
      </c>
      <c r="E1396" s="47">
        <v>0</v>
      </c>
      <c r="F1396" s="47">
        <v>11</v>
      </c>
      <c r="G1396" s="47">
        <v>0</v>
      </c>
      <c r="H1396" s="47">
        <v>0</v>
      </c>
      <c r="I1396" s="47">
        <v>0</v>
      </c>
      <c r="J1396" s="47">
        <v>0</v>
      </c>
      <c r="K1396" s="47">
        <v>0</v>
      </c>
      <c r="L1396" s="47">
        <v>0</v>
      </c>
      <c r="M1396" s="47">
        <v>0</v>
      </c>
      <c r="N1396" s="47">
        <v>0</v>
      </c>
    </row>
    <row r="1397" spans="2:15">
      <c r="B1397" s="88" t="s">
        <v>1818</v>
      </c>
      <c r="D1397" s="47">
        <v>105</v>
      </c>
      <c r="E1397" s="47">
        <v>2.0699999999999998</v>
      </c>
      <c r="F1397" s="47">
        <v>22.45</v>
      </c>
      <c r="G1397" s="47">
        <v>0.73</v>
      </c>
      <c r="H1397" s="47">
        <v>2</v>
      </c>
      <c r="I1397" s="47">
        <v>0.35</v>
      </c>
      <c r="J1397" s="47">
        <v>14</v>
      </c>
      <c r="K1397" s="47">
        <v>0</v>
      </c>
      <c r="L1397" s="47">
        <v>0.12</v>
      </c>
      <c r="M1397" s="47">
        <v>1.1200000000000001</v>
      </c>
      <c r="N1397" s="47">
        <v>4.75</v>
      </c>
    </row>
    <row r="1398" spans="2:15">
      <c r="B1398" s="88" t="s">
        <v>1820</v>
      </c>
      <c r="D1398" s="47">
        <v>100</v>
      </c>
      <c r="E1398" s="47">
        <v>1</v>
      </c>
      <c r="F1398" s="47">
        <v>10</v>
      </c>
      <c r="G1398" s="47">
        <v>6</v>
      </c>
      <c r="H1398" s="47">
        <v>0</v>
      </c>
      <c r="I1398" s="47">
        <v>0</v>
      </c>
      <c r="J1398" s="47">
        <v>0</v>
      </c>
      <c r="K1398" s="47">
        <v>0</v>
      </c>
      <c r="L1398" s="47">
        <v>0</v>
      </c>
      <c r="M1398" s="47">
        <v>0</v>
      </c>
      <c r="N1398" s="47">
        <v>0</v>
      </c>
    </row>
    <row r="1399" spans="2:15">
      <c r="B1399" s="88" t="s">
        <v>1821</v>
      </c>
      <c r="D1399" s="47">
        <v>372</v>
      </c>
      <c r="E1399" s="47">
        <v>69.3</v>
      </c>
      <c r="F1399" s="47">
        <v>1.6</v>
      </c>
      <c r="G1399" s="47">
        <v>7.7</v>
      </c>
      <c r="H1399" s="47">
        <v>16</v>
      </c>
      <c r="I1399" s="47">
        <v>1.6</v>
      </c>
      <c r="J1399" s="47">
        <v>0</v>
      </c>
      <c r="K1399" s="47">
        <v>0</v>
      </c>
      <c r="L1399" s="47">
        <v>0.5</v>
      </c>
      <c r="M1399" s="47">
        <v>27.5</v>
      </c>
      <c r="N1399" s="47">
        <v>0</v>
      </c>
    </row>
    <row r="1400" spans="2:15">
      <c r="B1400" s="88" t="s">
        <v>1822</v>
      </c>
      <c r="D1400" s="47">
        <v>64</v>
      </c>
      <c r="E1400" s="47">
        <v>1.2</v>
      </c>
      <c r="F1400" s="47">
        <v>16.2</v>
      </c>
      <c r="G1400" s="47">
        <v>0.2</v>
      </c>
      <c r="H1400" s="47">
        <v>10</v>
      </c>
      <c r="I1400" s="47">
        <v>0.7</v>
      </c>
      <c r="J1400" s="47">
        <v>120</v>
      </c>
      <c r="K1400" s="47">
        <v>7.0000000000000007E-2</v>
      </c>
      <c r="L1400" s="47">
        <v>0.02</v>
      </c>
      <c r="M1400" s="47">
        <v>0.1</v>
      </c>
      <c r="N1400" s="47">
        <v>18</v>
      </c>
    </row>
    <row r="1401" spans="2:15">
      <c r="B1401" s="88" t="s">
        <v>1813</v>
      </c>
      <c r="D1401" s="47">
        <v>400</v>
      </c>
      <c r="E1401" s="47">
        <v>0</v>
      </c>
      <c r="F1401" s="47">
        <v>100</v>
      </c>
      <c r="G1401" s="47">
        <v>0</v>
      </c>
      <c r="H1401" s="47">
        <v>0</v>
      </c>
      <c r="I1401" s="47">
        <v>0</v>
      </c>
      <c r="J1401" s="47">
        <v>0</v>
      </c>
      <c r="K1401" s="47">
        <v>0</v>
      </c>
      <c r="L1401" s="47">
        <v>0</v>
      </c>
      <c r="M1401" s="47">
        <v>0</v>
      </c>
      <c r="N1401" s="47">
        <v>0</v>
      </c>
      <c r="O1401" s="47">
        <v>0</v>
      </c>
    </row>
    <row r="1402" spans="2:15">
      <c r="B1402" s="88" t="s">
        <v>1823</v>
      </c>
      <c r="D1402" s="47">
        <v>187</v>
      </c>
      <c r="E1402" s="47">
        <v>15.5</v>
      </c>
      <c r="F1402" s="47">
        <v>3.2</v>
      </c>
      <c r="G1402" s="47">
        <v>23.5</v>
      </c>
      <c r="H1402" s="47">
        <v>0</v>
      </c>
      <c r="I1402" s="47">
        <v>0</v>
      </c>
      <c r="J1402" s="47">
        <v>0</v>
      </c>
      <c r="K1402" s="47">
        <v>0</v>
      </c>
      <c r="L1402" s="47">
        <v>0</v>
      </c>
      <c r="M1402" s="47">
        <v>0</v>
      </c>
      <c r="N1402" s="47">
        <v>0</v>
      </c>
      <c r="O1402" s="47">
        <v>0</v>
      </c>
    </row>
    <row r="1403" spans="2:15">
      <c r="B1403" s="88" t="s">
        <v>1814</v>
      </c>
      <c r="D1403" s="47">
        <v>220</v>
      </c>
      <c r="E1403" s="47">
        <v>4.82</v>
      </c>
      <c r="F1403" s="47">
        <v>49.28</v>
      </c>
      <c r="G1403" s="47">
        <v>0.43</v>
      </c>
      <c r="H1403" s="47">
        <v>0</v>
      </c>
      <c r="I1403" s="47">
        <v>0</v>
      </c>
      <c r="J1403" s="47">
        <v>0</v>
      </c>
      <c r="K1403" s="47">
        <v>0</v>
      </c>
      <c r="L1403" s="47">
        <v>0</v>
      </c>
      <c r="M1403" s="47">
        <v>0</v>
      </c>
      <c r="N1403" s="47">
        <v>0</v>
      </c>
      <c r="O1403" s="47">
        <v>0</v>
      </c>
    </row>
    <row r="1404" spans="2:15">
      <c r="B1404" s="88" t="s">
        <v>1824</v>
      </c>
      <c r="D1404" s="47">
        <v>170</v>
      </c>
      <c r="E1404" s="47">
        <v>2</v>
      </c>
      <c r="F1404" s="47">
        <v>7</v>
      </c>
      <c r="G1404" s="47">
        <v>15</v>
      </c>
      <c r="H1404" s="47">
        <v>0</v>
      </c>
      <c r="I1404" s="47">
        <v>0</v>
      </c>
      <c r="J1404" s="47">
        <v>0</v>
      </c>
      <c r="K1404" s="47">
        <v>0</v>
      </c>
      <c r="L1404" s="47">
        <v>0</v>
      </c>
      <c r="M1404" s="47">
        <v>0</v>
      </c>
      <c r="N1404" s="47">
        <v>0</v>
      </c>
      <c r="O1404" s="47">
        <v>0</v>
      </c>
    </row>
    <row r="1405" spans="2:15">
      <c r="B1405" s="88" t="s">
        <v>1825</v>
      </c>
      <c r="D1405" s="47">
        <v>110</v>
      </c>
      <c r="E1405" s="47">
        <v>5.43</v>
      </c>
      <c r="F1405" s="47">
        <v>13.71</v>
      </c>
      <c r="G1405" s="47">
        <v>4</v>
      </c>
      <c r="H1405" s="47">
        <v>0</v>
      </c>
      <c r="I1405" s="47">
        <v>0</v>
      </c>
      <c r="J1405" s="47">
        <v>0</v>
      </c>
      <c r="K1405" s="47">
        <v>0</v>
      </c>
      <c r="L1405" s="47">
        <v>0</v>
      </c>
      <c r="M1405" s="47">
        <v>0</v>
      </c>
      <c r="N1405" s="47">
        <v>0</v>
      </c>
      <c r="O1405" s="47">
        <v>0</v>
      </c>
    </row>
    <row r="1406" spans="2:15">
      <c r="B1406" s="88" t="s">
        <v>1829</v>
      </c>
      <c r="D1406" s="47">
        <v>130</v>
      </c>
      <c r="E1406" s="47">
        <v>3</v>
      </c>
      <c r="F1406" s="47">
        <v>30</v>
      </c>
      <c r="G1406" s="47">
        <v>0</v>
      </c>
      <c r="H1406" s="47">
        <v>0</v>
      </c>
      <c r="I1406" s="47">
        <v>0</v>
      </c>
      <c r="J1406" s="47">
        <v>0</v>
      </c>
      <c r="K1406" s="47">
        <v>0</v>
      </c>
      <c r="L1406" s="47">
        <v>0</v>
      </c>
      <c r="M1406" s="47">
        <v>0</v>
      </c>
      <c r="N1406" s="47">
        <v>0</v>
      </c>
      <c r="O1406" s="47">
        <v>0</v>
      </c>
    </row>
    <row r="1407" spans="2:15">
      <c r="B1407" s="88" t="s">
        <v>1685</v>
      </c>
      <c r="C1407" s="59">
        <v>9</v>
      </c>
      <c r="D1407" s="47">
        <v>120</v>
      </c>
      <c r="E1407" s="47">
        <v>1</v>
      </c>
      <c r="F1407" s="47">
        <v>29</v>
      </c>
      <c r="G1407" s="47">
        <v>0</v>
      </c>
      <c r="H1407" s="47">
        <v>0</v>
      </c>
      <c r="I1407" s="47">
        <v>0</v>
      </c>
      <c r="J1407" s="47">
        <v>0</v>
      </c>
      <c r="K1407" s="47">
        <v>0</v>
      </c>
      <c r="L1407" s="47">
        <v>0</v>
      </c>
      <c r="M1407" s="47">
        <v>0</v>
      </c>
      <c r="N1407" s="47">
        <v>0</v>
      </c>
      <c r="O1407" s="47">
        <v>0</v>
      </c>
    </row>
    <row r="1408" spans="2:15">
      <c r="B1408" s="88" t="s">
        <v>1828</v>
      </c>
      <c r="D1408" s="47">
        <v>240</v>
      </c>
      <c r="E1408" s="47">
        <v>8.33</v>
      </c>
      <c r="F1408" s="47">
        <v>45</v>
      </c>
      <c r="G1408" s="47">
        <v>3</v>
      </c>
      <c r="H1408" s="47">
        <v>0</v>
      </c>
      <c r="I1408" s="47">
        <v>0</v>
      </c>
      <c r="J1408" s="47">
        <v>0</v>
      </c>
      <c r="K1408" s="47">
        <v>0</v>
      </c>
      <c r="L1408" s="47">
        <v>0</v>
      </c>
      <c r="M1408" s="47">
        <v>0</v>
      </c>
      <c r="N1408" s="47">
        <v>0</v>
      </c>
      <c r="O1408" s="47">
        <v>0</v>
      </c>
    </row>
    <row r="1409" spans="2:15">
      <c r="B1409" s="88" t="s">
        <v>2109</v>
      </c>
      <c r="D1409" s="47">
        <v>570</v>
      </c>
      <c r="E1409" s="47">
        <v>8</v>
      </c>
      <c r="F1409" s="47">
        <v>67</v>
      </c>
      <c r="G1409" s="47">
        <v>3</v>
      </c>
    </row>
    <row r="1410" spans="2:15">
      <c r="B1410" s="88" t="s">
        <v>2110</v>
      </c>
      <c r="D1410" s="47">
        <v>570</v>
      </c>
      <c r="E1410" s="47">
        <v>8</v>
      </c>
      <c r="F1410" s="47">
        <v>67</v>
      </c>
      <c r="G1410" s="47">
        <v>3</v>
      </c>
    </row>
    <row r="1411" spans="2:15">
      <c r="B1411" s="88" t="s">
        <v>2059</v>
      </c>
      <c r="D1411" s="47">
        <v>570</v>
      </c>
      <c r="E1411" s="47">
        <v>8</v>
      </c>
      <c r="F1411" s="47">
        <v>67</v>
      </c>
      <c r="G1411" s="47">
        <v>3</v>
      </c>
      <c r="I1411" s="47">
        <v>0</v>
      </c>
      <c r="J1411" s="47">
        <v>0</v>
      </c>
      <c r="K1411" s="47">
        <v>0</v>
      </c>
      <c r="L1411" s="47">
        <v>0</v>
      </c>
      <c r="M1411" s="47">
        <v>0</v>
      </c>
      <c r="N1411" s="47">
        <v>0</v>
      </c>
      <c r="O1411" s="47">
        <v>0</v>
      </c>
    </row>
    <row r="1412" spans="2:15">
      <c r="B1412" s="88" t="s">
        <v>2111</v>
      </c>
      <c r="D1412" s="47">
        <v>325</v>
      </c>
      <c r="E1412" s="47">
        <v>8.5</v>
      </c>
      <c r="F1412" s="47">
        <v>65</v>
      </c>
      <c r="G1412" s="47">
        <v>3.5</v>
      </c>
    </row>
    <row r="1413" spans="2:15">
      <c r="B1413" s="88" t="s">
        <v>1827</v>
      </c>
      <c r="D1413" s="47">
        <v>325</v>
      </c>
      <c r="E1413" s="47">
        <v>25</v>
      </c>
      <c r="F1413" s="47">
        <v>0</v>
      </c>
      <c r="G1413" s="47">
        <v>25</v>
      </c>
      <c r="H1413" s="47">
        <v>0</v>
      </c>
      <c r="I1413" s="47">
        <v>0</v>
      </c>
      <c r="J1413" s="47">
        <v>0</v>
      </c>
      <c r="K1413" s="47">
        <v>0</v>
      </c>
      <c r="L1413" s="47">
        <v>0</v>
      </c>
      <c r="M1413" s="47">
        <v>0</v>
      </c>
      <c r="N1413" s="47">
        <v>0</v>
      </c>
      <c r="O1413" s="47">
        <v>0</v>
      </c>
    </row>
    <row r="1414" spans="2:15">
      <c r="B1414" s="88" t="s">
        <v>1826</v>
      </c>
      <c r="D1414" s="47">
        <v>113.56</v>
      </c>
      <c r="E1414" s="47">
        <v>0</v>
      </c>
      <c r="F1414" s="47">
        <v>0</v>
      </c>
      <c r="G1414" s="47">
        <v>0</v>
      </c>
      <c r="H1414" s="47">
        <v>0</v>
      </c>
      <c r="I1414" s="47">
        <v>0</v>
      </c>
      <c r="J1414" s="47">
        <v>0</v>
      </c>
      <c r="K1414" s="47">
        <v>0</v>
      </c>
      <c r="L1414" s="47">
        <v>0</v>
      </c>
      <c r="M1414" s="47">
        <v>0</v>
      </c>
      <c r="N1414" s="47">
        <v>0</v>
      </c>
      <c r="O1414" s="47">
        <v>0</v>
      </c>
    </row>
    <row r="1415" spans="2:15">
      <c r="B1415" s="88" t="s">
        <v>1964</v>
      </c>
      <c r="D1415" s="47">
        <v>113.56</v>
      </c>
      <c r="E1415" s="47">
        <v>0</v>
      </c>
      <c r="F1415" s="47">
        <v>0</v>
      </c>
      <c r="G1415" s="47">
        <v>0</v>
      </c>
      <c r="H1415" s="47">
        <v>0</v>
      </c>
      <c r="I1415" s="47">
        <v>0</v>
      </c>
      <c r="J1415" s="47">
        <v>0</v>
      </c>
      <c r="K1415" s="47">
        <v>0</v>
      </c>
      <c r="L1415" s="47">
        <v>0</v>
      </c>
      <c r="M1415" s="47">
        <v>0</v>
      </c>
      <c r="N1415" s="47">
        <v>0</v>
      </c>
      <c r="O1415" s="47">
        <v>0</v>
      </c>
    </row>
    <row r="1416" spans="2:15">
      <c r="B1416" s="88" t="s">
        <v>1831</v>
      </c>
      <c r="D1416" s="47">
        <v>297</v>
      </c>
      <c r="E1416" s="47">
        <v>63.5</v>
      </c>
      <c r="F1416" s="47">
        <v>0.4</v>
      </c>
      <c r="G1416" s="47">
        <v>2.7</v>
      </c>
      <c r="H1416" s="47">
        <v>35</v>
      </c>
      <c r="I1416" s="47">
        <v>3</v>
      </c>
      <c r="J1416" s="47">
        <v>0</v>
      </c>
      <c r="K1416" s="47">
        <v>0.06</v>
      </c>
      <c r="L1416" s="47">
        <v>0.03</v>
      </c>
      <c r="M1416" s="47">
        <v>1.3</v>
      </c>
      <c r="N1416" s="47">
        <v>0</v>
      </c>
    </row>
    <row r="1417" spans="2:15">
      <c r="B1417" s="88" t="s">
        <v>1830</v>
      </c>
      <c r="D1417" s="47">
        <v>240</v>
      </c>
      <c r="E1417" s="47">
        <v>0</v>
      </c>
      <c r="F1417" s="47">
        <v>0</v>
      </c>
      <c r="G1417" s="47">
        <v>0</v>
      </c>
      <c r="H1417" s="47">
        <v>0</v>
      </c>
      <c r="I1417" s="47">
        <v>0</v>
      </c>
      <c r="J1417" s="47">
        <v>0</v>
      </c>
      <c r="K1417" s="47">
        <v>0</v>
      </c>
      <c r="L1417" s="47">
        <v>0</v>
      </c>
      <c r="M1417" s="47">
        <v>0</v>
      </c>
      <c r="N1417" s="47">
        <v>0</v>
      </c>
      <c r="O1417" s="47">
        <v>0</v>
      </c>
    </row>
    <row r="1418" spans="2:15">
      <c r="B1418" s="88" t="s">
        <v>1835</v>
      </c>
      <c r="D1418" s="47">
        <v>110</v>
      </c>
      <c r="E1418" s="47">
        <v>2</v>
      </c>
      <c r="F1418" s="47">
        <v>20</v>
      </c>
      <c r="G1418" s="47">
        <v>2.4</v>
      </c>
      <c r="H1418" s="47">
        <v>0</v>
      </c>
      <c r="I1418" s="47">
        <v>0</v>
      </c>
      <c r="J1418" s="47">
        <v>0</v>
      </c>
      <c r="K1418" s="47">
        <v>0</v>
      </c>
      <c r="L1418" s="47">
        <v>0</v>
      </c>
      <c r="M1418" s="47">
        <v>0</v>
      </c>
      <c r="N1418" s="47">
        <v>0</v>
      </c>
      <c r="O1418" s="47">
        <v>0</v>
      </c>
    </row>
    <row r="1419" spans="2:15">
      <c r="B1419" s="88" t="s">
        <v>1834</v>
      </c>
      <c r="D1419" s="47">
        <v>28</v>
      </c>
      <c r="E1419" s="47">
        <v>1.17</v>
      </c>
      <c r="F1419" s="47">
        <v>6.94</v>
      </c>
      <c r="G1419" s="47">
        <v>0.09</v>
      </c>
      <c r="H1419" s="47">
        <v>9</v>
      </c>
      <c r="I1419" s="47">
        <v>0.35</v>
      </c>
      <c r="J1419" s="47">
        <v>918</v>
      </c>
      <c r="K1419" s="47">
        <v>0.1</v>
      </c>
      <c r="L1419" s="47">
        <v>0.16</v>
      </c>
      <c r="M1419" s="47">
        <v>0.93</v>
      </c>
      <c r="N1419" s="47">
        <v>60.08</v>
      </c>
      <c r="O1419" s="47">
        <v>0</v>
      </c>
    </row>
    <row r="1420" spans="2:15">
      <c r="B1420" s="88" t="s">
        <v>1833</v>
      </c>
      <c r="D1420" s="47">
        <v>132</v>
      </c>
      <c r="E1420" s="47">
        <v>3.75</v>
      </c>
      <c r="F1420" s="47">
        <v>3.87</v>
      </c>
      <c r="G1420" s="47">
        <v>0.41</v>
      </c>
      <c r="H1420" s="47">
        <v>6</v>
      </c>
      <c r="I1420" s="47">
        <v>0.63</v>
      </c>
      <c r="J1420" s="47">
        <v>2</v>
      </c>
      <c r="K1420" s="47">
        <v>0</v>
      </c>
      <c r="L1420" s="47">
        <v>0.05</v>
      </c>
      <c r="M1420" s="47">
        <v>0.75</v>
      </c>
      <c r="N1420" s="47">
        <v>2.88</v>
      </c>
      <c r="O1420" s="47">
        <v>0</v>
      </c>
    </row>
    <row r="1421" spans="2:15">
      <c r="B1421" s="88" t="s">
        <v>1832</v>
      </c>
      <c r="D1421" s="47">
        <v>292</v>
      </c>
      <c r="E1421" s="47">
        <v>26.63</v>
      </c>
      <c r="F1421" s="47">
        <v>50.64</v>
      </c>
      <c r="G1421" s="47">
        <v>5.48</v>
      </c>
      <c r="H1421" s="47">
        <v>1140</v>
      </c>
      <c r="I1421" s="47">
        <v>22.04</v>
      </c>
      <c r="J1421" s="47">
        <v>1152</v>
      </c>
      <c r="K1421" s="47">
        <v>0.2</v>
      </c>
      <c r="L1421" s="47">
        <v>2.38</v>
      </c>
      <c r="M1421" s="47">
        <v>9.94</v>
      </c>
      <c r="N1421" s="47">
        <v>125</v>
      </c>
      <c r="O1421" s="47">
        <v>0</v>
      </c>
    </row>
    <row r="1422" spans="2:15">
      <c r="B1422" s="88" t="s">
        <v>2112</v>
      </c>
      <c r="D1422" s="47">
        <v>300</v>
      </c>
      <c r="E1422" s="47">
        <v>9.3000000000000007</v>
      </c>
      <c r="F1422" s="47">
        <v>41.7</v>
      </c>
      <c r="G1422" s="47">
        <v>4.5999999999999996</v>
      </c>
    </row>
    <row r="1423" spans="2:15">
      <c r="B1423" s="88" t="s">
        <v>1836</v>
      </c>
      <c r="D1423" s="47">
        <v>205</v>
      </c>
      <c r="E1423" s="47">
        <v>5</v>
      </c>
      <c r="F1423" s="47">
        <v>19</v>
      </c>
      <c r="G1423" s="47">
        <v>12</v>
      </c>
      <c r="H1423" s="47">
        <v>0</v>
      </c>
      <c r="I1423" s="47">
        <v>0</v>
      </c>
      <c r="J1423" s="47">
        <v>0</v>
      </c>
      <c r="K1423" s="47">
        <v>0</v>
      </c>
      <c r="L1423" s="47">
        <v>0</v>
      </c>
      <c r="M1423" s="47">
        <v>0</v>
      </c>
      <c r="N1423" s="47">
        <v>0</v>
      </c>
      <c r="O1423" s="47">
        <v>0</v>
      </c>
    </row>
    <row r="1424" spans="2:15">
      <c r="B1424" s="88" t="s">
        <v>1837</v>
      </c>
      <c r="D1424" s="47">
        <v>370</v>
      </c>
      <c r="E1424" s="47">
        <v>28</v>
      </c>
      <c r="F1424" s="47">
        <v>33</v>
      </c>
      <c r="G1424" s="47">
        <v>15</v>
      </c>
      <c r="H1424" s="47">
        <v>357</v>
      </c>
      <c r="I1424" s="47">
        <v>0.8</v>
      </c>
      <c r="J1424" s="47">
        <v>0</v>
      </c>
      <c r="K1424" s="47">
        <v>0</v>
      </c>
      <c r="L1424" s="47">
        <v>0</v>
      </c>
      <c r="M1424" s="47">
        <v>0</v>
      </c>
      <c r="N1424" s="47">
        <v>0</v>
      </c>
      <c r="O1424" s="47">
        <v>0</v>
      </c>
    </row>
    <row r="1425" spans="2:15">
      <c r="B1425" s="88" t="s">
        <v>1838</v>
      </c>
      <c r="D1425" s="47">
        <v>270</v>
      </c>
      <c r="E1425" s="47">
        <v>19.5</v>
      </c>
      <c r="F1425" s="47">
        <v>39</v>
      </c>
      <c r="G1425" s="47">
        <v>4</v>
      </c>
      <c r="H1425" s="47">
        <v>0</v>
      </c>
      <c r="I1425" s="47">
        <v>0</v>
      </c>
      <c r="J1425" s="47">
        <v>0</v>
      </c>
      <c r="K1425" s="47">
        <v>0</v>
      </c>
      <c r="L1425" s="47">
        <v>0</v>
      </c>
      <c r="M1425" s="47">
        <v>0</v>
      </c>
      <c r="N1425" s="47">
        <v>0</v>
      </c>
      <c r="O1425" s="47">
        <v>0</v>
      </c>
    </row>
    <row r="1426" spans="2:15">
      <c r="B1426" s="88" t="s">
        <v>1839</v>
      </c>
      <c r="D1426" s="47">
        <v>185</v>
      </c>
      <c r="E1426" s="47">
        <v>1</v>
      </c>
      <c r="F1426" s="47">
        <v>20</v>
      </c>
      <c r="G1426" s="47">
        <v>11</v>
      </c>
      <c r="H1426" s="47">
        <v>0</v>
      </c>
      <c r="I1426" s="47">
        <v>0</v>
      </c>
      <c r="J1426" s="47">
        <v>0</v>
      </c>
      <c r="K1426" s="47">
        <v>0</v>
      </c>
      <c r="L1426" s="47">
        <v>0</v>
      </c>
      <c r="M1426" s="47">
        <v>0</v>
      </c>
      <c r="N1426" s="47">
        <v>0</v>
      </c>
      <c r="O1426" s="47">
        <v>0</v>
      </c>
    </row>
    <row r="1427" spans="2:15">
      <c r="B1427" s="88" t="s">
        <v>1840</v>
      </c>
      <c r="D1427" s="47">
        <v>466.67</v>
      </c>
      <c r="E1427" s="47">
        <v>6.67</v>
      </c>
      <c r="F1427" s="47">
        <v>73.33</v>
      </c>
      <c r="G1427" s="47">
        <v>16</v>
      </c>
      <c r="H1427" s="47">
        <v>0</v>
      </c>
      <c r="I1427" s="47">
        <v>0</v>
      </c>
      <c r="J1427" s="47">
        <v>0</v>
      </c>
      <c r="K1427" s="47">
        <v>0</v>
      </c>
      <c r="L1427" s="47">
        <v>0</v>
      </c>
      <c r="M1427" s="47">
        <v>0</v>
      </c>
      <c r="N1427" s="47">
        <v>0</v>
      </c>
      <c r="O1427" s="47">
        <v>0</v>
      </c>
    </row>
    <row r="1428" spans="2:15">
      <c r="B1428" s="88" t="s">
        <v>1932</v>
      </c>
      <c r="D1428" s="47">
        <v>466.67</v>
      </c>
      <c r="E1428" s="47">
        <v>6.67</v>
      </c>
      <c r="F1428" s="47">
        <v>73.33</v>
      </c>
      <c r="G1428" s="47">
        <v>16</v>
      </c>
      <c r="H1428" s="47">
        <v>0</v>
      </c>
      <c r="I1428" s="47">
        <v>0</v>
      </c>
      <c r="J1428" s="47">
        <v>0</v>
      </c>
      <c r="K1428" s="47">
        <v>0</v>
      </c>
      <c r="L1428" s="47">
        <v>0</v>
      </c>
      <c r="M1428" s="47">
        <v>0</v>
      </c>
      <c r="N1428" s="47">
        <v>0</v>
      </c>
      <c r="O1428" s="47">
        <v>0</v>
      </c>
    </row>
    <row r="1429" spans="2:15">
      <c r="B1429" s="88" t="s">
        <v>1841</v>
      </c>
      <c r="D1429" s="47">
        <v>91</v>
      </c>
      <c r="E1429" s="47">
        <v>0.38</v>
      </c>
      <c r="F1429" s="47">
        <v>25.07</v>
      </c>
      <c r="G1429" s="47">
        <v>0.12</v>
      </c>
      <c r="H1429" s="47">
        <v>51</v>
      </c>
      <c r="I1429" s="47">
        <v>0.25</v>
      </c>
      <c r="J1429" s="47">
        <v>141</v>
      </c>
      <c r="K1429" s="47">
        <v>0.02</v>
      </c>
      <c r="L1429" s="47">
        <v>0.01</v>
      </c>
      <c r="M1429" s="47">
        <v>0</v>
      </c>
      <c r="N1429" s="47">
        <v>0</v>
      </c>
      <c r="O1429" s="47">
        <v>0</v>
      </c>
    </row>
    <row r="1430" spans="2:15">
      <c r="B1430" s="88" t="s">
        <v>1942</v>
      </c>
      <c r="D1430" s="47">
        <v>91</v>
      </c>
      <c r="E1430" s="47">
        <v>0.38</v>
      </c>
      <c r="F1430" s="47">
        <v>25.07</v>
      </c>
      <c r="G1430" s="47">
        <v>0.12</v>
      </c>
      <c r="H1430" s="47">
        <v>51</v>
      </c>
      <c r="I1430" s="47">
        <v>0.25</v>
      </c>
      <c r="J1430" s="47">
        <v>141</v>
      </c>
      <c r="K1430" s="47">
        <v>0.02</v>
      </c>
      <c r="L1430" s="47">
        <v>0.01</v>
      </c>
      <c r="M1430" s="47">
        <v>0</v>
      </c>
      <c r="N1430" s="47">
        <v>0</v>
      </c>
      <c r="O1430" s="47">
        <v>0</v>
      </c>
    </row>
    <row r="1431" spans="2:15">
      <c r="B1431" s="88" t="s">
        <v>1842</v>
      </c>
      <c r="D1431" s="47">
        <v>445</v>
      </c>
      <c r="E1431" s="47">
        <v>1</v>
      </c>
      <c r="F1431" s="47">
        <v>9</v>
      </c>
      <c r="G1431" s="47">
        <v>45</v>
      </c>
      <c r="H1431" s="47">
        <v>0</v>
      </c>
      <c r="I1431" s="47">
        <v>0</v>
      </c>
      <c r="J1431" s="47">
        <v>0</v>
      </c>
      <c r="K1431" s="47">
        <v>0</v>
      </c>
      <c r="L1431" s="47">
        <v>0</v>
      </c>
      <c r="M1431" s="47">
        <v>0</v>
      </c>
      <c r="N1431" s="47">
        <v>0</v>
      </c>
      <c r="O1431" s="47">
        <v>0</v>
      </c>
    </row>
    <row r="1432" spans="2:15">
      <c r="B1432" s="88" t="s">
        <v>1843</v>
      </c>
      <c r="D1432" s="47">
        <v>11</v>
      </c>
      <c r="E1432" s="47">
        <v>1.6</v>
      </c>
      <c r="F1432" s="47">
        <v>1.81</v>
      </c>
      <c r="G1432" s="47">
        <v>0.13300000000000001</v>
      </c>
      <c r="H1432" s="47">
        <v>82</v>
      </c>
      <c r="I1432" s="47">
        <v>0.37</v>
      </c>
      <c r="J1432" s="47">
        <v>839</v>
      </c>
      <c r="K1432" s="47">
        <v>0.05</v>
      </c>
      <c r="L1432" s="47">
        <v>0.04</v>
      </c>
      <c r="M1432" s="47">
        <v>0.15</v>
      </c>
      <c r="N1432" s="47">
        <v>18.510000000000002</v>
      </c>
      <c r="O1432" s="47">
        <v>0</v>
      </c>
    </row>
    <row r="1433" spans="2:15">
      <c r="B1433" s="88" t="s">
        <v>1844</v>
      </c>
      <c r="D1433" s="47">
        <v>860</v>
      </c>
      <c r="E1433" s="47">
        <v>11</v>
      </c>
      <c r="F1433" s="47">
        <v>14</v>
      </c>
      <c r="G1433" s="47">
        <v>10</v>
      </c>
      <c r="H1433" s="47">
        <v>0</v>
      </c>
      <c r="I1433" s="47">
        <v>0</v>
      </c>
      <c r="J1433" s="47">
        <v>0</v>
      </c>
      <c r="K1433" s="47">
        <v>0</v>
      </c>
      <c r="L1433" s="47">
        <v>0</v>
      </c>
      <c r="M1433" s="47">
        <v>0</v>
      </c>
      <c r="N1433" s="47">
        <v>0</v>
      </c>
      <c r="O1433" s="47">
        <v>0</v>
      </c>
    </row>
    <row r="1434" spans="2:15">
      <c r="B1434" s="88" t="s">
        <v>1845</v>
      </c>
      <c r="D1434" s="47">
        <v>22.5</v>
      </c>
      <c r="E1434" s="47">
        <v>0.95</v>
      </c>
      <c r="F1434" s="47">
        <v>4.5</v>
      </c>
      <c r="G1434" s="47">
        <v>0.05</v>
      </c>
      <c r="H1434" s="47">
        <v>0</v>
      </c>
      <c r="I1434" s="47">
        <v>0</v>
      </c>
      <c r="J1434" s="47">
        <v>0</v>
      </c>
      <c r="K1434" s="47">
        <v>0</v>
      </c>
      <c r="L1434" s="47">
        <v>0</v>
      </c>
      <c r="M1434" s="47">
        <v>0</v>
      </c>
      <c r="N1434" s="47">
        <v>0</v>
      </c>
      <c r="O1434" s="47">
        <v>0</v>
      </c>
    </row>
    <row r="1435" spans="2:15">
      <c r="B1435" s="88" t="s">
        <v>1846</v>
      </c>
      <c r="D1435" s="47">
        <v>164.29</v>
      </c>
      <c r="E1435" s="47">
        <v>4.29</v>
      </c>
      <c r="F1435" s="47">
        <v>17.14</v>
      </c>
      <c r="G1435" s="47">
        <v>8.57</v>
      </c>
      <c r="H1435" s="47">
        <v>0</v>
      </c>
      <c r="I1435" s="47">
        <v>0</v>
      </c>
      <c r="J1435" s="47">
        <v>0</v>
      </c>
      <c r="K1435" s="47">
        <v>0</v>
      </c>
      <c r="L1435" s="47">
        <v>0</v>
      </c>
      <c r="M1435" s="47">
        <v>0</v>
      </c>
      <c r="N1435" s="47">
        <v>0</v>
      </c>
      <c r="O1435" s="47">
        <v>0</v>
      </c>
    </row>
    <row r="1436" spans="2:15">
      <c r="B1436" s="88" t="s">
        <v>1847</v>
      </c>
      <c r="D1436" s="47">
        <v>22</v>
      </c>
      <c r="E1436" s="47">
        <v>0.9</v>
      </c>
      <c r="F1436" s="47">
        <v>5.36</v>
      </c>
      <c r="G1436" s="47">
        <v>0.04</v>
      </c>
      <c r="H1436" s="47">
        <v>14</v>
      </c>
      <c r="I1436" s="47">
        <v>0.5</v>
      </c>
      <c r="J1436" s="47">
        <v>198</v>
      </c>
      <c r="K1436" s="47">
        <v>0.01</v>
      </c>
      <c r="L1436" s="47">
        <v>0.04</v>
      </c>
      <c r="M1436" s="47">
        <v>0.92</v>
      </c>
      <c r="N1436" s="47">
        <v>21.52</v>
      </c>
      <c r="O1436" s="47">
        <v>0</v>
      </c>
    </row>
    <row r="1437" spans="2:15">
      <c r="B1437" s="88" t="s">
        <v>1848</v>
      </c>
      <c r="D1437" s="47">
        <v>165</v>
      </c>
      <c r="E1437" s="47">
        <v>0.7</v>
      </c>
      <c r="F1437" s="47">
        <v>40</v>
      </c>
      <c r="G1437" s="47">
        <v>0</v>
      </c>
      <c r="H1437" s="47">
        <v>0</v>
      </c>
      <c r="I1437" s="47">
        <v>0</v>
      </c>
      <c r="J1437" s="47">
        <v>0</v>
      </c>
      <c r="K1437" s="47">
        <v>0</v>
      </c>
      <c r="L1437" s="47">
        <v>0</v>
      </c>
      <c r="M1437" s="47">
        <v>0</v>
      </c>
      <c r="N1437" s="47">
        <v>0</v>
      </c>
      <c r="O1437" s="47">
        <v>0</v>
      </c>
    </row>
    <row r="1438" spans="2:15">
      <c r="B1438" s="88" t="s">
        <v>1849</v>
      </c>
      <c r="D1438" s="47">
        <v>435</v>
      </c>
      <c r="E1438" s="47">
        <v>34</v>
      </c>
      <c r="F1438" s="47">
        <v>37</v>
      </c>
      <c r="G1438" s="47">
        <v>17</v>
      </c>
      <c r="H1438" s="47">
        <v>0</v>
      </c>
      <c r="I1438" s="47">
        <v>0</v>
      </c>
      <c r="J1438" s="47">
        <v>0</v>
      </c>
      <c r="K1438" s="47">
        <v>0</v>
      </c>
      <c r="L1438" s="47">
        <v>0</v>
      </c>
      <c r="M1438" s="47">
        <v>0</v>
      </c>
      <c r="N1438" s="47">
        <v>0</v>
      </c>
      <c r="O1438" s="47">
        <v>0</v>
      </c>
    </row>
    <row r="1439" spans="2:15">
      <c r="B1439" s="88" t="s">
        <v>1850</v>
      </c>
      <c r="D1439" s="47">
        <v>15</v>
      </c>
      <c r="E1439" s="47">
        <v>0</v>
      </c>
      <c r="F1439" s="47">
        <v>4</v>
      </c>
      <c r="G1439" s="47">
        <v>0</v>
      </c>
      <c r="H1439" s="47">
        <v>0</v>
      </c>
      <c r="I1439" s="47">
        <v>0</v>
      </c>
      <c r="J1439" s="47">
        <v>0</v>
      </c>
      <c r="K1439" s="47">
        <v>0</v>
      </c>
      <c r="L1439" s="47">
        <v>0</v>
      </c>
      <c r="M1439" s="47">
        <v>0</v>
      </c>
      <c r="N1439" s="47">
        <v>0</v>
      </c>
      <c r="O1439" s="47">
        <v>0</v>
      </c>
    </row>
    <row r="1440" spans="2:15">
      <c r="B1440" s="88" t="s">
        <v>1925</v>
      </c>
      <c r="D1440" s="47">
        <v>15</v>
      </c>
      <c r="E1440" s="47">
        <v>0</v>
      </c>
      <c r="F1440" s="47">
        <v>4</v>
      </c>
      <c r="G1440" s="47">
        <v>0</v>
      </c>
      <c r="H1440" s="47">
        <v>0</v>
      </c>
      <c r="I1440" s="47">
        <v>0</v>
      </c>
      <c r="J1440" s="47">
        <v>0</v>
      </c>
      <c r="K1440" s="47">
        <v>0</v>
      </c>
      <c r="L1440" s="47">
        <v>0</v>
      </c>
      <c r="M1440" s="47">
        <v>0</v>
      </c>
      <c r="N1440" s="47">
        <v>0</v>
      </c>
      <c r="O1440" s="47">
        <v>0</v>
      </c>
    </row>
    <row r="1441" spans="2:15">
      <c r="B1441" s="88" t="s">
        <v>1851</v>
      </c>
      <c r="D1441" s="47">
        <v>124</v>
      </c>
      <c r="E1441" s="47">
        <v>6.2</v>
      </c>
      <c r="F1441" s="47">
        <v>49</v>
      </c>
      <c r="G1441" s="47">
        <v>1</v>
      </c>
      <c r="H1441" s="47">
        <v>11.8</v>
      </c>
      <c r="I1441" s="47">
        <v>0.4</v>
      </c>
      <c r="J1441" s="47">
        <v>0</v>
      </c>
      <c r="K1441" s="47">
        <v>0</v>
      </c>
      <c r="L1441" s="47">
        <v>0</v>
      </c>
      <c r="M1441" s="47">
        <v>0</v>
      </c>
      <c r="N1441" s="47">
        <v>0</v>
      </c>
      <c r="O1441" s="47">
        <v>0</v>
      </c>
    </row>
    <row r="1442" spans="2:15">
      <c r="B1442" s="88" t="s">
        <v>2054</v>
      </c>
      <c r="D1442" s="47">
        <v>240</v>
      </c>
      <c r="E1442" s="47">
        <v>5</v>
      </c>
      <c r="F1442" s="47">
        <v>5.3</v>
      </c>
      <c r="G1442" s="47">
        <v>0.6</v>
      </c>
      <c r="H1442" s="47">
        <v>0</v>
      </c>
      <c r="I1442" s="47">
        <v>0</v>
      </c>
      <c r="J1442" s="47">
        <v>0</v>
      </c>
      <c r="K1442" s="47">
        <v>0</v>
      </c>
      <c r="L1442" s="47">
        <v>0</v>
      </c>
      <c r="M1442" s="47">
        <v>0</v>
      </c>
      <c r="N1442" s="47">
        <v>0</v>
      </c>
      <c r="O1442" s="47">
        <v>0</v>
      </c>
    </row>
    <row r="1443" spans="2:15">
      <c r="B1443" s="88" t="s">
        <v>1852</v>
      </c>
      <c r="D1443" s="47">
        <v>120</v>
      </c>
      <c r="E1443" s="47">
        <v>1</v>
      </c>
      <c r="F1443" s="47">
        <v>29</v>
      </c>
      <c r="G1443" s="47">
        <v>0</v>
      </c>
      <c r="H1443" s="47">
        <v>0</v>
      </c>
      <c r="I1443" s="47">
        <v>0</v>
      </c>
      <c r="J1443" s="47">
        <v>0</v>
      </c>
      <c r="K1443" s="47">
        <v>0</v>
      </c>
      <c r="L1443" s="47">
        <v>0</v>
      </c>
      <c r="M1443" s="47">
        <v>0</v>
      </c>
      <c r="N1443" s="47">
        <v>0</v>
      </c>
      <c r="O1443" s="47">
        <v>0</v>
      </c>
    </row>
    <row r="1444" spans="2:15">
      <c r="B1444" s="88" t="s">
        <v>1686</v>
      </c>
      <c r="D1444" s="47">
        <v>307</v>
      </c>
      <c r="E1444" s="47">
        <v>37.69</v>
      </c>
      <c r="F1444" s="47">
        <v>4.82</v>
      </c>
      <c r="G1444" s="47">
        <v>49.2</v>
      </c>
      <c r="H1444" s="47">
        <v>174</v>
      </c>
      <c r="I1444" s="47">
        <v>5.78</v>
      </c>
      <c r="J1444" s="47">
        <v>11891</v>
      </c>
      <c r="K1444" s="47">
        <v>0.02</v>
      </c>
      <c r="L1444" s="47">
        <v>1.34</v>
      </c>
      <c r="M1444" s="47">
        <v>6.89</v>
      </c>
      <c r="N1444" s="47">
        <v>78.11</v>
      </c>
      <c r="O1444" s="47">
        <v>0</v>
      </c>
    </row>
    <row r="1445" spans="2:15">
      <c r="B1445" s="88" t="s">
        <v>1854</v>
      </c>
      <c r="D1445" s="47">
        <v>27</v>
      </c>
      <c r="E1445" s="47">
        <v>2.17</v>
      </c>
      <c r="F1445" s="47">
        <v>4.84</v>
      </c>
      <c r="G1445" s="47">
        <v>0.48</v>
      </c>
      <c r="H1445" s="47">
        <v>14</v>
      </c>
      <c r="I1445" s="47">
        <v>0.33</v>
      </c>
      <c r="J1445" s="47">
        <v>9</v>
      </c>
      <c r="K1445" s="47">
        <v>0.21</v>
      </c>
      <c r="L1445" s="47">
        <v>0.01</v>
      </c>
      <c r="M1445" s="47">
        <v>0.28000000000000003</v>
      </c>
      <c r="N1445" s="47">
        <v>33.44</v>
      </c>
      <c r="O1445" s="47">
        <v>0</v>
      </c>
    </row>
    <row r="1446" spans="2:15">
      <c r="B1446" s="88" t="s">
        <v>1853</v>
      </c>
      <c r="D1446" s="47">
        <v>900</v>
      </c>
      <c r="E1446" s="47">
        <v>0</v>
      </c>
      <c r="F1446" s="47">
        <v>0</v>
      </c>
      <c r="G1446" s="47">
        <v>100</v>
      </c>
      <c r="H1446" s="47">
        <v>0</v>
      </c>
      <c r="I1446" s="47">
        <v>0</v>
      </c>
      <c r="J1446" s="47">
        <v>0</v>
      </c>
      <c r="K1446" s="47">
        <v>0</v>
      </c>
      <c r="L1446" s="47">
        <v>0</v>
      </c>
      <c r="M1446" s="47">
        <v>0</v>
      </c>
      <c r="N1446" s="47">
        <v>0</v>
      </c>
      <c r="O1446" s="47">
        <v>0</v>
      </c>
    </row>
    <row r="1447" spans="2:15">
      <c r="B1447" s="88" t="s">
        <v>1855</v>
      </c>
      <c r="D1447" s="47">
        <v>190</v>
      </c>
      <c r="E1447" s="47">
        <v>10</v>
      </c>
      <c r="F1447" s="47">
        <v>20</v>
      </c>
      <c r="G1447" s="47">
        <v>8</v>
      </c>
      <c r="H1447" s="47">
        <v>0</v>
      </c>
      <c r="I1447" s="47">
        <v>0</v>
      </c>
      <c r="J1447" s="47">
        <v>0</v>
      </c>
      <c r="K1447" s="47">
        <v>0</v>
      </c>
      <c r="L1447" s="47">
        <v>0</v>
      </c>
      <c r="M1447" s="47">
        <v>0</v>
      </c>
      <c r="N1447" s="47">
        <v>0</v>
      </c>
      <c r="O1447" s="47">
        <v>0</v>
      </c>
    </row>
    <row r="1448" spans="2:15">
      <c r="B1448" s="88" t="s">
        <v>1856</v>
      </c>
      <c r="D1448" s="47">
        <v>113</v>
      </c>
      <c r="E1448" s="47">
        <v>3.7</v>
      </c>
      <c r="F1448" s="47">
        <v>23.9</v>
      </c>
      <c r="G1448" s="47">
        <v>0.3</v>
      </c>
      <c r="H1448" s="47">
        <v>129.5</v>
      </c>
      <c r="I1448" s="47">
        <v>0</v>
      </c>
      <c r="J1448" s="47">
        <v>0</v>
      </c>
      <c r="K1448" s="47">
        <v>0</v>
      </c>
      <c r="L1448" s="47">
        <v>0</v>
      </c>
      <c r="M1448" s="47">
        <v>0</v>
      </c>
      <c r="N1448" s="47">
        <v>0</v>
      </c>
      <c r="O1448" s="47">
        <v>0</v>
      </c>
    </row>
    <row r="1449" spans="2:15">
      <c r="B1449" s="88" t="s">
        <v>1604</v>
      </c>
      <c r="D1449" s="47">
        <v>35</v>
      </c>
      <c r="E1449" s="47">
        <v>0</v>
      </c>
      <c r="F1449" s="47">
        <v>35</v>
      </c>
      <c r="G1449" s="47">
        <v>0</v>
      </c>
      <c r="H1449" s="47">
        <v>0.6</v>
      </c>
      <c r="I1449" s="47">
        <v>0.4</v>
      </c>
      <c r="J1449" s="47">
        <v>35</v>
      </c>
      <c r="K1449" s="47">
        <v>0.1</v>
      </c>
      <c r="L1449" s="47">
        <v>0.02</v>
      </c>
      <c r="M1449" s="47">
        <v>0.1</v>
      </c>
      <c r="N1449" s="47">
        <v>10</v>
      </c>
      <c r="O1449" s="47">
        <v>0</v>
      </c>
    </row>
    <row r="1450" spans="2:15">
      <c r="B1450" s="88" t="s">
        <v>1857</v>
      </c>
      <c r="D1450" s="47">
        <v>155</v>
      </c>
      <c r="E1450" s="47">
        <v>18.22</v>
      </c>
      <c r="F1450" s="47">
        <v>36.03</v>
      </c>
      <c r="G1450" s="47">
        <v>14.17</v>
      </c>
      <c r="H1450" s="47">
        <v>0</v>
      </c>
      <c r="I1450" s="47">
        <v>0</v>
      </c>
      <c r="J1450" s="47">
        <v>0</v>
      </c>
      <c r="K1450" s="47">
        <v>0</v>
      </c>
      <c r="L1450" s="47">
        <v>0</v>
      </c>
      <c r="M1450" s="47">
        <v>0</v>
      </c>
      <c r="N1450" s="47">
        <v>0</v>
      </c>
      <c r="O1450" s="47">
        <v>0</v>
      </c>
    </row>
    <row r="1451" spans="2:15">
      <c r="B1451" s="88" t="s">
        <v>1858</v>
      </c>
      <c r="D1451" s="47">
        <v>276</v>
      </c>
      <c r="E1451" s="47">
        <v>4</v>
      </c>
      <c r="F1451" s="47">
        <v>60</v>
      </c>
      <c r="G1451" s="47">
        <v>2.4</v>
      </c>
      <c r="H1451" s="47">
        <v>0</v>
      </c>
      <c r="I1451" s="47">
        <v>0</v>
      </c>
      <c r="J1451" s="47">
        <v>0</v>
      </c>
      <c r="K1451" s="47">
        <v>0</v>
      </c>
      <c r="L1451" s="47">
        <v>0</v>
      </c>
      <c r="M1451" s="47">
        <v>0</v>
      </c>
      <c r="N1451" s="47">
        <v>0</v>
      </c>
      <c r="O1451" s="47">
        <v>0</v>
      </c>
    </row>
    <row r="1452" spans="2:15">
      <c r="B1452" s="88" t="s">
        <v>1862</v>
      </c>
      <c r="D1452" s="47">
        <v>355</v>
      </c>
      <c r="E1452" s="47">
        <v>1</v>
      </c>
      <c r="F1452" s="47">
        <v>25</v>
      </c>
      <c r="G1452" s="47">
        <v>28</v>
      </c>
      <c r="H1452" s="47">
        <v>0</v>
      </c>
      <c r="I1452" s="47">
        <v>0</v>
      </c>
      <c r="J1452" s="47">
        <v>0</v>
      </c>
      <c r="K1452" s="47">
        <v>0</v>
      </c>
      <c r="L1452" s="47">
        <v>0</v>
      </c>
      <c r="M1452" s="47">
        <v>0</v>
      </c>
      <c r="N1452" s="47">
        <v>0</v>
      </c>
      <c r="O1452" s="47">
        <v>0</v>
      </c>
    </row>
    <row r="1453" spans="2:15">
      <c r="B1453" s="88" t="s">
        <v>1860</v>
      </c>
      <c r="D1453" s="47">
        <v>165</v>
      </c>
      <c r="E1453" s="47">
        <v>5</v>
      </c>
      <c r="F1453" s="47">
        <v>18</v>
      </c>
      <c r="G1453" s="47">
        <v>8</v>
      </c>
      <c r="H1453" s="47">
        <v>0</v>
      </c>
      <c r="I1453" s="47">
        <v>0</v>
      </c>
      <c r="J1453" s="47">
        <v>0</v>
      </c>
      <c r="K1453" s="47">
        <v>0</v>
      </c>
      <c r="L1453" s="47">
        <v>0</v>
      </c>
      <c r="M1453" s="47">
        <v>0</v>
      </c>
      <c r="N1453" s="47">
        <v>0</v>
      </c>
      <c r="O1453" s="47">
        <v>0</v>
      </c>
    </row>
    <row r="1454" spans="2:15">
      <c r="B1454" s="88" t="s">
        <v>1861</v>
      </c>
      <c r="D1454" s="47">
        <v>491</v>
      </c>
      <c r="E1454" s="47">
        <v>15.4</v>
      </c>
      <c r="F1454" s="47">
        <v>55.9</v>
      </c>
      <c r="G1454" s="47">
        <v>22.2</v>
      </c>
      <c r="H1454" s="47">
        <v>0</v>
      </c>
      <c r="I1454" s="47">
        <v>0</v>
      </c>
      <c r="J1454" s="47">
        <v>0</v>
      </c>
      <c r="K1454" s="47">
        <v>0</v>
      </c>
      <c r="L1454" s="47">
        <v>0</v>
      </c>
      <c r="M1454" s="47">
        <v>0</v>
      </c>
      <c r="N1454" s="47">
        <v>0</v>
      </c>
      <c r="O1454" s="47">
        <v>0</v>
      </c>
    </row>
    <row r="1455" spans="2:15">
      <c r="B1455" s="88" t="s">
        <v>1859</v>
      </c>
      <c r="D1455" s="47">
        <v>192.8</v>
      </c>
      <c r="E1455" s="47">
        <v>0.3</v>
      </c>
      <c r="F1455" s="47">
        <v>44.5</v>
      </c>
      <c r="G1455" s="47">
        <v>1.6</v>
      </c>
      <c r="H1455" s="47">
        <v>25.7</v>
      </c>
      <c r="I1455" s="47">
        <v>0.2</v>
      </c>
      <c r="J1455" s="47">
        <v>0</v>
      </c>
      <c r="K1455" s="47">
        <v>0</v>
      </c>
      <c r="L1455" s="47">
        <v>0</v>
      </c>
      <c r="M1455" s="47">
        <v>0</v>
      </c>
      <c r="N1455" s="47">
        <v>0</v>
      </c>
      <c r="O1455" s="47">
        <v>0</v>
      </c>
    </row>
    <row r="1456" spans="2:15">
      <c r="B1456" s="88" t="s">
        <v>2113</v>
      </c>
      <c r="D1456" s="47">
        <v>280</v>
      </c>
      <c r="E1456" s="47">
        <v>14</v>
      </c>
      <c r="F1456" s="47">
        <v>16</v>
      </c>
      <c r="G1456" s="47">
        <v>18</v>
      </c>
    </row>
    <row r="1457" spans="2:15">
      <c r="B1457" s="88" t="s">
        <v>1863</v>
      </c>
      <c r="D1457" s="47">
        <v>197</v>
      </c>
      <c r="E1457" s="47">
        <v>12</v>
      </c>
      <c r="F1457" s="47">
        <v>12</v>
      </c>
      <c r="G1457" s="47">
        <v>11</v>
      </c>
      <c r="H1457" s="47">
        <v>0</v>
      </c>
      <c r="I1457" s="47">
        <v>0</v>
      </c>
      <c r="J1457" s="47">
        <v>0</v>
      </c>
      <c r="K1457" s="47">
        <v>0</v>
      </c>
      <c r="L1457" s="47">
        <v>0</v>
      </c>
      <c r="M1457" s="47">
        <v>0</v>
      </c>
      <c r="N1457" s="47">
        <v>0</v>
      </c>
      <c r="O1457" s="47">
        <v>0</v>
      </c>
    </row>
    <row r="1458" spans="2:15">
      <c r="B1458" s="88" t="s">
        <v>1953</v>
      </c>
      <c r="D1458" s="47">
        <v>197</v>
      </c>
      <c r="E1458" s="47">
        <v>12</v>
      </c>
      <c r="F1458" s="47">
        <v>12</v>
      </c>
      <c r="G1458" s="47">
        <v>11</v>
      </c>
      <c r="H1458" s="47">
        <v>0</v>
      </c>
      <c r="I1458" s="47">
        <v>0</v>
      </c>
      <c r="J1458" s="47">
        <v>0</v>
      </c>
      <c r="K1458" s="47">
        <v>0</v>
      </c>
      <c r="L1458" s="47">
        <v>0</v>
      </c>
      <c r="M1458" s="47">
        <v>0</v>
      </c>
      <c r="N1458" s="47">
        <v>0</v>
      </c>
      <c r="O1458" s="47">
        <v>0</v>
      </c>
    </row>
    <row r="1459" spans="2:15">
      <c r="B1459" s="58" t="s">
        <v>2114</v>
      </c>
      <c r="D1459" s="47">
        <v>100</v>
      </c>
      <c r="E1459" s="47">
        <v>4</v>
      </c>
      <c r="F1459" s="47">
        <v>14</v>
      </c>
      <c r="G1459" s="47">
        <v>3</v>
      </c>
      <c r="H1459" s="47">
        <v>50</v>
      </c>
    </row>
    <row r="1460" spans="2:15">
      <c r="B1460" s="88" t="s">
        <v>1864</v>
      </c>
      <c r="D1460" s="47">
        <v>192.8</v>
      </c>
      <c r="E1460" s="47">
        <v>0.3</v>
      </c>
      <c r="F1460" s="47">
        <v>44.5</v>
      </c>
      <c r="G1460" s="47">
        <v>1.6</v>
      </c>
      <c r="H1460" s="47">
        <v>25.7</v>
      </c>
      <c r="I1460" s="47">
        <v>0.2</v>
      </c>
      <c r="J1460" s="47">
        <v>0</v>
      </c>
      <c r="K1460" s="47">
        <v>0</v>
      </c>
      <c r="L1460" s="47">
        <v>0</v>
      </c>
      <c r="M1460" s="47">
        <v>0</v>
      </c>
      <c r="N1460" s="47">
        <v>0</v>
      </c>
      <c r="O1460" s="47">
        <v>0</v>
      </c>
    </row>
    <row r="1461" spans="2:15">
      <c r="B1461" s="88" t="s">
        <v>1865</v>
      </c>
      <c r="D1461" s="47">
        <v>230</v>
      </c>
      <c r="E1461" s="47">
        <v>6</v>
      </c>
      <c r="F1461" s="47">
        <v>51</v>
      </c>
      <c r="G1461" s="47">
        <v>12</v>
      </c>
      <c r="H1461" s="47">
        <v>109</v>
      </c>
      <c r="I1461" s="47">
        <v>0.3</v>
      </c>
    </row>
    <row r="1462" spans="2:15">
      <c r="B1462" s="58"/>
    </row>
    <row r="1463" spans="2:15">
      <c r="B1463" s="89" t="s">
        <v>1866</v>
      </c>
      <c r="D1463" s="47">
        <v>223</v>
      </c>
      <c r="E1463" s="47">
        <v>10</v>
      </c>
      <c r="F1463" s="47">
        <v>30</v>
      </c>
      <c r="G1463" s="47">
        <v>7</v>
      </c>
      <c r="H1463" s="47">
        <v>0</v>
      </c>
      <c r="I1463" s="47">
        <v>0</v>
      </c>
      <c r="J1463" s="47">
        <v>0</v>
      </c>
      <c r="K1463" s="47">
        <v>0</v>
      </c>
      <c r="L1463" s="47">
        <v>0</v>
      </c>
      <c r="M1463" s="47">
        <v>0</v>
      </c>
      <c r="N1463" s="47">
        <v>0</v>
      </c>
      <c r="O1463" s="47">
        <v>0</v>
      </c>
    </row>
    <row r="1464" spans="2:15">
      <c r="B1464" s="52" t="s">
        <v>2430</v>
      </c>
      <c r="D1464" s="47">
        <v>105</v>
      </c>
      <c r="E1464" s="47">
        <v>0</v>
      </c>
      <c r="F1464" s="47">
        <v>22</v>
      </c>
      <c r="G1464" s="47">
        <v>1.7</v>
      </c>
      <c r="H1464" s="47">
        <v>0</v>
      </c>
      <c r="I1464" s="47">
        <v>0</v>
      </c>
      <c r="J1464" s="47">
        <v>0</v>
      </c>
      <c r="K1464" s="47">
        <v>0</v>
      </c>
      <c r="L1464" s="47">
        <v>0</v>
      </c>
      <c r="M1464" s="47">
        <v>0</v>
      </c>
      <c r="N1464" s="47">
        <v>0</v>
      </c>
      <c r="O1464" s="47">
        <v>0</v>
      </c>
    </row>
    <row r="1465" spans="2:15">
      <c r="B1465" s="52" t="s">
        <v>1867</v>
      </c>
      <c r="D1465" s="47">
        <v>105</v>
      </c>
      <c r="E1465" s="47">
        <v>0</v>
      </c>
      <c r="F1465" s="47">
        <v>22</v>
      </c>
      <c r="G1465" s="47">
        <v>1.7</v>
      </c>
      <c r="H1465" s="47">
        <v>0</v>
      </c>
      <c r="I1465" s="47">
        <v>0</v>
      </c>
      <c r="J1465" s="47">
        <v>0</v>
      </c>
      <c r="K1465" s="47">
        <v>0</v>
      </c>
      <c r="L1465" s="47">
        <v>0</v>
      </c>
      <c r="M1465" s="47">
        <v>0</v>
      </c>
      <c r="N1465" s="47">
        <v>0</v>
      </c>
      <c r="O1465" s="47">
        <v>0</v>
      </c>
    </row>
    <row r="1466" spans="2:15">
      <c r="B1466" s="52" t="s">
        <v>2087</v>
      </c>
      <c r="D1466" s="47">
        <v>310</v>
      </c>
      <c r="E1466" s="47">
        <v>14</v>
      </c>
      <c r="F1466" s="47">
        <v>4</v>
      </c>
      <c r="G1466" s="47">
        <v>26</v>
      </c>
    </row>
    <row r="1467" spans="2:15">
      <c r="B1467" s="52" t="s">
        <v>2388</v>
      </c>
      <c r="D1467" s="47">
        <v>455</v>
      </c>
      <c r="E1467" s="47">
        <v>4</v>
      </c>
      <c r="F1467" s="47">
        <v>63</v>
      </c>
      <c r="G1467" s="47">
        <v>21</v>
      </c>
      <c r="I1467" s="47">
        <v>0</v>
      </c>
      <c r="J1467" s="47">
        <v>0</v>
      </c>
      <c r="K1467" s="47">
        <v>0</v>
      </c>
      <c r="L1467" s="47">
        <v>0</v>
      </c>
      <c r="M1467" s="47">
        <v>0</v>
      </c>
      <c r="N1467" s="47">
        <v>0</v>
      </c>
      <c r="O1467" s="47">
        <v>0</v>
      </c>
    </row>
    <row r="1468" spans="2:15">
      <c r="B1468" s="52" t="s">
        <v>1888</v>
      </c>
      <c r="D1468" s="47">
        <v>105</v>
      </c>
      <c r="E1468" s="47">
        <v>0</v>
      </c>
      <c r="F1468" s="47">
        <v>22</v>
      </c>
      <c r="G1468" s="47">
        <v>1.7</v>
      </c>
      <c r="H1468" s="47">
        <v>0</v>
      </c>
      <c r="I1468" s="47">
        <v>0</v>
      </c>
      <c r="J1468" s="47">
        <v>0</v>
      </c>
      <c r="K1468" s="47">
        <v>0</v>
      </c>
      <c r="L1468" s="47">
        <v>0</v>
      </c>
      <c r="M1468" s="47">
        <v>0</v>
      </c>
      <c r="N1468" s="47">
        <v>0</v>
      </c>
      <c r="O1468" s="47">
        <v>0</v>
      </c>
    </row>
    <row r="1469" spans="2:15">
      <c r="B1469" s="58" t="s">
        <v>1868</v>
      </c>
      <c r="D1469" s="47">
        <v>105</v>
      </c>
      <c r="E1469" s="47">
        <v>2.4</v>
      </c>
      <c r="F1469" s="47">
        <v>13.9</v>
      </c>
      <c r="H1469" s="47">
        <v>4</v>
      </c>
      <c r="I1469" s="47">
        <v>0.6</v>
      </c>
    </row>
    <row r="1470" spans="2:15">
      <c r="B1470" s="58"/>
    </row>
    <row r="1471" spans="2:15">
      <c r="B1471" s="58" t="s">
        <v>2074</v>
      </c>
      <c r="D1471" s="47">
        <v>230</v>
      </c>
      <c r="E1471" s="47">
        <v>2.4</v>
      </c>
      <c r="F1471" s="47">
        <v>13.9</v>
      </c>
      <c r="H1471" s="47">
        <v>4</v>
      </c>
      <c r="I1471" s="47">
        <v>0.6</v>
      </c>
    </row>
    <row r="1472" spans="2:15">
      <c r="B1472" s="58" t="s">
        <v>1869</v>
      </c>
      <c r="D1472" s="47">
        <v>2.2599999999999998</v>
      </c>
      <c r="E1472" s="47">
        <v>0.43</v>
      </c>
      <c r="F1472" s="47">
        <v>0.05</v>
      </c>
      <c r="H1472" s="47">
        <v>6.2</v>
      </c>
    </row>
    <row r="1473" spans="2:15">
      <c r="B1473" s="58" t="s">
        <v>1870</v>
      </c>
      <c r="D1473" s="47">
        <v>181.25</v>
      </c>
      <c r="E1473" s="47">
        <v>13</v>
      </c>
      <c r="F1473" s="47">
        <v>12.1</v>
      </c>
      <c r="G1473" s="47">
        <v>18.3</v>
      </c>
    </row>
    <row r="1474" spans="2:15">
      <c r="B1474" s="58" t="s">
        <v>1522</v>
      </c>
      <c r="D1474" s="47">
        <v>186</v>
      </c>
      <c r="E1474" s="47">
        <v>8.5</v>
      </c>
      <c r="F1474" s="47">
        <v>26.3</v>
      </c>
      <c r="G1474" s="47">
        <v>5.2</v>
      </c>
      <c r="H1474" s="47">
        <v>31</v>
      </c>
      <c r="I1474" s="47">
        <v>1.3</v>
      </c>
    </row>
    <row r="1475" spans="2:15">
      <c r="B1475" s="58" t="s">
        <v>2433</v>
      </c>
      <c r="D1475" s="47">
        <v>298</v>
      </c>
      <c r="E1475" s="47">
        <v>5.5</v>
      </c>
      <c r="F1475" s="47">
        <v>52.9</v>
      </c>
    </row>
    <row r="1476" spans="2:15">
      <c r="B1476" s="58" t="s">
        <v>1871</v>
      </c>
      <c r="D1476" s="47">
        <v>188</v>
      </c>
      <c r="E1476" s="47">
        <v>2.2000000000000002</v>
      </c>
      <c r="F1476" s="47">
        <v>38.1</v>
      </c>
      <c r="G1476" s="47">
        <v>3</v>
      </c>
    </row>
    <row r="1477" spans="2:15">
      <c r="B1477" s="58" t="s">
        <v>1872</v>
      </c>
      <c r="D1477" s="47">
        <v>124</v>
      </c>
      <c r="E1477" s="47">
        <v>16.399999999999999</v>
      </c>
      <c r="G1477" s="47">
        <v>6.1</v>
      </c>
    </row>
    <row r="1478" spans="2:15">
      <c r="B1478" s="58" t="s">
        <v>1830</v>
      </c>
      <c r="D1478" s="47">
        <v>359</v>
      </c>
      <c r="E1478" s="47">
        <v>7.4</v>
      </c>
      <c r="F1478" s="47">
        <v>81.900000000000006</v>
      </c>
      <c r="G1478" s="47">
        <v>0.4</v>
      </c>
      <c r="H1478" s="47">
        <v>4</v>
      </c>
    </row>
    <row r="1479" spans="2:15">
      <c r="B1479" s="58" t="s">
        <v>2063</v>
      </c>
      <c r="D1479" s="47">
        <v>220</v>
      </c>
      <c r="E1479" s="47">
        <v>11</v>
      </c>
      <c r="F1479" s="47">
        <v>19</v>
      </c>
      <c r="G1479" s="47">
        <v>11</v>
      </c>
    </row>
    <row r="1480" spans="2:15">
      <c r="B1480" s="58" t="s">
        <v>1902</v>
      </c>
      <c r="D1480" s="47">
        <v>125</v>
      </c>
      <c r="E1480" s="47">
        <v>2</v>
      </c>
      <c r="F1480" s="47">
        <v>20</v>
      </c>
      <c r="G1480" s="47">
        <v>3.8</v>
      </c>
      <c r="H1480" s="47">
        <v>0</v>
      </c>
      <c r="I1480" s="47">
        <v>0</v>
      </c>
      <c r="J1480" s="47">
        <v>0</v>
      </c>
      <c r="K1480" s="47">
        <v>0</v>
      </c>
      <c r="L1480" s="47">
        <v>0</v>
      </c>
      <c r="M1480" s="47">
        <v>0</v>
      </c>
      <c r="N1480" s="47">
        <v>0</v>
      </c>
      <c r="O1480" s="47">
        <v>0</v>
      </c>
    </row>
    <row r="1481" spans="2:15">
      <c r="B1481" s="58" t="s">
        <v>1952</v>
      </c>
      <c r="D1481" s="47">
        <v>312</v>
      </c>
      <c r="E1481" s="47">
        <v>8</v>
      </c>
      <c r="F1481" s="47">
        <v>52</v>
      </c>
      <c r="G1481" s="47">
        <v>8</v>
      </c>
      <c r="H1481" s="47">
        <v>0</v>
      </c>
      <c r="I1481" s="47">
        <v>0</v>
      </c>
      <c r="J1481" s="47">
        <v>0</v>
      </c>
      <c r="K1481" s="47">
        <v>0</v>
      </c>
      <c r="L1481" s="47">
        <v>0</v>
      </c>
      <c r="M1481" s="47">
        <v>0</v>
      </c>
      <c r="N1481" s="47">
        <v>0</v>
      </c>
      <c r="O1481" s="47">
        <v>0</v>
      </c>
    </row>
    <row r="1482" spans="2:15">
      <c r="B1482" s="58" t="s">
        <v>1981</v>
      </c>
      <c r="D1482" s="47">
        <v>165</v>
      </c>
      <c r="E1482" s="47">
        <v>1</v>
      </c>
      <c r="F1482" s="47">
        <v>32</v>
      </c>
      <c r="G1482" s="47">
        <v>3.6</v>
      </c>
      <c r="H1482" s="47">
        <v>0</v>
      </c>
      <c r="I1482" s="47">
        <v>0</v>
      </c>
      <c r="J1482" s="47">
        <v>0</v>
      </c>
      <c r="K1482" s="47">
        <v>0</v>
      </c>
      <c r="L1482" s="47">
        <v>0</v>
      </c>
      <c r="M1482" s="47">
        <v>0</v>
      </c>
      <c r="N1482" s="47">
        <v>0</v>
      </c>
      <c r="O1482" s="47">
        <v>0</v>
      </c>
    </row>
    <row r="1483" spans="2:15">
      <c r="B1483" s="58" t="s">
        <v>1986</v>
      </c>
      <c r="D1483" s="47">
        <v>235</v>
      </c>
      <c r="E1483" s="47">
        <v>13</v>
      </c>
      <c r="F1483" s="47">
        <v>14</v>
      </c>
      <c r="G1483" s="47">
        <v>14</v>
      </c>
      <c r="H1483" s="47">
        <v>0</v>
      </c>
      <c r="I1483" s="47">
        <v>0</v>
      </c>
      <c r="J1483" s="47">
        <v>0</v>
      </c>
      <c r="K1483" s="47">
        <v>0</v>
      </c>
      <c r="L1483" s="47">
        <v>0</v>
      </c>
      <c r="M1483" s="47">
        <v>0</v>
      </c>
      <c r="N1483" s="47">
        <v>0</v>
      </c>
      <c r="O1483" s="47">
        <v>0</v>
      </c>
    </row>
    <row r="1484" spans="2:15">
      <c r="B1484" s="58" t="s">
        <v>1985</v>
      </c>
      <c r="D1484" s="47">
        <v>395</v>
      </c>
      <c r="E1484" s="47">
        <v>1</v>
      </c>
      <c r="F1484" s="47">
        <v>42</v>
      </c>
      <c r="G1484" s="47">
        <v>25</v>
      </c>
    </row>
    <row r="1485" spans="2:15">
      <c r="B1485" s="58" t="s">
        <v>1987</v>
      </c>
      <c r="D1485" s="47">
        <v>135</v>
      </c>
      <c r="E1485" s="47">
        <v>9</v>
      </c>
      <c r="F1485" s="47">
        <v>12</v>
      </c>
      <c r="G1485" s="47">
        <v>5.6</v>
      </c>
    </row>
    <row r="1486" spans="2:15">
      <c r="B1486" s="58" t="s">
        <v>1988</v>
      </c>
      <c r="D1486" s="47">
        <v>380</v>
      </c>
      <c r="E1486" s="47">
        <v>6.67</v>
      </c>
      <c r="F1486" s="47">
        <v>53.33</v>
      </c>
      <c r="G1486" s="47">
        <v>15.56</v>
      </c>
      <c r="H1486" s="47">
        <v>0</v>
      </c>
      <c r="I1486" s="47">
        <v>0</v>
      </c>
      <c r="J1486" s="47">
        <v>0</v>
      </c>
      <c r="K1486" s="47">
        <v>0</v>
      </c>
      <c r="L1486" s="47">
        <v>0</v>
      </c>
      <c r="M1486" s="47">
        <v>0</v>
      </c>
      <c r="N1486" s="47">
        <v>0</v>
      </c>
      <c r="O1486" s="47">
        <v>0</v>
      </c>
    </row>
    <row r="1487" spans="2:15">
      <c r="B1487" s="58" t="s">
        <v>1989</v>
      </c>
      <c r="D1487" s="47">
        <v>160</v>
      </c>
      <c r="E1487" s="47">
        <v>10</v>
      </c>
      <c r="F1487" s="47">
        <v>10</v>
      </c>
      <c r="G1487" s="47">
        <v>9</v>
      </c>
    </row>
    <row r="1488" spans="2:15">
      <c r="B1488" s="58" t="s">
        <v>1990</v>
      </c>
      <c r="D1488" s="47">
        <v>165</v>
      </c>
      <c r="E1488" s="47">
        <v>7</v>
      </c>
      <c r="F1488" s="47">
        <v>29</v>
      </c>
      <c r="G1488" s="47">
        <v>2.4</v>
      </c>
    </row>
    <row r="1489" spans="2:15">
      <c r="B1489" s="58" t="s">
        <v>1991</v>
      </c>
      <c r="D1489" s="47">
        <v>112.5</v>
      </c>
      <c r="E1489" s="47">
        <v>4.5</v>
      </c>
      <c r="F1489" s="47">
        <v>15</v>
      </c>
      <c r="G1489" s="47">
        <v>3.5</v>
      </c>
      <c r="H1489" s="47">
        <v>137.5</v>
      </c>
    </row>
    <row r="1490" spans="2:15">
      <c r="B1490" s="58" t="s">
        <v>1995</v>
      </c>
      <c r="D1490" s="47">
        <v>205</v>
      </c>
      <c r="E1490" s="47">
        <v>3.66</v>
      </c>
      <c r="F1490" s="47">
        <v>51.76</v>
      </c>
      <c r="G1490" s="47">
        <v>1.38</v>
      </c>
      <c r="H1490" s="47">
        <v>25</v>
      </c>
      <c r="I1490" s="47">
        <v>0.97</v>
      </c>
      <c r="J1490" s="47">
        <v>3495</v>
      </c>
      <c r="K1490" s="47">
        <v>0.53</v>
      </c>
      <c r="L1490" s="47">
        <v>0.22</v>
      </c>
      <c r="M1490" s="47">
        <v>1.1399999999999999</v>
      </c>
    </row>
    <row r="1491" spans="2:15">
      <c r="B1491" s="58" t="s">
        <v>1996</v>
      </c>
      <c r="D1491" s="47">
        <v>216</v>
      </c>
      <c r="E1491" s="47">
        <v>10</v>
      </c>
      <c r="F1491" s="47">
        <v>32</v>
      </c>
      <c r="G1491" s="47">
        <v>6</v>
      </c>
    </row>
    <row r="1492" spans="2:15">
      <c r="B1492" s="58" t="s">
        <v>1997</v>
      </c>
      <c r="D1492" s="47">
        <v>430</v>
      </c>
      <c r="E1492" s="47">
        <v>7</v>
      </c>
      <c r="F1492" s="47">
        <v>42</v>
      </c>
      <c r="G1492" s="47">
        <v>26</v>
      </c>
    </row>
    <row r="1493" spans="2:15">
      <c r="B1493" s="58" t="s">
        <v>1998</v>
      </c>
      <c r="D1493" s="47">
        <v>409.09</v>
      </c>
      <c r="E1493" s="47">
        <v>9.09</v>
      </c>
      <c r="F1493" s="47">
        <v>65.45</v>
      </c>
      <c r="G1493" s="47">
        <v>12.73</v>
      </c>
    </row>
    <row r="1494" spans="2:15">
      <c r="B1494" s="58" t="s">
        <v>2000</v>
      </c>
      <c r="D1494" s="47">
        <v>430</v>
      </c>
      <c r="E1494" s="47">
        <v>4</v>
      </c>
      <c r="F1494" s="47">
        <v>44</v>
      </c>
      <c r="G1494" s="47">
        <v>26</v>
      </c>
      <c r="H1494" s="47">
        <v>0</v>
      </c>
      <c r="I1494" s="47">
        <v>0</v>
      </c>
      <c r="J1494" s="47">
        <v>0</v>
      </c>
      <c r="K1494" s="47">
        <v>0</v>
      </c>
      <c r="L1494" s="47">
        <v>0</v>
      </c>
      <c r="M1494" s="47">
        <v>0</v>
      </c>
      <c r="N1494" s="47">
        <v>0</v>
      </c>
      <c r="O1494" s="47">
        <v>0</v>
      </c>
    </row>
    <row r="1495" spans="2:15">
      <c r="B1495" s="58" t="s">
        <v>15</v>
      </c>
      <c r="D1495" s="47">
        <v>112.5</v>
      </c>
      <c r="E1495" s="47">
        <v>4.5</v>
      </c>
      <c r="F1495" s="47">
        <v>15</v>
      </c>
      <c r="G1495" s="47">
        <v>3.5</v>
      </c>
      <c r="H1495" s="47">
        <v>137.5</v>
      </c>
    </row>
    <row r="1496" spans="2:15">
      <c r="B1496" s="58" t="s">
        <v>1885</v>
      </c>
      <c r="D1496" s="47">
        <v>130</v>
      </c>
      <c r="E1496" s="47">
        <v>0</v>
      </c>
      <c r="F1496" s="47">
        <v>18.5</v>
      </c>
      <c r="G1496" s="47">
        <v>0</v>
      </c>
      <c r="H1496" s="47">
        <v>0</v>
      </c>
      <c r="I1496" s="47">
        <v>0</v>
      </c>
      <c r="J1496" s="47">
        <v>0</v>
      </c>
      <c r="K1496" s="47">
        <v>0</v>
      </c>
      <c r="L1496" s="47">
        <v>0</v>
      </c>
      <c r="M1496" s="47">
        <v>0</v>
      </c>
      <c r="N1496" s="47">
        <v>0</v>
      </c>
      <c r="O1496" s="47">
        <v>0</v>
      </c>
    </row>
    <row r="1497" spans="2:15">
      <c r="B1497" s="58" t="s">
        <v>1702</v>
      </c>
      <c r="D1497" s="47">
        <v>146.5</v>
      </c>
      <c r="E1497" s="47">
        <v>4.7</v>
      </c>
      <c r="F1497" s="47">
        <v>21.3</v>
      </c>
      <c r="G1497" s="47">
        <v>4.7</v>
      </c>
      <c r="H1497" s="47">
        <v>110.2</v>
      </c>
      <c r="I1497" s="47">
        <v>0</v>
      </c>
      <c r="J1497" s="47">
        <v>0</v>
      </c>
      <c r="K1497" s="47">
        <v>0</v>
      </c>
      <c r="L1497" s="47">
        <v>0</v>
      </c>
      <c r="M1497" s="47">
        <v>0</v>
      </c>
      <c r="N1497" s="47">
        <v>0</v>
      </c>
      <c r="O1497" s="47">
        <v>0</v>
      </c>
    </row>
    <row r="1498" spans="2:15">
      <c r="B1498" s="58" t="s">
        <v>2008</v>
      </c>
      <c r="D1498" s="47">
        <v>85</v>
      </c>
      <c r="E1498" s="47">
        <v>0</v>
      </c>
      <c r="F1498" s="47">
        <v>21</v>
      </c>
      <c r="G1498" s="47">
        <v>0</v>
      </c>
      <c r="H1498" s="47">
        <v>0</v>
      </c>
      <c r="I1498" s="47">
        <v>0</v>
      </c>
      <c r="J1498" s="47">
        <v>0</v>
      </c>
      <c r="K1498" s="47">
        <v>0</v>
      </c>
      <c r="L1498" s="47">
        <v>0</v>
      </c>
      <c r="M1498" s="47">
        <v>0</v>
      </c>
      <c r="N1498" s="47">
        <v>0</v>
      </c>
      <c r="O1498" s="47">
        <v>0</v>
      </c>
    </row>
    <row r="1499" spans="2:15">
      <c r="B1499" s="58" t="s">
        <v>2009</v>
      </c>
      <c r="D1499" s="47">
        <v>294</v>
      </c>
      <c r="E1499" s="47">
        <v>11</v>
      </c>
      <c r="F1499" s="47">
        <v>4</v>
      </c>
      <c r="G1499" s="47">
        <v>26</v>
      </c>
      <c r="H1499" s="47">
        <v>0</v>
      </c>
      <c r="I1499" s="47">
        <v>0</v>
      </c>
      <c r="J1499" s="47">
        <v>0</v>
      </c>
      <c r="K1499" s="47">
        <v>0</v>
      </c>
      <c r="L1499" s="47">
        <v>0</v>
      </c>
      <c r="M1499" s="47">
        <v>0</v>
      </c>
      <c r="N1499" s="47">
        <v>0</v>
      </c>
      <c r="O1499" s="47">
        <v>0</v>
      </c>
    </row>
    <row r="1500" spans="2:15">
      <c r="B1500" s="58" t="s">
        <v>2010</v>
      </c>
      <c r="D1500" s="47">
        <v>83.3</v>
      </c>
      <c r="E1500" s="47">
        <v>3.3</v>
      </c>
      <c r="F1500" s="47">
        <v>11.3</v>
      </c>
      <c r="G1500" s="47">
        <v>2.7</v>
      </c>
      <c r="H1500" s="47">
        <v>80</v>
      </c>
      <c r="I1500" s="47">
        <v>0</v>
      </c>
      <c r="J1500" s="47">
        <v>0</v>
      </c>
      <c r="K1500" s="47">
        <v>0</v>
      </c>
      <c r="L1500" s="47">
        <v>0</v>
      </c>
      <c r="M1500" s="47">
        <v>0</v>
      </c>
      <c r="N1500" s="47">
        <v>0</v>
      </c>
      <c r="O1500" s="47">
        <v>0</v>
      </c>
    </row>
    <row r="1501" spans="2:15">
      <c r="B1501" s="58" t="s">
        <v>2011</v>
      </c>
      <c r="D1501" s="47">
        <v>224</v>
      </c>
      <c r="E1501" s="47">
        <v>3.8</v>
      </c>
      <c r="F1501" s="47">
        <v>18</v>
      </c>
      <c r="G1501" s="47">
        <v>15.2</v>
      </c>
      <c r="H1501" s="47">
        <v>0</v>
      </c>
      <c r="I1501" s="47">
        <v>0</v>
      </c>
      <c r="J1501" s="47">
        <v>0</v>
      </c>
      <c r="K1501" s="47">
        <v>0</v>
      </c>
      <c r="L1501" s="47">
        <v>0</v>
      </c>
      <c r="M1501" s="47">
        <v>0</v>
      </c>
      <c r="N1501" s="47">
        <v>0</v>
      </c>
      <c r="O1501" s="47">
        <v>0</v>
      </c>
    </row>
    <row r="1502" spans="2:15">
      <c r="B1502" s="58" t="s">
        <v>2012</v>
      </c>
      <c r="D1502" s="47">
        <v>308.3</v>
      </c>
      <c r="E1502" s="47">
        <v>5</v>
      </c>
      <c r="F1502" s="47">
        <v>60</v>
      </c>
      <c r="G1502" s="47">
        <v>5</v>
      </c>
      <c r="H1502" s="47">
        <v>0</v>
      </c>
      <c r="I1502" s="47">
        <v>0</v>
      </c>
      <c r="J1502" s="47">
        <v>0</v>
      </c>
      <c r="K1502" s="47">
        <v>0</v>
      </c>
      <c r="L1502" s="47">
        <v>0</v>
      </c>
      <c r="M1502" s="47">
        <v>0</v>
      </c>
      <c r="N1502" s="47">
        <v>0</v>
      </c>
      <c r="O1502" s="47">
        <v>0</v>
      </c>
    </row>
    <row r="1503" spans="2:15">
      <c r="B1503" s="58" t="s">
        <v>2013</v>
      </c>
      <c r="D1503" s="47">
        <v>265</v>
      </c>
      <c r="E1503" s="47">
        <v>10</v>
      </c>
      <c r="F1503" s="47">
        <v>18</v>
      </c>
      <c r="G1503" s="47">
        <v>19</v>
      </c>
      <c r="H1503" s="47">
        <v>0</v>
      </c>
      <c r="I1503" s="47">
        <v>0</v>
      </c>
      <c r="J1503" s="47">
        <v>0</v>
      </c>
      <c r="K1503" s="47">
        <v>0</v>
      </c>
      <c r="L1503" s="47">
        <v>0</v>
      </c>
      <c r="M1503" s="47">
        <v>0</v>
      </c>
      <c r="N1503" s="47">
        <v>0</v>
      </c>
      <c r="O1503" s="47">
        <v>0</v>
      </c>
    </row>
    <row r="1504" spans="2:15">
      <c r="B1504" s="58" t="s">
        <v>2014</v>
      </c>
      <c r="D1504" s="47">
        <v>113</v>
      </c>
      <c r="E1504" s="47">
        <v>3.7</v>
      </c>
      <c r="F1504" s="47">
        <v>23.9</v>
      </c>
      <c r="G1504" s="47">
        <v>0.3</v>
      </c>
      <c r="H1504" s="47">
        <v>129.5</v>
      </c>
      <c r="I1504" s="47">
        <v>0</v>
      </c>
      <c r="J1504" s="47">
        <v>0</v>
      </c>
      <c r="K1504" s="47">
        <v>0</v>
      </c>
      <c r="L1504" s="47">
        <v>0</v>
      </c>
      <c r="M1504" s="47">
        <v>0</v>
      </c>
      <c r="N1504" s="47">
        <v>0</v>
      </c>
      <c r="O1504" s="47">
        <v>0</v>
      </c>
    </row>
    <row r="1505" spans="2:15">
      <c r="B1505" s="58" t="s">
        <v>2015</v>
      </c>
      <c r="D1505" s="47">
        <v>125</v>
      </c>
      <c r="E1505" s="47">
        <v>4</v>
      </c>
      <c r="F1505" s="47">
        <v>12</v>
      </c>
      <c r="G1505" s="47">
        <v>7</v>
      </c>
      <c r="H1505" s="47">
        <v>0</v>
      </c>
      <c r="I1505" s="47">
        <v>0</v>
      </c>
      <c r="J1505" s="47">
        <v>0</v>
      </c>
      <c r="K1505" s="47">
        <v>0</v>
      </c>
      <c r="L1505" s="47">
        <v>0</v>
      </c>
      <c r="M1505" s="47">
        <v>0</v>
      </c>
      <c r="N1505" s="47">
        <v>0</v>
      </c>
      <c r="O1505" s="47">
        <v>0</v>
      </c>
    </row>
    <row r="1506" spans="2:15">
      <c r="B1506" s="58" t="s">
        <v>2016</v>
      </c>
      <c r="D1506" s="47">
        <v>310</v>
      </c>
      <c r="E1506" s="47">
        <v>5.6</v>
      </c>
      <c r="F1506" s="47">
        <v>76.400000000000006</v>
      </c>
      <c r="G1506" s="47">
        <v>2.8</v>
      </c>
      <c r="H1506" s="47">
        <v>51</v>
      </c>
      <c r="I1506" s="47">
        <v>2</v>
      </c>
      <c r="J1506" s="47">
        <v>262</v>
      </c>
      <c r="K1506" s="47">
        <v>0.04</v>
      </c>
      <c r="L1506" s="47">
        <v>0.09</v>
      </c>
      <c r="M1506" s="47">
        <v>0.8</v>
      </c>
      <c r="N1506" s="47">
        <v>2</v>
      </c>
      <c r="O1506" s="47">
        <v>0</v>
      </c>
    </row>
    <row r="1507" spans="2:15">
      <c r="B1507" s="58" t="s">
        <v>2017</v>
      </c>
      <c r="D1507" s="47">
        <v>93</v>
      </c>
      <c r="E1507" s="47">
        <v>1</v>
      </c>
      <c r="F1507" s="47">
        <v>19</v>
      </c>
      <c r="G1507" s="47">
        <v>0</v>
      </c>
      <c r="H1507" s="47">
        <v>0</v>
      </c>
      <c r="I1507" s="47">
        <v>0</v>
      </c>
      <c r="J1507" s="47">
        <v>0</v>
      </c>
      <c r="K1507" s="47">
        <v>0</v>
      </c>
      <c r="L1507" s="47">
        <v>0</v>
      </c>
      <c r="M1507" s="47">
        <v>0</v>
      </c>
      <c r="N1507" s="47">
        <v>0</v>
      </c>
      <c r="O1507" s="47">
        <v>0</v>
      </c>
    </row>
    <row r="1508" spans="2:15">
      <c r="B1508" s="58" t="s">
        <v>2018</v>
      </c>
      <c r="D1508" s="47">
        <v>64</v>
      </c>
      <c r="E1508" s="47">
        <v>0</v>
      </c>
      <c r="F1508" s="47">
        <v>16</v>
      </c>
      <c r="G1508" s="47">
        <v>0</v>
      </c>
      <c r="H1508" s="47">
        <v>0</v>
      </c>
      <c r="I1508" s="47">
        <v>0</v>
      </c>
      <c r="J1508" s="47">
        <v>0</v>
      </c>
      <c r="K1508" s="47">
        <v>0</v>
      </c>
      <c r="L1508" s="47">
        <v>0</v>
      </c>
      <c r="M1508" s="47">
        <v>0</v>
      </c>
      <c r="N1508" s="47">
        <v>0</v>
      </c>
      <c r="O1508" s="47">
        <v>0</v>
      </c>
    </row>
    <row r="1509" spans="2:15">
      <c r="B1509" s="58" t="s">
        <v>1976</v>
      </c>
      <c r="D1509" s="47">
        <v>83.3</v>
      </c>
      <c r="E1509" s="47">
        <v>3.3</v>
      </c>
      <c r="F1509" s="47">
        <v>11.3</v>
      </c>
      <c r="G1509" s="47">
        <v>2.7</v>
      </c>
      <c r="H1509" s="47">
        <v>80</v>
      </c>
      <c r="I1509" s="47">
        <v>0</v>
      </c>
      <c r="J1509" s="47">
        <v>0</v>
      </c>
      <c r="K1509" s="47">
        <v>0</v>
      </c>
      <c r="L1509" s="47">
        <v>0</v>
      </c>
      <c r="M1509" s="47">
        <v>0</v>
      </c>
      <c r="N1509" s="47">
        <v>0</v>
      </c>
      <c r="O1509" s="47">
        <v>0</v>
      </c>
    </row>
    <row r="1510" spans="2:15">
      <c r="B1510" s="53" t="s">
        <v>2019</v>
      </c>
      <c r="C1510" s="54"/>
      <c r="D1510" s="55">
        <v>120</v>
      </c>
      <c r="E1510" s="55">
        <v>5</v>
      </c>
      <c r="F1510" s="55">
        <v>20.9</v>
      </c>
      <c r="G1510" s="55">
        <v>4.8</v>
      </c>
      <c r="H1510" s="55">
        <v>31</v>
      </c>
      <c r="I1510" s="55">
        <v>1</v>
      </c>
      <c r="J1510" s="55">
        <v>36</v>
      </c>
      <c r="K1510" s="55">
        <v>0.21</v>
      </c>
      <c r="L1510" s="55">
        <v>0.09</v>
      </c>
      <c r="M1510" s="55">
        <v>0.9</v>
      </c>
      <c r="N1510" s="55">
        <v>1</v>
      </c>
      <c r="O1510" s="55">
        <v>0</v>
      </c>
    </row>
    <row r="1511" spans="2:15">
      <c r="B1511" s="58" t="s">
        <v>2020</v>
      </c>
      <c r="D1511" s="47">
        <v>394</v>
      </c>
      <c r="E1511" s="47">
        <v>16.5</v>
      </c>
      <c r="F1511" s="47">
        <v>0</v>
      </c>
      <c r="G1511" s="47">
        <v>35.9</v>
      </c>
      <c r="H1511" s="47">
        <v>7</v>
      </c>
      <c r="I1511" s="47">
        <v>1.4</v>
      </c>
      <c r="J1511" s="47">
        <v>0</v>
      </c>
      <c r="K1511" s="47">
        <v>0.04</v>
      </c>
      <c r="L1511" s="47">
        <v>0.1</v>
      </c>
      <c r="M1511" s="47">
        <v>3</v>
      </c>
      <c r="N1511" s="47">
        <v>0.6</v>
      </c>
      <c r="O1511" s="47">
        <v>0</v>
      </c>
    </row>
    <row r="1512" spans="2:15">
      <c r="B1512" s="58" t="s">
        <v>2021</v>
      </c>
      <c r="D1512" s="47">
        <v>70</v>
      </c>
      <c r="E1512" s="47">
        <v>0</v>
      </c>
      <c r="F1512" s="47">
        <v>18</v>
      </c>
      <c r="G1512" s="47">
        <v>0</v>
      </c>
      <c r="H1512" s="47">
        <v>0</v>
      </c>
      <c r="I1512" s="47">
        <v>0</v>
      </c>
      <c r="J1512" s="47">
        <v>0</v>
      </c>
      <c r="K1512" s="47">
        <v>0</v>
      </c>
      <c r="L1512" s="47">
        <v>0</v>
      </c>
      <c r="M1512" s="47">
        <v>0</v>
      </c>
      <c r="N1512" s="47">
        <v>0</v>
      </c>
      <c r="O1512" s="47">
        <v>0</v>
      </c>
    </row>
    <row r="1513" spans="2:15">
      <c r="B1513" s="58" t="s">
        <v>2022</v>
      </c>
      <c r="D1513" s="47">
        <v>186</v>
      </c>
      <c r="E1513" s="47">
        <v>19.8</v>
      </c>
      <c r="F1513" s="47">
        <v>0</v>
      </c>
      <c r="G1513" s="47">
        <v>11.3</v>
      </c>
      <c r="H1513" s="47">
        <v>6</v>
      </c>
      <c r="I1513" s="47">
        <v>0.7</v>
      </c>
      <c r="J1513" s="47">
        <v>0</v>
      </c>
      <c r="K1513" s="47">
        <v>0.7</v>
      </c>
      <c r="L1513" s="47">
        <v>0.1</v>
      </c>
      <c r="M1513" s="47">
        <v>4.9000000000000004</v>
      </c>
      <c r="N1513" s="47">
        <v>1.1000000000000001</v>
      </c>
      <c r="O1513" s="47">
        <v>0</v>
      </c>
    </row>
    <row r="1514" spans="2:15">
      <c r="B1514" s="58" t="s">
        <v>2023</v>
      </c>
      <c r="D1514" s="47">
        <v>295</v>
      </c>
      <c r="E1514" s="47">
        <v>1.4</v>
      </c>
      <c r="F1514" s="47">
        <v>17</v>
      </c>
      <c r="G1514" s="47">
        <v>57</v>
      </c>
      <c r="H1514" s="47">
        <v>0</v>
      </c>
      <c r="I1514" s="47">
        <v>0</v>
      </c>
      <c r="J1514" s="47">
        <v>0</v>
      </c>
      <c r="K1514" s="47">
        <v>0</v>
      </c>
      <c r="L1514" s="47">
        <v>0</v>
      </c>
      <c r="M1514" s="47">
        <v>0</v>
      </c>
      <c r="N1514" s="47">
        <v>0</v>
      </c>
      <c r="O1514" s="47">
        <v>0</v>
      </c>
    </row>
    <row r="1515" spans="2:15">
      <c r="B1515" s="58" t="s">
        <v>2236</v>
      </c>
      <c r="D1515" s="47">
        <v>516.6</v>
      </c>
      <c r="E1515" s="47">
        <v>2.7</v>
      </c>
      <c r="F1515" s="47">
        <v>63.8</v>
      </c>
      <c r="G1515" s="47">
        <v>27.7</v>
      </c>
    </row>
    <row r="1516" spans="2:15">
      <c r="B1516" s="58" t="s">
        <v>2024</v>
      </c>
      <c r="D1516" s="47">
        <v>57.5</v>
      </c>
      <c r="E1516" s="47">
        <v>1.6</v>
      </c>
      <c r="F1516" s="47">
        <v>10.5</v>
      </c>
      <c r="G1516" s="47">
        <v>1</v>
      </c>
      <c r="H1516" s="47">
        <v>0</v>
      </c>
      <c r="I1516" s="47">
        <v>0</v>
      </c>
      <c r="J1516" s="47">
        <v>0</v>
      </c>
      <c r="K1516" s="47">
        <v>0</v>
      </c>
      <c r="L1516" s="47">
        <v>0</v>
      </c>
      <c r="M1516" s="47">
        <v>0</v>
      </c>
      <c r="N1516" s="47">
        <v>0</v>
      </c>
      <c r="O1516" s="47">
        <v>0</v>
      </c>
    </row>
    <row r="1517" spans="2:15">
      <c r="B1517" s="58" t="s">
        <v>2025</v>
      </c>
      <c r="D1517" s="47">
        <v>55</v>
      </c>
      <c r="E1517" s="47">
        <v>7</v>
      </c>
      <c r="F1517" s="47">
        <v>5.2</v>
      </c>
      <c r="G1517" s="47">
        <v>0.5</v>
      </c>
      <c r="H1517" s="47">
        <v>15</v>
      </c>
      <c r="I1517" s="47">
        <v>1.5</v>
      </c>
      <c r="J1517" s="47">
        <v>1400</v>
      </c>
      <c r="K1517" s="47">
        <v>0.03</v>
      </c>
      <c r="L1517" s="47">
        <v>0.08</v>
      </c>
      <c r="M1517" s="47">
        <v>0.3</v>
      </c>
      <c r="N1517" s="47">
        <v>0</v>
      </c>
      <c r="O1517" s="47">
        <v>0</v>
      </c>
    </row>
    <row r="1518" spans="2:15">
      <c r="B1518" s="58" t="s">
        <v>2196</v>
      </c>
      <c r="D1518" s="47">
        <v>400</v>
      </c>
      <c r="F1518" s="47">
        <v>20</v>
      </c>
      <c r="G1518" s="47">
        <v>36</v>
      </c>
    </row>
    <row r="1519" spans="2:15">
      <c r="B1519" s="58" t="s">
        <v>2026</v>
      </c>
      <c r="D1519" s="47">
        <v>350.3</v>
      </c>
      <c r="E1519" s="47">
        <v>5.7</v>
      </c>
      <c r="F1519" s="47">
        <v>79.3</v>
      </c>
      <c r="G1519" s="47">
        <v>1.1000000000000001</v>
      </c>
      <c r="H1519" s="47">
        <v>0</v>
      </c>
      <c r="I1519" s="47">
        <v>0</v>
      </c>
      <c r="J1519" s="47">
        <v>0</v>
      </c>
      <c r="K1519" s="47">
        <v>0</v>
      </c>
      <c r="L1519" s="47">
        <v>0</v>
      </c>
      <c r="M1519" s="47">
        <v>0</v>
      </c>
      <c r="N1519" s="47">
        <v>0</v>
      </c>
      <c r="O1519" s="47">
        <v>0</v>
      </c>
    </row>
    <row r="1520" spans="2:15">
      <c r="B1520" s="58" t="s">
        <v>1766</v>
      </c>
      <c r="D1520" s="47">
        <v>42</v>
      </c>
      <c r="E1520" s="47">
        <v>0.7</v>
      </c>
      <c r="F1520" s="47">
        <v>0.1</v>
      </c>
      <c r="G1520" s="47">
        <v>10.8</v>
      </c>
      <c r="H1520" s="47">
        <v>16</v>
      </c>
      <c r="I1520" s="47">
        <v>0.2</v>
      </c>
      <c r="J1520" s="47">
        <v>51</v>
      </c>
      <c r="K1520" s="47">
        <v>0.2</v>
      </c>
      <c r="L1520" s="47" t="s">
        <v>2027</v>
      </c>
      <c r="M1520" s="47">
        <v>0.1</v>
      </c>
      <c r="N1520" s="47">
        <v>31.7</v>
      </c>
      <c r="O1520" s="47">
        <v>0</v>
      </c>
    </row>
    <row r="1521" spans="2:15">
      <c r="B1521" s="58" t="s">
        <v>2028</v>
      </c>
      <c r="D1521" s="47">
        <v>276</v>
      </c>
      <c r="E1521" s="47">
        <v>3.7</v>
      </c>
      <c r="F1521" s="47">
        <v>72.599999999999994</v>
      </c>
      <c r="G1521" s="47">
        <v>0.3</v>
      </c>
      <c r="H1521" s="47">
        <v>39</v>
      </c>
      <c r="I1521" s="47">
        <v>0.8</v>
      </c>
      <c r="J1521" s="47">
        <v>42</v>
      </c>
      <c r="K1521" s="47">
        <v>0.1</v>
      </c>
      <c r="L1521" s="47">
        <v>0.8</v>
      </c>
      <c r="M1521" s="47">
        <v>1</v>
      </c>
      <c r="N1521" s="47">
        <v>18.8</v>
      </c>
      <c r="O1521" s="47">
        <v>0</v>
      </c>
    </row>
    <row r="1522" spans="2:15">
      <c r="B1522" s="58" t="s">
        <v>2029</v>
      </c>
      <c r="D1522" s="47">
        <v>304.60000000000002</v>
      </c>
      <c r="E1522" s="47">
        <v>6.2</v>
      </c>
      <c r="F1522" s="47">
        <v>43.1</v>
      </c>
      <c r="G1522" s="47">
        <v>12.3</v>
      </c>
      <c r="H1522" s="47">
        <v>0</v>
      </c>
      <c r="I1522" s="47">
        <v>0</v>
      </c>
      <c r="J1522" s="47">
        <v>0</v>
      </c>
      <c r="K1522" s="47">
        <v>0</v>
      </c>
      <c r="L1522" s="47">
        <v>0</v>
      </c>
      <c r="M1522" s="47">
        <v>0</v>
      </c>
      <c r="N1522" s="47">
        <v>0</v>
      </c>
      <c r="O1522" s="47">
        <v>0</v>
      </c>
    </row>
    <row r="1523" spans="2:15">
      <c r="B1523" s="58" t="s">
        <v>2034</v>
      </c>
      <c r="D1523" s="47">
        <v>900</v>
      </c>
      <c r="E1523" s="47">
        <v>0</v>
      </c>
      <c r="F1523" s="47">
        <v>0</v>
      </c>
      <c r="G1523" s="47">
        <v>100</v>
      </c>
    </row>
    <row r="1524" spans="2:15">
      <c r="B1524" s="58" t="s">
        <v>2035</v>
      </c>
      <c r="D1524" s="47">
        <v>61</v>
      </c>
      <c r="E1524" s="47">
        <v>0.7</v>
      </c>
      <c r="F1524" s="47">
        <v>16</v>
      </c>
      <c r="G1524" s="47">
        <v>0.1</v>
      </c>
      <c r="H1524" s="47">
        <v>7</v>
      </c>
      <c r="I1524" s="47">
        <v>0.2</v>
      </c>
      <c r="J1524" s="47">
        <v>1392</v>
      </c>
      <c r="K1524" s="47">
        <v>0.04</v>
      </c>
      <c r="L1524" s="47">
        <v>0.05</v>
      </c>
      <c r="M1524" s="47">
        <v>0.3</v>
      </c>
      <c r="N1524" s="47">
        <v>14.6</v>
      </c>
      <c r="O1524" s="47">
        <v>0</v>
      </c>
    </row>
    <row r="1525" spans="2:15">
      <c r="B1525" s="58" t="s">
        <v>2037</v>
      </c>
      <c r="D1525" s="47">
        <v>45</v>
      </c>
      <c r="F1525" s="47">
        <v>11</v>
      </c>
    </row>
    <row r="1526" spans="2:15">
      <c r="B1526" s="58" t="s">
        <v>2038</v>
      </c>
      <c r="D1526" s="47">
        <v>385</v>
      </c>
      <c r="E1526" s="47">
        <v>6</v>
      </c>
      <c r="F1526" s="47">
        <v>53</v>
      </c>
      <c r="G1526" s="47">
        <v>28</v>
      </c>
    </row>
    <row r="1527" spans="2:15">
      <c r="B1527" s="58" t="s">
        <v>2040</v>
      </c>
      <c r="D1527" s="47">
        <v>55</v>
      </c>
      <c r="E1527" s="47">
        <v>1</v>
      </c>
      <c r="F1527" s="47">
        <v>12</v>
      </c>
      <c r="G1527" s="47">
        <v>0</v>
      </c>
    </row>
    <row r="1528" spans="2:15">
      <c r="B1528" s="90" t="s">
        <v>2041</v>
      </c>
      <c r="D1528" s="47">
        <v>255</v>
      </c>
      <c r="E1528" s="47">
        <v>11</v>
      </c>
      <c r="F1528" s="47">
        <v>17</v>
      </c>
      <c r="G1528" s="47">
        <v>16</v>
      </c>
    </row>
    <row r="1529" spans="2:15">
      <c r="B1529" s="58" t="s">
        <v>2042</v>
      </c>
      <c r="D1529" s="47">
        <v>37.1</v>
      </c>
      <c r="E1529" s="47">
        <v>0</v>
      </c>
      <c r="F1529" s="47">
        <v>10</v>
      </c>
      <c r="G1529" s="47">
        <v>0</v>
      </c>
    </row>
    <row r="1530" spans="2:15">
      <c r="B1530" s="58" t="s">
        <v>2043</v>
      </c>
      <c r="D1530" s="47">
        <v>263</v>
      </c>
      <c r="E1530" s="47">
        <v>6</v>
      </c>
      <c r="F1530" s="47">
        <v>40</v>
      </c>
      <c r="G1530" s="47">
        <v>9</v>
      </c>
    </row>
    <row r="1531" spans="2:15">
      <c r="B1531" s="58" t="s">
        <v>2044</v>
      </c>
      <c r="D1531" s="47">
        <v>80</v>
      </c>
      <c r="E1531" s="47">
        <v>2</v>
      </c>
      <c r="F1531" s="47">
        <v>14</v>
      </c>
      <c r="G1531" s="47">
        <v>2</v>
      </c>
    </row>
    <row r="1532" spans="2:15">
      <c r="B1532" s="58" t="s">
        <v>2240</v>
      </c>
      <c r="D1532" s="47">
        <v>76.599999999999994</v>
      </c>
      <c r="E1532" s="47">
        <v>3.3</v>
      </c>
      <c r="F1532" s="47">
        <v>10</v>
      </c>
      <c r="G1532" s="47">
        <v>2.6</v>
      </c>
    </row>
    <row r="1533" spans="2:15">
      <c r="B1533" s="58" t="s">
        <v>2046</v>
      </c>
      <c r="D1533" s="47">
        <v>491</v>
      </c>
      <c r="E1533" s="47">
        <v>15.4</v>
      </c>
      <c r="F1533" s="47">
        <v>55.9</v>
      </c>
      <c r="G1533" s="47">
        <v>22.2</v>
      </c>
    </row>
    <row r="1534" spans="2:15">
      <c r="B1534" s="58" t="s">
        <v>2045</v>
      </c>
      <c r="D1534" s="47">
        <v>500</v>
      </c>
      <c r="E1534" s="47">
        <v>5</v>
      </c>
      <c r="F1534" s="47">
        <v>47</v>
      </c>
      <c r="G1534" s="47">
        <v>34</v>
      </c>
      <c r="M1534" s="47">
        <v>1.2</v>
      </c>
    </row>
    <row r="1535" spans="2:15">
      <c r="B1535" s="58" t="s">
        <v>2047</v>
      </c>
      <c r="D1535" s="47">
        <v>126.1</v>
      </c>
      <c r="E1535" s="47">
        <v>3</v>
      </c>
      <c r="F1535" s="47">
        <v>59</v>
      </c>
      <c r="G1535" s="47">
        <v>0.8</v>
      </c>
    </row>
    <row r="1536" spans="2:15">
      <c r="B1536" s="58" t="s">
        <v>2049</v>
      </c>
      <c r="D1536" s="47">
        <v>536</v>
      </c>
      <c r="E1536" s="47">
        <v>6.7</v>
      </c>
      <c r="F1536" s="47">
        <v>67</v>
      </c>
      <c r="G1536" s="47">
        <v>26.8</v>
      </c>
    </row>
    <row r="1537" spans="2:16">
      <c r="B1537" s="58" t="s">
        <v>2048</v>
      </c>
      <c r="D1537" s="47">
        <v>500</v>
      </c>
      <c r="E1537" s="47">
        <v>4</v>
      </c>
      <c r="F1537" s="47">
        <v>70</v>
      </c>
      <c r="G1537" s="47">
        <v>23</v>
      </c>
    </row>
    <row r="1538" spans="2:16">
      <c r="B1538" s="58" t="s">
        <v>2040</v>
      </c>
      <c r="D1538" s="47">
        <v>45</v>
      </c>
      <c r="E1538" s="47">
        <v>0</v>
      </c>
      <c r="F1538" s="47">
        <v>11</v>
      </c>
      <c r="G1538" s="47">
        <v>0</v>
      </c>
      <c r="N1538" s="47">
        <v>81</v>
      </c>
    </row>
    <row r="1539" spans="2:16">
      <c r="B1539" s="58" t="s">
        <v>2057</v>
      </c>
      <c r="D1539" s="47">
        <v>46</v>
      </c>
      <c r="E1539" s="47">
        <v>1</v>
      </c>
      <c r="F1539" s="47">
        <v>11</v>
      </c>
      <c r="G1539" s="47">
        <v>0</v>
      </c>
      <c r="N1539" s="47">
        <v>81</v>
      </c>
    </row>
    <row r="1540" spans="2:16">
      <c r="B1540" s="58" t="s">
        <v>2060</v>
      </c>
      <c r="D1540" s="47">
        <v>500</v>
      </c>
      <c r="N1540" s="47">
        <v>81</v>
      </c>
    </row>
    <row r="1541" spans="2:16">
      <c r="B1541" s="58" t="s">
        <v>2061</v>
      </c>
      <c r="D1541" s="47">
        <v>49.14</v>
      </c>
      <c r="E1541" s="47">
        <v>0</v>
      </c>
      <c r="F1541" s="47">
        <v>12.29</v>
      </c>
    </row>
    <row r="1542" spans="2:16">
      <c r="B1542" s="58" t="s">
        <v>2115</v>
      </c>
      <c r="D1542" s="47">
        <v>26</v>
      </c>
      <c r="E1542" s="47">
        <v>2.5</v>
      </c>
      <c r="F1542" s="47">
        <v>3.5</v>
      </c>
      <c r="G1542" s="47">
        <v>0.4</v>
      </c>
      <c r="H1542" s="47">
        <v>104</v>
      </c>
      <c r="I1542" s="47">
        <v>1.3</v>
      </c>
      <c r="J1542" s="47">
        <v>200</v>
      </c>
      <c r="K1542" s="47">
        <v>0</v>
      </c>
      <c r="L1542" s="47">
        <v>0.8</v>
      </c>
      <c r="M1542" s="47">
        <v>34</v>
      </c>
      <c r="N1542" s="47">
        <v>0</v>
      </c>
      <c r="O1542" s="47">
        <v>0</v>
      </c>
      <c r="P1542" s="47">
        <v>0</v>
      </c>
    </row>
    <row r="1543" spans="2:16">
      <c r="B1543" s="58" t="s">
        <v>2116</v>
      </c>
      <c r="D1543" s="47">
        <v>340</v>
      </c>
      <c r="E1543" s="47">
        <v>12</v>
      </c>
      <c r="F1543" s="47">
        <v>70.2</v>
      </c>
      <c r="G1543" s="47">
        <v>1.2</v>
      </c>
    </row>
    <row r="1544" spans="2:16">
      <c r="B1544" s="58" t="s">
        <v>2117</v>
      </c>
      <c r="C1544" s="47"/>
      <c r="D1544" s="47">
        <v>80.099999999999994</v>
      </c>
      <c r="E1544" s="47">
        <v>3.43</v>
      </c>
      <c r="F1544" s="47">
        <v>1.63</v>
      </c>
      <c r="G1544" s="47">
        <v>6.67</v>
      </c>
    </row>
    <row r="1545" spans="2:16">
      <c r="B1545" s="58" t="s">
        <v>2118</v>
      </c>
      <c r="D1545" s="47">
        <v>85</v>
      </c>
      <c r="E1545" s="47">
        <v>1</v>
      </c>
      <c r="F1545" s="47">
        <v>10</v>
      </c>
      <c r="G1545" s="47">
        <v>4.3</v>
      </c>
    </row>
    <row r="1546" spans="2:16">
      <c r="B1546" s="58" t="s">
        <v>2072</v>
      </c>
      <c r="D1546" s="47">
        <v>73</v>
      </c>
      <c r="E1546" s="47">
        <v>1.6</v>
      </c>
      <c r="F1546" s="47">
        <v>13</v>
      </c>
      <c r="G1546" s="47">
        <v>1.6</v>
      </c>
    </row>
    <row r="1547" spans="2:16">
      <c r="B1547" s="58" t="s">
        <v>2119</v>
      </c>
      <c r="D1547" s="47">
        <v>47</v>
      </c>
      <c r="E1547" s="47">
        <v>0.3</v>
      </c>
      <c r="F1547" s="47">
        <v>12.1</v>
      </c>
      <c r="G1547" s="47">
        <v>0.3</v>
      </c>
      <c r="H1547" s="47">
        <v>5</v>
      </c>
      <c r="I1547" s="47">
        <v>0.3</v>
      </c>
    </row>
    <row r="1548" spans="2:16">
      <c r="B1548" s="58" t="s">
        <v>2069</v>
      </c>
      <c r="D1548" s="47">
        <v>30.77</v>
      </c>
      <c r="F1548" s="47">
        <v>7.69</v>
      </c>
    </row>
    <row r="1549" spans="2:16">
      <c r="B1549" s="58" t="s">
        <v>2120</v>
      </c>
      <c r="D1549" s="47">
        <v>245</v>
      </c>
      <c r="E1549" s="47">
        <v>13</v>
      </c>
      <c r="F1549" s="47">
        <v>13</v>
      </c>
      <c r="G1549" s="47">
        <v>16</v>
      </c>
    </row>
    <row r="1550" spans="2:16">
      <c r="B1550" s="58" t="s">
        <v>2121</v>
      </c>
      <c r="D1550" s="47">
        <v>12</v>
      </c>
      <c r="E1550" s="47">
        <v>3.3</v>
      </c>
      <c r="F1550" s="47">
        <v>2</v>
      </c>
      <c r="G1550" s="47">
        <v>0.4</v>
      </c>
      <c r="H1550" s="47">
        <v>490</v>
      </c>
      <c r="I1550" s="47">
        <v>4.5</v>
      </c>
    </row>
    <row r="1551" spans="2:16">
      <c r="B1551" s="58"/>
    </row>
    <row r="1552" spans="2:16">
      <c r="B1552" s="58" t="s">
        <v>2066</v>
      </c>
      <c r="D1552" s="47">
        <v>100</v>
      </c>
      <c r="E1552" s="47">
        <v>3.53</v>
      </c>
      <c r="F1552" s="47">
        <v>15.29</v>
      </c>
      <c r="G1552" s="47">
        <v>2.94</v>
      </c>
      <c r="H1552" s="47">
        <v>117.65</v>
      </c>
    </row>
    <row r="1553" spans="2:15">
      <c r="B1553" s="58" t="s">
        <v>2123</v>
      </c>
      <c r="D1553" s="47">
        <v>41</v>
      </c>
      <c r="E1553" s="47">
        <v>0.6</v>
      </c>
      <c r="F1553" s="47">
        <v>5.0999999999999996</v>
      </c>
      <c r="G1553" s="47">
        <v>2</v>
      </c>
    </row>
    <row r="1554" spans="2:15">
      <c r="B1554" s="58" t="s">
        <v>2124</v>
      </c>
      <c r="D1554" s="47">
        <v>399.4</v>
      </c>
      <c r="E1554" s="47">
        <v>7.8</v>
      </c>
      <c r="F1554" s="47">
        <v>67.3</v>
      </c>
      <c r="G1554" s="47">
        <v>11</v>
      </c>
    </row>
    <row r="1555" spans="2:15">
      <c r="B1555" s="58" t="s">
        <v>2125</v>
      </c>
      <c r="D1555" s="47">
        <v>105</v>
      </c>
      <c r="E1555" s="47">
        <v>9</v>
      </c>
      <c r="F1555" s="47">
        <v>16</v>
      </c>
      <c r="G1555" s="47">
        <v>0.8</v>
      </c>
    </row>
    <row r="1556" spans="2:15">
      <c r="B1556" s="58" t="s">
        <v>2126</v>
      </c>
      <c r="D1556" s="47">
        <v>28.95</v>
      </c>
      <c r="F1556" s="47">
        <v>7.37</v>
      </c>
    </row>
    <row r="1557" spans="2:15">
      <c r="B1557" s="58" t="s">
        <v>2233</v>
      </c>
      <c r="D1557" s="47">
        <v>265</v>
      </c>
      <c r="E1557" s="47">
        <v>10</v>
      </c>
      <c r="F1557" s="47">
        <v>11</v>
      </c>
      <c r="G1557" s="47">
        <v>20</v>
      </c>
    </row>
    <row r="1558" spans="2:15">
      <c r="B1558" s="58" t="s">
        <v>2084</v>
      </c>
      <c r="D1558" s="47">
        <v>245</v>
      </c>
      <c r="E1558" s="47">
        <v>12</v>
      </c>
      <c r="F1558" s="47">
        <v>6</v>
      </c>
      <c r="G1558" s="47">
        <v>19</v>
      </c>
    </row>
    <row r="1559" spans="2:15">
      <c r="B1559" s="58" t="s">
        <v>2067</v>
      </c>
      <c r="D1559" s="47">
        <v>353</v>
      </c>
      <c r="F1559" s="47">
        <v>88</v>
      </c>
    </row>
    <row r="1560" spans="2:15">
      <c r="B1560" s="58" t="s">
        <v>2127</v>
      </c>
      <c r="D1560" s="47">
        <v>110</v>
      </c>
      <c r="E1560" s="47">
        <v>2</v>
      </c>
      <c r="F1560" s="47">
        <v>25</v>
      </c>
    </row>
    <row r="1561" spans="2:15">
      <c r="B1561" s="58" t="s">
        <v>2128</v>
      </c>
      <c r="D1561" s="47">
        <v>194</v>
      </c>
      <c r="E1561" s="47">
        <v>6</v>
      </c>
      <c r="F1561" s="47">
        <v>38</v>
      </c>
      <c r="G1561" s="47">
        <v>3</v>
      </c>
    </row>
    <row r="1562" spans="2:15">
      <c r="B1562" s="58" t="s">
        <v>2128</v>
      </c>
      <c r="D1562" s="47">
        <v>194</v>
      </c>
      <c r="E1562" s="47">
        <v>6</v>
      </c>
      <c r="F1562" s="47">
        <v>38</v>
      </c>
      <c r="G1562" s="47">
        <v>3</v>
      </c>
    </row>
    <row r="1563" spans="2:15">
      <c r="B1563" s="107" t="s">
        <v>2234</v>
      </c>
      <c r="C1563" s="9"/>
      <c r="D1563" s="7">
        <v>148</v>
      </c>
      <c r="E1563" s="7">
        <v>3</v>
      </c>
      <c r="F1563" s="7">
        <v>7</v>
      </c>
      <c r="G1563" s="7">
        <v>12</v>
      </c>
      <c r="H1563" s="7"/>
      <c r="I1563" s="7"/>
      <c r="J1563" s="7"/>
      <c r="K1563" s="7"/>
      <c r="L1563" s="7"/>
      <c r="M1563" s="7"/>
      <c r="N1563" s="7"/>
      <c r="O1563" s="7"/>
    </row>
    <row r="1564" spans="2:15">
      <c r="B1564" s="58" t="s">
        <v>2075</v>
      </c>
      <c r="D1564" s="47">
        <v>60</v>
      </c>
      <c r="E1564" s="47">
        <v>1</v>
      </c>
      <c r="F1564" s="47">
        <v>10</v>
      </c>
      <c r="G1564" s="47">
        <v>3</v>
      </c>
    </row>
    <row r="1565" spans="2:15">
      <c r="B1565" s="58" t="s">
        <v>2129</v>
      </c>
      <c r="D1565" s="47">
        <v>313</v>
      </c>
      <c r="E1565" s="47">
        <v>9.8000000000000007</v>
      </c>
      <c r="F1565" s="47">
        <v>41.4</v>
      </c>
      <c r="G1565" s="47">
        <v>12</v>
      </c>
    </row>
    <row r="1566" spans="2:15">
      <c r="B1566" s="58" t="s">
        <v>2130</v>
      </c>
      <c r="D1566" s="47">
        <v>352</v>
      </c>
      <c r="E1566" s="47">
        <v>5.71</v>
      </c>
      <c r="F1566" s="47">
        <v>47.14</v>
      </c>
      <c r="G1566" s="47">
        <v>15</v>
      </c>
    </row>
    <row r="1567" spans="2:15">
      <c r="B1567" s="58" t="s">
        <v>2131</v>
      </c>
      <c r="D1567" s="47">
        <v>16</v>
      </c>
      <c r="E1567" s="47">
        <v>0</v>
      </c>
      <c r="F1567" s="47">
        <v>4</v>
      </c>
    </row>
    <row r="1568" spans="2:15">
      <c r="B1568" s="58" t="s">
        <v>2132</v>
      </c>
      <c r="D1568" s="47">
        <v>755</v>
      </c>
      <c r="E1568" s="47">
        <v>1</v>
      </c>
      <c r="F1568" s="47">
        <v>1</v>
      </c>
      <c r="G1568" s="47">
        <v>83</v>
      </c>
      <c r="H1568" s="47">
        <v>71</v>
      </c>
    </row>
    <row r="1569" spans="2:10">
      <c r="B1569" s="58" t="s">
        <v>2133</v>
      </c>
      <c r="D1569" s="47">
        <v>238</v>
      </c>
      <c r="E1569" s="47">
        <v>14</v>
      </c>
      <c r="F1569" s="47">
        <v>9</v>
      </c>
      <c r="G1569" s="47">
        <v>16</v>
      </c>
    </row>
    <row r="1570" spans="2:10">
      <c r="B1570" s="58" t="s">
        <v>2134</v>
      </c>
      <c r="D1570" s="47">
        <v>195</v>
      </c>
      <c r="E1570" s="47">
        <v>1.25</v>
      </c>
      <c r="F1570" s="47">
        <v>47.5</v>
      </c>
    </row>
    <row r="1571" spans="2:10">
      <c r="B1571" s="58" t="s">
        <v>2135</v>
      </c>
      <c r="D1571" s="47">
        <v>0</v>
      </c>
      <c r="E1571" s="47">
        <v>0</v>
      </c>
      <c r="F1571" s="47">
        <v>0</v>
      </c>
      <c r="G1571" s="47">
        <v>0</v>
      </c>
      <c r="H1571" s="47">
        <v>0</v>
      </c>
      <c r="I1571" s="47">
        <v>0</v>
      </c>
      <c r="J1571" s="47">
        <v>0</v>
      </c>
    </row>
    <row r="1572" spans="2:10">
      <c r="B1572" s="58" t="s">
        <v>2136</v>
      </c>
      <c r="D1572" s="47">
        <v>0</v>
      </c>
      <c r="E1572" s="47">
        <v>0</v>
      </c>
      <c r="F1572" s="47">
        <v>0</v>
      </c>
      <c r="G1572" s="47">
        <v>0</v>
      </c>
      <c r="H1572" s="47">
        <v>0</v>
      </c>
      <c r="I1572" s="47">
        <v>0</v>
      </c>
      <c r="J1572" s="47">
        <v>0</v>
      </c>
    </row>
    <row r="1573" spans="2:10">
      <c r="B1573" s="58" t="s">
        <v>2137</v>
      </c>
      <c r="D1573" s="47">
        <v>164.29</v>
      </c>
      <c r="E1573" s="47">
        <v>4.29</v>
      </c>
      <c r="F1573" s="47">
        <v>17.14</v>
      </c>
      <c r="G1573" s="47">
        <v>8.57</v>
      </c>
    </row>
    <row r="1574" spans="2:10">
      <c r="B1574" s="58" t="s">
        <v>2138</v>
      </c>
    </row>
    <row r="1575" spans="2:10">
      <c r="B1575" s="58" t="s">
        <v>2083</v>
      </c>
      <c r="D1575" s="47">
        <v>301</v>
      </c>
      <c r="E1575" s="47">
        <v>5</v>
      </c>
      <c r="F1575" s="47">
        <v>57</v>
      </c>
      <c r="G1575" s="47">
        <v>6</v>
      </c>
    </row>
    <row r="1576" spans="2:10">
      <c r="B1576" s="58" t="s">
        <v>2139</v>
      </c>
      <c r="D1576" s="47">
        <v>350</v>
      </c>
      <c r="E1576" s="47">
        <v>2</v>
      </c>
      <c r="F1576" s="47">
        <v>34</v>
      </c>
      <c r="G1576" s="47">
        <v>23</v>
      </c>
    </row>
    <row r="1577" spans="2:10">
      <c r="B1577" s="58" t="s">
        <v>2140</v>
      </c>
      <c r="D1577" s="47">
        <v>162</v>
      </c>
      <c r="E1577" s="47">
        <v>4</v>
      </c>
      <c r="F1577" s="47">
        <v>8</v>
      </c>
      <c r="G1577" s="47">
        <v>9</v>
      </c>
      <c r="H1577" s="47">
        <v>50</v>
      </c>
    </row>
    <row r="1578" spans="2:10">
      <c r="B1578" s="58" t="s">
        <v>2141</v>
      </c>
      <c r="D1578" s="47">
        <v>390</v>
      </c>
      <c r="E1578" s="47">
        <v>9</v>
      </c>
      <c r="F1578" s="47">
        <v>50</v>
      </c>
      <c r="G1578" s="47">
        <v>17</v>
      </c>
    </row>
    <row r="1579" spans="2:10">
      <c r="B1579" s="58" t="s">
        <v>2142</v>
      </c>
      <c r="D1579" s="47">
        <v>190</v>
      </c>
      <c r="E1579" s="47">
        <v>15</v>
      </c>
      <c r="F1579" s="47">
        <v>7</v>
      </c>
      <c r="G1579" s="47">
        <v>17</v>
      </c>
    </row>
    <row r="1580" spans="2:10">
      <c r="B1580" s="58" t="s">
        <v>2073</v>
      </c>
      <c r="D1580" s="47">
        <v>325</v>
      </c>
      <c r="E1580" s="47">
        <v>12</v>
      </c>
      <c r="F1580" s="47">
        <v>8</v>
      </c>
      <c r="G1580" s="47">
        <v>27</v>
      </c>
    </row>
    <row r="1581" spans="2:10">
      <c r="B1581" s="58" t="s">
        <v>2082</v>
      </c>
    </row>
    <row r="1582" spans="2:10">
      <c r="B1582" s="58" t="s">
        <v>2064</v>
      </c>
      <c r="D1582" s="47">
        <v>828</v>
      </c>
      <c r="G1582" s="47">
        <v>92</v>
      </c>
    </row>
    <row r="1583" spans="2:10">
      <c r="B1583" s="58" t="s">
        <v>2114</v>
      </c>
      <c r="D1583" s="47">
        <v>100</v>
      </c>
      <c r="E1583" s="47">
        <v>4</v>
      </c>
      <c r="F1583" s="47">
        <v>14</v>
      </c>
      <c r="G1583" s="47">
        <v>3</v>
      </c>
      <c r="H1583" s="47">
        <v>50</v>
      </c>
    </row>
    <row r="1584" spans="2:10">
      <c r="B1584" s="58" t="s">
        <v>2143</v>
      </c>
      <c r="D1584" s="47">
        <v>35</v>
      </c>
      <c r="F1584" s="47">
        <v>9</v>
      </c>
    </row>
    <row r="1585" spans="2:14">
      <c r="B1585" s="58" t="s">
        <v>2232</v>
      </c>
      <c r="D1585" s="47">
        <v>0</v>
      </c>
      <c r="E1585" s="47">
        <v>0</v>
      </c>
      <c r="F1585" s="47">
        <v>0</v>
      </c>
      <c r="G1585" s="47">
        <v>0</v>
      </c>
      <c r="H1585" s="47">
        <v>0</v>
      </c>
    </row>
    <row r="1586" spans="2:14">
      <c r="B1586" s="58" t="s">
        <v>2065</v>
      </c>
      <c r="D1586" s="47">
        <v>135</v>
      </c>
      <c r="E1586" s="47">
        <v>10</v>
      </c>
      <c r="F1586" s="47">
        <v>10</v>
      </c>
      <c r="G1586" s="47">
        <v>6</v>
      </c>
    </row>
    <row r="1587" spans="2:14">
      <c r="B1587" s="58" t="s">
        <v>2066</v>
      </c>
      <c r="D1587" s="47">
        <v>100</v>
      </c>
      <c r="E1587" s="47">
        <v>3.53</v>
      </c>
      <c r="F1587" s="47">
        <v>15.29</v>
      </c>
      <c r="G1587" s="47">
        <v>2.94</v>
      </c>
      <c r="H1587" s="47">
        <v>117.65</v>
      </c>
    </row>
    <row r="1588" spans="2:14">
      <c r="B1588" s="58" t="s">
        <v>2067</v>
      </c>
      <c r="D1588" s="47">
        <v>353</v>
      </c>
      <c r="F1588" s="47">
        <v>88</v>
      </c>
    </row>
    <row r="1589" spans="2:14">
      <c r="B1589" s="58" t="s">
        <v>2068</v>
      </c>
      <c r="D1589" s="47">
        <v>386</v>
      </c>
      <c r="F1589" s="47">
        <v>96.4</v>
      </c>
    </row>
    <row r="1590" spans="2:14">
      <c r="B1590" s="58" t="s">
        <v>2069</v>
      </c>
      <c r="D1590" s="47">
        <v>30.77</v>
      </c>
      <c r="F1590" s="47">
        <v>7.69</v>
      </c>
    </row>
    <row r="1591" spans="2:14">
      <c r="B1591" s="58" t="s">
        <v>2070</v>
      </c>
      <c r="D1591" s="47">
        <v>206</v>
      </c>
      <c r="E1591" s="47">
        <v>2</v>
      </c>
      <c r="F1591" s="47">
        <v>36</v>
      </c>
      <c r="G1591" s="47">
        <v>6</v>
      </c>
    </row>
    <row r="1592" spans="2:14">
      <c r="B1592" s="58" t="s">
        <v>2071</v>
      </c>
      <c r="D1592" s="47">
        <v>268.93</v>
      </c>
      <c r="E1592" s="47">
        <v>8</v>
      </c>
      <c r="F1592" s="47">
        <v>34.93</v>
      </c>
      <c r="G1592" s="47">
        <v>10.93</v>
      </c>
    </row>
    <row r="1593" spans="2:14">
      <c r="B1593" s="58" t="s">
        <v>2072</v>
      </c>
      <c r="D1593" s="47">
        <v>73</v>
      </c>
      <c r="E1593" s="47">
        <v>1.6</v>
      </c>
      <c r="F1593" s="47">
        <v>13</v>
      </c>
      <c r="G1593" s="47">
        <v>1.6</v>
      </c>
    </row>
    <row r="1594" spans="2:14">
      <c r="B1594" s="58" t="s">
        <v>2073</v>
      </c>
      <c r="D1594" s="47">
        <v>325</v>
      </c>
      <c r="E1594" s="47">
        <v>12</v>
      </c>
      <c r="F1594" s="47">
        <v>8</v>
      </c>
      <c r="G1594" s="47">
        <v>27</v>
      </c>
    </row>
    <row r="1595" spans="2:14">
      <c r="B1595" s="58" t="s">
        <v>2074</v>
      </c>
      <c r="D1595" s="47">
        <v>230</v>
      </c>
      <c r="E1595" s="47">
        <v>2.4</v>
      </c>
      <c r="F1595" s="47">
        <v>13.9</v>
      </c>
      <c r="H1595" s="47">
        <v>4</v>
      </c>
      <c r="I1595" s="47">
        <v>0.6</v>
      </c>
    </row>
    <row r="1596" spans="2:14">
      <c r="B1596" s="58" t="s">
        <v>2076</v>
      </c>
    </row>
    <row r="1597" spans="2:14">
      <c r="B1597" s="58" t="s">
        <v>2077</v>
      </c>
      <c r="D1597" s="47">
        <v>190</v>
      </c>
      <c r="E1597" s="47">
        <v>6</v>
      </c>
      <c r="F1597" s="47">
        <v>23</v>
      </c>
      <c r="G1597" s="47">
        <v>8</v>
      </c>
    </row>
    <row r="1598" spans="2:14">
      <c r="B1598" s="58" t="s">
        <v>2078</v>
      </c>
      <c r="D1598" s="47">
        <v>180</v>
      </c>
      <c r="E1598" s="47">
        <v>11</v>
      </c>
      <c r="F1598" s="47">
        <v>12</v>
      </c>
      <c r="G1598" s="47">
        <v>10</v>
      </c>
    </row>
    <row r="1599" spans="2:14">
      <c r="B1599" s="58" t="s">
        <v>2079</v>
      </c>
      <c r="C1599" s="47"/>
      <c r="D1599" s="47">
        <v>380</v>
      </c>
      <c r="E1599" s="47">
        <v>6</v>
      </c>
      <c r="F1599" s="47">
        <v>87</v>
      </c>
      <c r="G1599" s="47">
        <v>1</v>
      </c>
      <c r="I1599" s="47">
        <v>4</v>
      </c>
      <c r="J1599" s="47">
        <v>583.33000000000004</v>
      </c>
      <c r="K1599" s="47">
        <v>1</v>
      </c>
      <c r="L1599" s="47">
        <v>1.17</v>
      </c>
      <c r="M1599" s="47">
        <v>12.5</v>
      </c>
      <c r="N1599" s="47">
        <v>83.33</v>
      </c>
    </row>
    <row r="1600" spans="2:14">
      <c r="B1600" s="58" t="s">
        <v>2080</v>
      </c>
      <c r="D1600" s="47">
        <v>280</v>
      </c>
      <c r="E1600" s="47">
        <v>11</v>
      </c>
      <c r="F1600" s="47">
        <v>18</v>
      </c>
      <c r="G1600" s="47">
        <v>18</v>
      </c>
    </row>
    <row r="1601" spans="2:12">
      <c r="B1601" s="58" t="s">
        <v>2081</v>
      </c>
      <c r="D1601" s="47">
        <v>139</v>
      </c>
      <c r="E1601" s="47">
        <v>10.199999999999999</v>
      </c>
      <c r="F1601" s="47">
        <v>20.3</v>
      </c>
      <c r="G1601" s="47">
        <v>1.9</v>
      </c>
    </row>
    <row r="1602" spans="2:12">
      <c r="B1602" s="58" t="s">
        <v>2144</v>
      </c>
      <c r="D1602" s="47">
        <v>163</v>
      </c>
      <c r="E1602" s="47">
        <v>4.5</v>
      </c>
      <c r="F1602" s="47">
        <v>35</v>
      </c>
      <c r="G1602" s="47">
        <v>0.6</v>
      </c>
    </row>
    <row r="1603" spans="2:12">
      <c r="B1603" s="58" t="s">
        <v>2145</v>
      </c>
      <c r="D1603" s="47">
        <v>231</v>
      </c>
      <c r="E1603" s="47">
        <v>13.7</v>
      </c>
      <c r="F1603" s="47">
        <v>7.8</v>
      </c>
      <c r="G1603" s="47">
        <v>16.100000000000001</v>
      </c>
    </row>
    <row r="1604" spans="2:12">
      <c r="B1604" s="58" t="s">
        <v>2126</v>
      </c>
      <c r="D1604" s="47">
        <v>28.95</v>
      </c>
      <c r="F1604" s="47">
        <v>7.37</v>
      </c>
    </row>
    <row r="1605" spans="2:12">
      <c r="B1605" s="52" t="s">
        <v>2146</v>
      </c>
      <c r="C1605" s="52"/>
      <c r="D1605" s="47">
        <v>14</v>
      </c>
      <c r="F1605" s="47">
        <v>4</v>
      </c>
    </row>
    <row r="1606" spans="2:12">
      <c r="B1606" s="52" t="s">
        <v>2251</v>
      </c>
      <c r="C1606" s="52"/>
      <c r="D1606" s="47">
        <v>345</v>
      </c>
      <c r="E1606" s="47">
        <v>0</v>
      </c>
      <c r="F1606" s="47">
        <v>15</v>
      </c>
      <c r="G1606" s="47">
        <v>30</v>
      </c>
    </row>
    <row r="1607" spans="2:12">
      <c r="B1607" s="58" t="s">
        <v>2132</v>
      </c>
      <c r="D1607" s="47">
        <v>755</v>
      </c>
      <c r="E1607" s="47">
        <v>1</v>
      </c>
      <c r="F1607" s="47">
        <v>1</v>
      </c>
      <c r="G1607" s="47">
        <v>83</v>
      </c>
      <c r="H1607" s="47">
        <v>71</v>
      </c>
      <c r="I1607" s="47">
        <v>2.1</v>
      </c>
      <c r="J1607" s="47">
        <v>123</v>
      </c>
      <c r="K1607" s="47">
        <v>0.01</v>
      </c>
      <c r="L1607" s="47">
        <v>0.03</v>
      </c>
    </row>
    <row r="1608" spans="2:12">
      <c r="B1608" s="58" t="s">
        <v>2147</v>
      </c>
      <c r="D1608" s="47">
        <v>120</v>
      </c>
      <c r="E1608" s="47">
        <v>10</v>
      </c>
      <c r="F1608" s="47">
        <v>20</v>
      </c>
    </row>
    <row r="1609" spans="2:12">
      <c r="B1609" s="58" t="s">
        <v>2148</v>
      </c>
      <c r="D1609" s="47">
        <v>85</v>
      </c>
      <c r="E1609" s="47">
        <v>2</v>
      </c>
      <c r="F1609" s="47">
        <v>13</v>
      </c>
    </row>
    <row r="1610" spans="2:12">
      <c r="B1610" s="58" t="s">
        <v>2142</v>
      </c>
      <c r="D1610" s="47">
        <v>168</v>
      </c>
      <c r="E1610" s="47">
        <v>12</v>
      </c>
      <c r="F1610" s="47">
        <v>8</v>
      </c>
      <c r="G1610" s="47">
        <v>6</v>
      </c>
    </row>
    <row r="1611" spans="2:12">
      <c r="B1611" s="58" t="s">
        <v>2133</v>
      </c>
      <c r="D1611" s="47">
        <v>259</v>
      </c>
      <c r="E1611" s="47">
        <v>10.7</v>
      </c>
      <c r="F1611" s="47">
        <v>13.9</v>
      </c>
      <c r="G1611" s="47">
        <v>17.8</v>
      </c>
    </row>
    <row r="1612" spans="2:12">
      <c r="B1612" s="58" t="s">
        <v>2149</v>
      </c>
      <c r="D1612" s="47">
        <v>220</v>
      </c>
      <c r="E1612" s="47">
        <v>6.7</v>
      </c>
      <c r="F1612" s="47">
        <v>22.3</v>
      </c>
      <c r="G1612" s="47">
        <v>2.4</v>
      </c>
    </row>
    <row r="1613" spans="2:12">
      <c r="B1613" s="58" t="s">
        <v>2134</v>
      </c>
      <c r="D1613" s="47">
        <v>125</v>
      </c>
      <c r="F1613" s="47">
        <v>25</v>
      </c>
    </row>
    <row r="1614" spans="2:12">
      <c r="B1614" s="58" t="s">
        <v>2150</v>
      </c>
      <c r="D1614" s="47">
        <v>45</v>
      </c>
      <c r="F1614" s="47">
        <v>11</v>
      </c>
    </row>
    <row r="1615" spans="2:12">
      <c r="B1615" s="58" t="s">
        <v>2151</v>
      </c>
      <c r="D1615" s="47">
        <v>285</v>
      </c>
      <c r="E1615" s="47">
        <v>13</v>
      </c>
      <c r="F1615" s="47">
        <v>19</v>
      </c>
      <c r="G1615" s="47">
        <v>17</v>
      </c>
    </row>
    <row r="1616" spans="2:12">
      <c r="B1616" s="58" t="s">
        <v>2140</v>
      </c>
      <c r="D1616" s="47">
        <v>85.3</v>
      </c>
      <c r="E1616" s="47">
        <v>2.1</v>
      </c>
      <c r="F1616" s="47">
        <v>13.7</v>
      </c>
      <c r="G1616" s="47">
        <v>2.4</v>
      </c>
    </row>
    <row r="1617" spans="2:13">
      <c r="B1617" s="58" t="s">
        <v>2152</v>
      </c>
      <c r="D1617" s="47">
        <v>190</v>
      </c>
      <c r="E1617" s="47">
        <v>2</v>
      </c>
      <c r="F1617" s="47">
        <v>31</v>
      </c>
      <c r="G1617" s="47">
        <v>6</v>
      </c>
    </row>
    <row r="1618" spans="2:13">
      <c r="B1618" s="58" t="s">
        <v>2153</v>
      </c>
      <c r="D1618" s="47">
        <v>590</v>
      </c>
      <c r="E1618" s="47">
        <v>6.4</v>
      </c>
      <c r="F1618" s="47">
        <v>47.5</v>
      </c>
      <c r="G1618" s="47">
        <v>41.5</v>
      </c>
    </row>
    <row r="1619" spans="2:13">
      <c r="B1619" s="58" t="s">
        <v>2122</v>
      </c>
      <c r="D1619" s="47">
        <v>113</v>
      </c>
      <c r="E1619" s="47">
        <v>3.7</v>
      </c>
      <c r="F1619" s="47">
        <v>23.9</v>
      </c>
      <c r="G1619" s="47">
        <v>0.3</v>
      </c>
      <c r="H1619" s="47">
        <v>129.5</v>
      </c>
    </row>
    <row r="1620" spans="2:13">
      <c r="B1620" s="58" t="s">
        <v>2141</v>
      </c>
      <c r="D1620" s="47">
        <v>390</v>
      </c>
      <c r="E1620" s="47">
        <v>9</v>
      </c>
      <c r="F1620" s="47">
        <v>50</v>
      </c>
      <c r="G1620" s="47">
        <v>17</v>
      </c>
    </row>
    <row r="1621" spans="2:13">
      <c r="B1621" s="58" t="s">
        <v>2120</v>
      </c>
      <c r="D1621" s="47">
        <v>245</v>
      </c>
      <c r="E1621" s="47">
        <v>13</v>
      </c>
      <c r="F1621" s="47">
        <v>13</v>
      </c>
      <c r="G1621" s="47">
        <v>16</v>
      </c>
    </row>
    <row r="1622" spans="2:13">
      <c r="B1622" s="58" t="s">
        <v>2114</v>
      </c>
      <c r="D1622" s="47">
        <v>100</v>
      </c>
      <c r="E1622" s="47">
        <v>4</v>
      </c>
      <c r="F1622" s="47">
        <v>14</v>
      </c>
      <c r="G1622" s="47">
        <v>3</v>
      </c>
    </row>
    <row r="1623" spans="2:13">
      <c r="B1623" s="58" t="s">
        <v>2154</v>
      </c>
      <c r="D1623" s="47">
        <v>319.89999999999998</v>
      </c>
      <c r="E1623" s="47">
        <v>6</v>
      </c>
      <c r="F1623" s="47">
        <v>41.8</v>
      </c>
      <c r="G1623" s="47">
        <v>14.3</v>
      </c>
    </row>
    <row r="1624" spans="2:13">
      <c r="B1624" s="58" t="s">
        <v>2155</v>
      </c>
      <c r="D1624" s="47">
        <v>62.5</v>
      </c>
      <c r="F1624" s="47">
        <v>15</v>
      </c>
    </row>
    <row r="1625" spans="2:13">
      <c r="B1625" s="58" t="s">
        <v>2156</v>
      </c>
      <c r="D1625" s="47">
        <v>560</v>
      </c>
      <c r="E1625" s="47">
        <v>28.43</v>
      </c>
      <c r="F1625" s="47">
        <v>24.62</v>
      </c>
      <c r="G1625" s="47">
        <v>43.11</v>
      </c>
      <c r="H1625" s="47">
        <v>48</v>
      </c>
      <c r="I1625" s="47">
        <v>2.04</v>
      </c>
      <c r="K1625" s="47">
        <v>0.77</v>
      </c>
      <c r="L1625" s="47">
        <v>0.34</v>
      </c>
      <c r="M1625" s="47">
        <v>3.32</v>
      </c>
    </row>
    <row r="1626" spans="2:13">
      <c r="B1626" s="52" t="s">
        <v>2157</v>
      </c>
      <c r="D1626" s="47">
        <v>312.5</v>
      </c>
      <c r="E1626" s="47">
        <v>6.25</v>
      </c>
      <c r="F1626" s="47">
        <v>53.13</v>
      </c>
      <c r="G1626" s="47">
        <v>7.81</v>
      </c>
    </row>
    <row r="1627" spans="2:13">
      <c r="B1627" s="58" t="s">
        <v>2158</v>
      </c>
      <c r="D1627" s="47">
        <v>62.5</v>
      </c>
      <c r="F1627" s="47">
        <v>15</v>
      </c>
      <c r="M1627" s="47">
        <v>20</v>
      </c>
    </row>
    <row r="1628" spans="2:13">
      <c r="B1628" s="58" t="s">
        <v>2159</v>
      </c>
      <c r="D1628" s="47">
        <v>354</v>
      </c>
      <c r="F1628" s="47">
        <v>88</v>
      </c>
    </row>
    <row r="1629" spans="2:13">
      <c r="B1629" s="58" t="s">
        <v>2524</v>
      </c>
      <c r="D1629" s="47">
        <v>16</v>
      </c>
    </row>
    <row r="1630" spans="2:13">
      <c r="B1630" s="58" t="s">
        <v>2160</v>
      </c>
      <c r="D1630" s="47">
        <v>536</v>
      </c>
      <c r="E1630" s="47">
        <v>6.7</v>
      </c>
      <c r="F1630" s="47">
        <v>67</v>
      </c>
      <c r="G1630" s="47">
        <v>26.8</v>
      </c>
    </row>
    <row r="1631" spans="2:13">
      <c r="B1631" s="58" t="s">
        <v>2161</v>
      </c>
      <c r="D1631" s="47">
        <v>50.4</v>
      </c>
      <c r="F1631" s="47">
        <v>12</v>
      </c>
    </row>
    <row r="1632" spans="2:13">
      <c r="B1632" s="58" t="s">
        <v>2162</v>
      </c>
      <c r="D1632" s="47">
        <v>286.60000000000002</v>
      </c>
      <c r="E1632" s="47">
        <v>8.9</v>
      </c>
      <c r="F1632" s="47">
        <v>46.7</v>
      </c>
      <c r="G1632" s="47">
        <v>7.1</v>
      </c>
    </row>
    <row r="1633" spans="2:16">
      <c r="B1633" s="58" t="s">
        <v>2163</v>
      </c>
      <c r="D1633" s="47">
        <v>52</v>
      </c>
      <c r="F1633" s="47">
        <v>13</v>
      </c>
    </row>
    <row r="1634" spans="2:16">
      <c r="B1634" s="58" t="s">
        <v>2248</v>
      </c>
      <c r="D1634" s="47">
        <v>129</v>
      </c>
      <c r="E1634" s="47">
        <v>1</v>
      </c>
      <c r="F1634" s="47">
        <v>11</v>
      </c>
      <c r="G1634" s="47">
        <v>9</v>
      </c>
    </row>
    <row r="1635" spans="2:16">
      <c r="B1635" s="58" t="s">
        <v>2164</v>
      </c>
      <c r="D1635" s="47">
        <v>483</v>
      </c>
      <c r="E1635" s="47">
        <v>7</v>
      </c>
      <c r="F1635" s="47">
        <v>61</v>
      </c>
      <c r="G1635" s="47">
        <v>25</v>
      </c>
    </row>
    <row r="1636" spans="2:16">
      <c r="B1636" s="58" t="s">
        <v>2165</v>
      </c>
      <c r="D1636" s="47">
        <v>76.67</v>
      </c>
      <c r="E1636" s="47">
        <v>3.33</v>
      </c>
      <c r="F1636" s="47">
        <v>10</v>
      </c>
      <c r="G1636" s="47">
        <v>2.67</v>
      </c>
      <c r="H1636" s="47">
        <v>80</v>
      </c>
    </row>
    <row r="1637" spans="2:16">
      <c r="B1637" s="58" t="s">
        <v>2166</v>
      </c>
      <c r="D1637" s="47">
        <v>352</v>
      </c>
      <c r="E1637" s="47">
        <v>4.66</v>
      </c>
      <c r="F1637" s="47">
        <v>29.33</v>
      </c>
      <c r="G1637" s="47">
        <v>24</v>
      </c>
    </row>
    <row r="1638" spans="2:16">
      <c r="B1638" s="58" t="s">
        <v>2167</v>
      </c>
      <c r="D1638" s="47">
        <v>230</v>
      </c>
      <c r="E1638" s="47">
        <v>14</v>
      </c>
      <c r="F1638" s="47">
        <v>16</v>
      </c>
      <c r="G1638" s="47">
        <v>12</v>
      </c>
    </row>
    <row r="1639" spans="2:16">
      <c r="B1639" s="58" t="s">
        <v>2168</v>
      </c>
      <c r="D1639" s="47">
        <v>47.23</v>
      </c>
      <c r="E1639" s="47">
        <v>6.05</v>
      </c>
      <c r="F1639" s="47">
        <v>4.92</v>
      </c>
      <c r="G1639" s="47">
        <v>0.38</v>
      </c>
    </row>
    <row r="1640" spans="2:16">
      <c r="B1640" s="58" t="s">
        <v>2169</v>
      </c>
      <c r="D1640" s="47">
        <v>240</v>
      </c>
      <c r="E1640" s="47">
        <v>12</v>
      </c>
      <c r="F1640" s="47">
        <v>14</v>
      </c>
      <c r="G1640" s="47">
        <v>15</v>
      </c>
    </row>
    <row r="1641" spans="2:16">
      <c r="B1641" s="58" t="s">
        <v>2170</v>
      </c>
      <c r="D1641" s="47">
        <v>540</v>
      </c>
      <c r="F1641" s="47">
        <v>60</v>
      </c>
      <c r="G1641" s="47">
        <v>33.33</v>
      </c>
    </row>
    <row r="1642" spans="2:16">
      <c r="B1642" s="58" t="s">
        <v>2171</v>
      </c>
      <c r="D1642" s="47">
        <v>168.67</v>
      </c>
      <c r="E1642" s="47">
        <v>3.8</v>
      </c>
      <c r="F1642" s="47">
        <v>24.93</v>
      </c>
      <c r="G1642" s="47">
        <v>5.93</v>
      </c>
    </row>
    <row r="1643" spans="2:16">
      <c r="B1643" s="58" t="s">
        <v>2172</v>
      </c>
      <c r="D1643" s="47">
        <v>200</v>
      </c>
      <c r="E1643" s="47">
        <v>15.56</v>
      </c>
      <c r="F1643" s="47">
        <v>14.44</v>
      </c>
      <c r="G1643" s="47">
        <v>8.89</v>
      </c>
    </row>
    <row r="1644" spans="2:16">
      <c r="B1644" s="58" t="s">
        <v>2086</v>
      </c>
      <c r="D1644" s="47">
        <v>234.7</v>
      </c>
      <c r="E1644" s="47">
        <v>16</v>
      </c>
      <c r="F1644" s="47">
        <v>6.8</v>
      </c>
      <c r="G1644" s="47">
        <v>9.8699999999999992</v>
      </c>
    </row>
    <row r="1645" spans="2:16">
      <c r="B1645" s="58" t="s">
        <v>2114</v>
      </c>
      <c r="D1645" s="47">
        <v>100</v>
      </c>
      <c r="E1645" s="47">
        <v>4</v>
      </c>
      <c r="F1645" s="47">
        <v>14</v>
      </c>
      <c r="G1645" s="47">
        <v>3</v>
      </c>
      <c r="H1645" s="47">
        <v>50</v>
      </c>
    </row>
    <row r="1646" spans="2:16">
      <c r="B1646" s="52" t="s">
        <v>2173</v>
      </c>
      <c r="D1646" s="47">
        <v>300</v>
      </c>
      <c r="E1646" s="47">
        <v>1</v>
      </c>
      <c r="F1646" s="47">
        <v>41</v>
      </c>
      <c r="G1646" s="47">
        <v>15</v>
      </c>
    </row>
    <row r="1647" spans="2:16">
      <c r="B1647" s="52" t="s">
        <v>2174</v>
      </c>
      <c r="D1647" s="47">
        <v>205</v>
      </c>
      <c r="E1647" s="47">
        <v>1</v>
      </c>
      <c r="F1647" s="47">
        <v>50</v>
      </c>
      <c r="G1647" s="47">
        <v>0</v>
      </c>
      <c r="P1647" s="47" t="s">
        <v>2175</v>
      </c>
    </row>
    <row r="1648" spans="2:16">
      <c r="B1648" s="52" t="s">
        <v>2176</v>
      </c>
      <c r="D1648" s="47">
        <v>313</v>
      </c>
      <c r="E1648" s="47">
        <v>9.8000000000000007</v>
      </c>
      <c r="F1648" s="47">
        <v>41.4</v>
      </c>
      <c r="G1648" s="47">
        <v>12</v>
      </c>
    </row>
    <row r="1649" spans="2:15">
      <c r="B1649" s="52" t="s">
        <v>2177</v>
      </c>
      <c r="C1649" s="59" t="s">
        <v>455</v>
      </c>
      <c r="D1649" s="47">
        <v>220</v>
      </c>
      <c r="E1649" s="47">
        <v>15</v>
      </c>
      <c r="F1649" s="47">
        <v>12.4</v>
      </c>
      <c r="G1649" s="47">
        <v>6</v>
      </c>
      <c r="H1649" s="47">
        <v>80.5</v>
      </c>
      <c r="I1649" s="47">
        <v>1.3</v>
      </c>
      <c r="J1649" s="47">
        <v>0</v>
      </c>
      <c r="K1649" s="47">
        <v>0.1</v>
      </c>
      <c r="L1649" s="47">
        <v>0.1</v>
      </c>
      <c r="M1649" s="47">
        <v>0.23</v>
      </c>
      <c r="N1649" s="47">
        <v>0</v>
      </c>
      <c r="O1649" s="47">
        <v>0</v>
      </c>
    </row>
    <row r="1650" spans="2:15">
      <c r="B1650" s="52" t="s">
        <v>2178</v>
      </c>
      <c r="D1650" s="47">
        <v>123</v>
      </c>
      <c r="E1650" s="47">
        <v>7.45</v>
      </c>
      <c r="F1650" s="47">
        <v>26.42</v>
      </c>
      <c r="G1650" s="47">
        <v>0.16</v>
      </c>
      <c r="H1650" s="47">
        <v>12</v>
      </c>
      <c r="I1650" s="47">
        <v>0.78</v>
      </c>
      <c r="K1650" s="47">
        <v>0.15</v>
      </c>
      <c r="L1650" s="47">
        <v>0.16</v>
      </c>
      <c r="M1650" s="47">
        <v>0.5</v>
      </c>
      <c r="N1650" s="47">
        <v>8.4499999999999993</v>
      </c>
    </row>
    <row r="1651" spans="2:15">
      <c r="B1651" s="52" t="s">
        <v>2179</v>
      </c>
      <c r="D1651" s="47">
        <v>406.25</v>
      </c>
      <c r="E1651" s="47">
        <v>4.38</v>
      </c>
      <c r="F1651" s="47">
        <v>68.75</v>
      </c>
      <c r="G1651" s="47">
        <v>12.5</v>
      </c>
    </row>
    <row r="1652" spans="2:15">
      <c r="B1652" s="52" t="s">
        <v>2180</v>
      </c>
      <c r="D1652" s="47">
        <v>133</v>
      </c>
      <c r="E1652" s="47">
        <v>3</v>
      </c>
      <c r="F1652" s="47">
        <v>29</v>
      </c>
      <c r="G1652" s="47">
        <v>0.6</v>
      </c>
    </row>
    <row r="1653" spans="2:15">
      <c r="B1653" s="52" t="s">
        <v>2181</v>
      </c>
      <c r="C1653" s="59" t="s">
        <v>92</v>
      </c>
      <c r="D1653" s="47">
        <v>164</v>
      </c>
      <c r="E1653" s="47">
        <v>7.1</v>
      </c>
      <c r="F1653" s="47">
        <v>18</v>
      </c>
      <c r="G1653" s="47">
        <v>6.4</v>
      </c>
      <c r="H1653" s="47">
        <v>33.4</v>
      </c>
      <c r="I1653" s="47">
        <v>1.1200000000000001</v>
      </c>
      <c r="J1653" s="47">
        <v>15.86</v>
      </c>
      <c r="K1653" s="47">
        <v>1E-3</v>
      </c>
      <c r="L1653" s="47">
        <v>0</v>
      </c>
      <c r="M1653" s="47">
        <v>0</v>
      </c>
      <c r="N1653" s="47">
        <v>0</v>
      </c>
      <c r="O1653" s="47">
        <v>0</v>
      </c>
    </row>
    <row r="1654" spans="2:15">
      <c r="B1654" s="52" t="s">
        <v>2182</v>
      </c>
      <c r="D1654" s="47">
        <v>45.8</v>
      </c>
      <c r="E1654" s="47">
        <v>4.0999999999999996</v>
      </c>
      <c r="F1654" s="47">
        <v>10.8</v>
      </c>
      <c r="G1654" s="47">
        <v>0.4</v>
      </c>
    </row>
    <row r="1655" spans="2:15">
      <c r="B1655" s="22" t="s">
        <v>2085</v>
      </c>
      <c r="D1655" s="47">
        <v>450</v>
      </c>
      <c r="E1655" s="47">
        <v>2</v>
      </c>
      <c r="F1655" s="47">
        <v>10</v>
      </c>
      <c r="G1655" s="47">
        <v>3</v>
      </c>
    </row>
    <row r="1656" spans="2:15">
      <c r="B1656" s="52" t="s">
        <v>2183</v>
      </c>
      <c r="D1656" s="47">
        <v>234.7</v>
      </c>
      <c r="E1656" s="47">
        <v>16</v>
      </c>
      <c r="F1656" s="47">
        <v>6.8</v>
      </c>
      <c r="G1656" s="47">
        <v>9.8699999999999992</v>
      </c>
    </row>
    <row r="1658" spans="2:15">
      <c r="B1658" s="52" t="s">
        <v>2184</v>
      </c>
      <c r="D1658" s="47">
        <v>253</v>
      </c>
      <c r="E1658" s="47">
        <v>6</v>
      </c>
      <c r="F1658" s="47">
        <v>40</v>
      </c>
      <c r="G1658" s="47">
        <v>8</v>
      </c>
    </row>
    <row r="1659" spans="2:15">
      <c r="B1659" s="52" t="s">
        <v>2185</v>
      </c>
      <c r="D1659" s="47">
        <v>170</v>
      </c>
      <c r="E1659" s="47">
        <v>2</v>
      </c>
      <c r="F1659" s="47">
        <v>7</v>
      </c>
      <c r="G1659" s="47">
        <v>15</v>
      </c>
    </row>
    <row r="1660" spans="2:15">
      <c r="B1660" s="52" t="s">
        <v>2186</v>
      </c>
      <c r="D1660" s="47">
        <v>400</v>
      </c>
      <c r="F1660" s="47">
        <v>20</v>
      </c>
      <c r="G1660" s="47">
        <v>36</v>
      </c>
    </row>
    <row r="1661" spans="2:15">
      <c r="B1661" s="52" t="s">
        <v>2254</v>
      </c>
      <c r="D1661" s="47">
        <v>356</v>
      </c>
      <c r="E1661" s="47">
        <v>10</v>
      </c>
      <c r="F1661" s="47">
        <v>28</v>
      </c>
      <c r="G1661" s="47">
        <v>23</v>
      </c>
      <c r="H1661" s="47">
        <v>0</v>
      </c>
      <c r="I1661" s="47">
        <v>0</v>
      </c>
      <c r="J1661" s="47">
        <v>0</v>
      </c>
      <c r="K1661" s="47">
        <v>0</v>
      </c>
      <c r="L1661" s="47">
        <v>0</v>
      </c>
      <c r="M1661" s="47">
        <v>0</v>
      </c>
      <c r="N1661" s="47">
        <v>0</v>
      </c>
    </row>
  </sheetData>
  <autoFilter ref="B1:C1380" xr:uid="{00000000-0009-0000-0000-000002000000}"/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972D-2772-4BB3-88BA-122B9531A9D1}">
  <sheetPr>
    <tabColor rgb="FFFFFF00"/>
    <pageSetUpPr fitToPage="1"/>
  </sheetPr>
  <dimension ref="A1:S1347"/>
  <sheetViews>
    <sheetView view="pageBreakPreview" zoomScale="85" zoomScaleNormal="85" zoomScaleSheetLayoutView="85" workbookViewId="0">
      <pane xSplit="3" ySplit="10" topLeftCell="D11" activePane="bottomRight" state="frozen"/>
      <selection activeCell="D21" sqref="D21"/>
      <selection pane="topRight" activeCell="D21" sqref="D21"/>
      <selection pane="bottomLeft" activeCell="D21" sqref="D21"/>
      <selection pane="bottomRight" activeCell="D21" sqref="D21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3" width="8.77734375" style="2" customWidth="1"/>
    <col min="14" max="14" width="8.109375" style="2" customWidth="1"/>
    <col min="15" max="15" width="8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76"/>
      <c r="F1" s="176"/>
      <c r="G1" s="39"/>
      <c r="K1" s="202"/>
      <c r="L1" s="174"/>
      <c r="M1" s="175"/>
      <c r="N1" s="110" t="s">
        <v>2252</v>
      </c>
      <c r="O1" s="173" t="s">
        <v>2256</v>
      </c>
    </row>
    <row r="2" spans="1:18" s="1" customFormat="1" ht="20.100000000000001" customHeight="1">
      <c r="A2" s="27"/>
      <c r="B2" s="27"/>
      <c r="C2" s="176"/>
      <c r="D2" s="203"/>
      <c r="E2" s="203"/>
      <c r="F2" s="10"/>
      <c r="G2" s="10"/>
      <c r="H2" s="11"/>
      <c r="K2" s="202"/>
      <c r="L2" s="204"/>
      <c r="M2" s="208"/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45726</v>
      </c>
      <c r="D3" s="201"/>
      <c r="E3" s="176" t="s">
        <v>2253</v>
      </c>
      <c r="F3" s="31"/>
      <c r="G3" s="31"/>
      <c r="H3" s="31"/>
      <c r="I3" s="13"/>
      <c r="J3" s="13"/>
      <c r="K3" s="202"/>
      <c r="L3" s="204"/>
      <c r="M3" s="208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8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2266</v>
      </c>
      <c r="B8" s="224"/>
      <c r="C8" s="224"/>
      <c r="D8" s="225">
        <v>64</v>
      </c>
      <c r="E8" s="226"/>
      <c r="F8" s="226">
        <v>29</v>
      </c>
      <c r="G8" s="226"/>
      <c r="H8" s="226">
        <v>71</v>
      </c>
      <c r="I8" s="226"/>
      <c r="J8" s="226"/>
      <c r="K8" s="226">
        <f>SUM(D8:J8)</f>
        <v>164</v>
      </c>
      <c r="L8" s="226"/>
      <c r="M8" s="226"/>
      <c r="N8" s="227"/>
      <c r="O8" s="228">
        <f>SUM(K8:N8)</f>
        <v>164</v>
      </c>
    </row>
    <row r="9" spans="1:18" s="160" customFormat="1" ht="20.100000000000001" customHeight="1">
      <c r="A9" s="230" t="s">
        <v>0</v>
      </c>
      <c r="B9" s="231"/>
      <c r="C9" s="232"/>
      <c r="D9" s="233" t="s">
        <v>2265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77" t="s">
        <v>1626</v>
      </c>
      <c r="Q10" s="178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2192</v>
      </c>
      <c r="C11" s="169" t="s">
        <v>140</v>
      </c>
      <c r="D11" s="168">
        <v>70</v>
      </c>
      <c r="E11" s="168">
        <f>IF($C11="","",VLOOKUP($C11,성분!$B$2:$O$1509,3,FALSE))/100*P11</f>
        <v>168</v>
      </c>
      <c r="F11" s="168">
        <f>IF($C11="","",VLOOKUP($C11,성분!$B$2:$O$1509,5,FALSE))/100*$P11</f>
        <v>54.95</v>
      </c>
      <c r="G11" s="168">
        <f>IF($C11="","",VLOOKUP($C11,성분!$B$2:$O$1509,4,FALSE))/100*$P11</f>
        <v>4.4800000000000004</v>
      </c>
      <c r="H11" s="168">
        <f>IF($C11="","",VLOOKUP($C11,성분!$B$2:$O$1509,6,FALSE))/100*$P11</f>
        <v>0.28000000000000003</v>
      </c>
      <c r="I11" s="168">
        <f>IF($C11="","",VLOOKUP($C11,성분!$B$2:$O$1509,7,FALSE))/100*$P11</f>
        <v>4.9000000000000004</v>
      </c>
      <c r="J11" s="168">
        <f>IF($C11="","",VLOOKUP($C11,성분!$B$2:$O$1509,8,FALSE))/100*$P11</f>
        <v>0.35000000000000003</v>
      </c>
      <c r="K11" s="168">
        <f>IF($C11="","",VLOOKUP($C11,성분!$B$2:$O$1509,9,FALSE))/100*$P11</f>
        <v>0</v>
      </c>
      <c r="L11" s="168">
        <f>IF($C11="","",VLOOKUP($C11,성분!$B$2:$O$1509,10,FALSE))/100*$P11</f>
        <v>8.3999999999999991E-2</v>
      </c>
      <c r="M11" s="168">
        <f>IF($C11="","",VLOOKUP($C11,성분!$B$2:$O$1509,11,FALSE))/100*$P11</f>
        <v>0</v>
      </c>
      <c r="N11" s="168">
        <f>IF($C11="","",VLOOKUP($C11,성분!$B$2:$O$1509,12,FALSE))/100*$P11</f>
        <v>0.97999999999999987</v>
      </c>
      <c r="O11" s="167">
        <f>IF($C11="","",VLOOKUP($C11,성분!$B$2:$O$1509,13,FALSE))/100*$P11</f>
        <v>0</v>
      </c>
      <c r="P11" s="165">
        <f t="shared" ref="P11:P31" si="0">D11</f>
        <v>70</v>
      </c>
      <c r="Q11" s="162">
        <f t="shared" ref="Q11:Q31" si="1">($O$8*P11)/1000</f>
        <v>11.48</v>
      </c>
      <c r="R11" s="18">
        <f t="shared" ref="R11:R31" si="2">INT(Q11)</f>
        <v>11</v>
      </c>
    </row>
    <row r="12" spans="1:18" s="160" customFormat="1" ht="27.75" customHeight="1">
      <c r="A12" s="166">
        <f t="shared" ref="A12:A30" si="3">ROW()-10</f>
        <v>2</v>
      </c>
      <c r="B12" s="171" t="s">
        <v>2228</v>
      </c>
      <c r="C12" s="169" t="s">
        <v>1836</v>
      </c>
      <c r="D12" s="168">
        <v>50</v>
      </c>
      <c r="E12" s="168">
        <f>IF($C12="","",VLOOKUP($C12,성분!$B$2:$O$1509,3,FALSE))/100*P12</f>
        <v>102.49999999999999</v>
      </c>
      <c r="F12" s="168">
        <f>IF($C12="","",VLOOKUP($C12,성분!$B$2:$O$1509,5,FALSE))/100*$P12</f>
        <v>9.5</v>
      </c>
      <c r="G12" s="168">
        <f>IF($C12="","",VLOOKUP($C12,성분!$B$2:$O$1509,4,FALSE))/100*$P12</f>
        <v>2.5</v>
      </c>
      <c r="H12" s="168">
        <f>IF($C12="","",VLOOKUP($C12,성분!$B$2:$O$1509,6,FALSE))/100*$P12</f>
        <v>6</v>
      </c>
      <c r="I12" s="168">
        <v>0.92</v>
      </c>
      <c r="J12" s="168">
        <f>IF($C12="","",VLOOKUP($C12,성분!$B$2:$O$1509,8,FALSE))/100*$P12</f>
        <v>0</v>
      </c>
      <c r="K12" s="168">
        <f>IF($C12="","",VLOOKUP($C12,성분!$B$2:$O$1509,9,FALSE))/100*$P12</f>
        <v>0</v>
      </c>
      <c r="L12" s="168">
        <f>IF($C12="","",VLOOKUP($C12,성분!$B$2:$O$1509,10,FALSE))/100*$P12</f>
        <v>0</v>
      </c>
      <c r="M12" s="168">
        <f>IF($C12="","",VLOOKUP($C12,성분!$B$2:$O$1509,11,FALSE))/100*$P12</f>
        <v>0</v>
      </c>
      <c r="N12" s="168">
        <f>IF($C12="","",VLOOKUP($C12,성분!$B$2:$O$1509,12,FALSE))/100*$P12</f>
        <v>0</v>
      </c>
      <c r="O12" s="167">
        <f>IF($C12="","",VLOOKUP($C12,성분!$B$2:$O$1509,13,FALSE))/100*$P12</f>
        <v>0</v>
      </c>
      <c r="P12" s="165">
        <f t="shared" si="0"/>
        <v>50</v>
      </c>
      <c r="Q12" s="162">
        <f t="shared" si="1"/>
        <v>8.1999999999999993</v>
      </c>
      <c r="R12" s="18">
        <f t="shared" si="2"/>
        <v>8</v>
      </c>
    </row>
    <row r="13" spans="1:18" s="160" customFormat="1" ht="27.75" customHeight="1">
      <c r="A13" s="166">
        <f t="shared" si="3"/>
        <v>3</v>
      </c>
      <c r="B13" s="171"/>
      <c r="C13" s="169" t="s">
        <v>2223</v>
      </c>
      <c r="D13" s="168">
        <v>30</v>
      </c>
      <c r="E13" s="168">
        <f>IF($C13="","",VLOOKUP($C13,성분!$B$2:$O$1509,3,FALSE))/100*P13</f>
        <v>48.6</v>
      </c>
      <c r="F13" s="168">
        <f>IF($C13="","",VLOOKUP($C13,성분!$B$2:$O$1509,5,FALSE))/100*$P13</f>
        <v>8.4</v>
      </c>
      <c r="G13" s="168">
        <v>2.5099999999999998</v>
      </c>
      <c r="H13" s="168">
        <f>IF($C13="","",VLOOKUP($C13,성분!$B$2:$O$1509,6,FALSE))/100*$P13</f>
        <v>2.9039999999999999</v>
      </c>
      <c r="I13" s="168">
        <v>18.920000000000002</v>
      </c>
      <c r="J13" s="168">
        <f>IF($C13="","",VLOOKUP($C13,성분!$B$2:$O$1509,8,FALSE))/100*$P13</f>
        <v>0.6</v>
      </c>
      <c r="K13" s="168">
        <f>IF($C13="","",VLOOKUP($C13,성분!$B$2:$O$1509,9,FALSE))/100*$P13</f>
        <v>45</v>
      </c>
      <c r="L13" s="168">
        <f>IF($C13="","",VLOOKUP($C13,성분!$B$2:$O$1509,10,FALSE))/100*$P13</f>
        <v>1.7999999999999999E-2</v>
      </c>
      <c r="M13" s="168">
        <f>IF($C13="","",VLOOKUP($C13,성분!$B$2:$O$1509,11,FALSE))/100*$P13</f>
        <v>8.4000000000000019E-2</v>
      </c>
      <c r="N13" s="168">
        <f>IF($C13="","",VLOOKUP($C13,성분!$B$2:$O$1509,12,FALSE))/100*$P13</f>
        <v>0</v>
      </c>
      <c r="O13" s="167">
        <f>IF($C13="","",VLOOKUP($C13,성분!$B$2:$O$1509,13,FALSE))/100*$P13</f>
        <v>0</v>
      </c>
      <c r="P13" s="165">
        <f t="shared" si="0"/>
        <v>30</v>
      </c>
      <c r="Q13" s="162">
        <f t="shared" si="1"/>
        <v>4.92</v>
      </c>
      <c r="R13" s="18">
        <f t="shared" si="2"/>
        <v>4</v>
      </c>
    </row>
    <row r="14" spans="1:18" s="160" customFormat="1" ht="27.75" customHeight="1">
      <c r="A14" s="166">
        <f t="shared" si="3"/>
        <v>4</v>
      </c>
      <c r="B14" s="171"/>
      <c r="C14" s="169" t="s">
        <v>1613</v>
      </c>
      <c r="D14" s="168">
        <v>4</v>
      </c>
      <c r="E14" s="168">
        <f>IF($C14="","",VLOOKUP($C14,성분!$B$2:$O$1509,3,FALSE))/100*P14</f>
        <v>10.8</v>
      </c>
      <c r="F14" s="168">
        <f>IF($C14="","",VLOOKUP($C14,성분!$B$2:$O$1509,5,FALSE))/100*$P14</f>
        <v>3.6000000000000004E-2</v>
      </c>
      <c r="G14" s="168">
        <v>1.1100000000000001</v>
      </c>
      <c r="H14" s="168">
        <f>IF($C14="","",VLOOKUP($C14,성분!$B$2:$O$1509,6,FALSE))/100*$P14</f>
        <v>0.21199999999999999</v>
      </c>
      <c r="I14" s="168">
        <f>IF($C14="","",VLOOKUP($C14,성분!$B$2:$O$1509,7,FALSE))/100*$P14</f>
        <v>73</v>
      </c>
      <c r="J14" s="168">
        <f>IF($C14="","",VLOOKUP($C14,성분!$B$2:$O$1509,8,FALSE))/100*$P14</f>
        <v>0.3</v>
      </c>
      <c r="K14" s="168">
        <f>IF($C14="","",VLOOKUP($C14,성분!$B$2:$O$1509,9,FALSE))/100*$P14</f>
        <v>0</v>
      </c>
      <c r="L14" s="168">
        <f>IF($C14="","",VLOOKUP($C14,성분!$B$2:$O$1509,10,FALSE))/100*$P14</f>
        <v>6.0000000000000001E-3</v>
      </c>
      <c r="M14" s="168">
        <f>IF($C14="","",VLOOKUP($C14,성분!$B$2:$O$1509,11,FALSE))/100*$P14</f>
        <v>7.1999999999999998E-3</v>
      </c>
      <c r="N14" s="168">
        <f>IF($C14="","",VLOOKUP($C14,성분!$B$2:$O$1509,12,FALSE))/100*$P14</f>
        <v>0.46399999999999997</v>
      </c>
      <c r="O14" s="167">
        <f>IF($C14="","",VLOOKUP($C14,성분!$B$2:$O$1509,13,FALSE))/100*$P14</f>
        <v>0</v>
      </c>
      <c r="P14" s="165">
        <f t="shared" si="0"/>
        <v>4</v>
      </c>
      <c r="Q14" s="162">
        <f t="shared" si="1"/>
        <v>0.65600000000000003</v>
      </c>
      <c r="R14" s="18">
        <f t="shared" si="2"/>
        <v>0</v>
      </c>
    </row>
    <row r="15" spans="1:18" s="160" customFormat="1" ht="27.75" customHeight="1">
      <c r="A15" s="166">
        <f t="shared" si="3"/>
        <v>5</v>
      </c>
      <c r="B15" s="171"/>
      <c r="C15" s="169" t="s">
        <v>1306</v>
      </c>
      <c r="D15" s="168">
        <v>5</v>
      </c>
      <c r="E15" s="168">
        <f>IF($C15="","",VLOOKUP($C15,성분!$B$2:$O$1509,3,FALSE))/100*P15</f>
        <v>13.600000000000001</v>
      </c>
      <c r="F15" s="168">
        <f>IF($C15="","",VLOOKUP($C15,성분!$B$2:$O$1509,5,FALSE))/100*$P15</f>
        <v>2.0550000000000002</v>
      </c>
      <c r="G15" s="168">
        <f>IF($C15="","",VLOOKUP($C15,성분!$B$2:$O$1509,4,FALSE))/100*$P15</f>
        <v>1</v>
      </c>
      <c r="H15" s="168">
        <f>IF($C15="","",VLOOKUP($C15,성분!$B$2:$O$1509,6,FALSE))/100*$P15</f>
        <v>0.11499999999999999</v>
      </c>
      <c r="I15" s="168">
        <f>IF($C15="","",VLOOKUP($C15,성분!$B$2:$O$1509,7,FALSE))/100*$P15</f>
        <v>20.5</v>
      </c>
      <c r="J15" s="168">
        <f>IF($C15="","",VLOOKUP($C15,성분!$B$2:$O$1509,8,FALSE))/100*$P15</f>
        <v>0.25</v>
      </c>
      <c r="K15" s="168">
        <f>IF($C15="","",VLOOKUP($C15,성분!$B$2:$O$1509,9,FALSE))/100*$P15</f>
        <v>12</v>
      </c>
      <c r="L15" s="168">
        <f>IF($C15="","",VLOOKUP($C15,성분!$B$2:$O$1509,10,FALSE))/100*$P15</f>
        <v>1.4999999999999999E-2</v>
      </c>
      <c r="M15" s="168">
        <f>IF($C15="","",VLOOKUP($C15,성분!$B$2:$O$1509,11,FALSE))/100*$P15</f>
        <v>5.0000000000000001E-3</v>
      </c>
      <c r="N15" s="168">
        <f>IF($C15="","",VLOOKUP($C15,성분!$B$2:$O$1509,12,FALSE))/100*$P15</f>
        <v>0.25</v>
      </c>
      <c r="O15" s="167">
        <f>IF($C15="","",VLOOKUP($C15,성분!$B$2:$O$1509,13,FALSE))/100*$P15</f>
        <v>1.85</v>
      </c>
      <c r="P15" s="165">
        <f t="shared" si="0"/>
        <v>5</v>
      </c>
      <c r="Q15" s="162">
        <f t="shared" si="1"/>
        <v>0.82</v>
      </c>
      <c r="R15" s="18">
        <f t="shared" si="2"/>
        <v>0</v>
      </c>
    </row>
    <row r="16" spans="1:18" s="160" customFormat="1" ht="27.75" customHeight="1">
      <c r="A16" s="166">
        <f t="shared" si="3"/>
        <v>6</v>
      </c>
      <c r="B16" s="171"/>
      <c r="C16" s="169" t="s">
        <v>1708</v>
      </c>
      <c r="D16" s="168">
        <v>45</v>
      </c>
      <c r="E16" s="168">
        <f>IF($C16="","",VLOOKUP($C16,성분!$B$2:$O$1509,3,FALSE))/100*P16</f>
        <v>22.5</v>
      </c>
      <c r="F16" s="168">
        <f>IF($C16="","",VLOOKUP($C16,성분!$B$2:$O$1509,5,FALSE))/100*$P16</f>
        <v>1.9800000000000002</v>
      </c>
      <c r="G16" s="168">
        <f>IF($C16="","",VLOOKUP($C16,성분!$B$2:$O$1509,4,FALSE))/100*$P16</f>
        <v>0.9</v>
      </c>
      <c r="H16" s="168">
        <f>IF($C16="","",VLOOKUP($C16,성분!$B$2:$O$1509,6,FALSE))/100*$P16</f>
        <v>0.09</v>
      </c>
      <c r="I16" s="168">
        <f>IF($C16="","",VLOOKUP($C16,성분!$B$2:$O$1509,7,FALSE))/100*$P16</f>
        <v>21.15</v>
      </c>
      <c r="J16" s="168">
        <v>0.46</v>
      </c>
      <c r="K16" s="168">
        <f>IF($C16="","",VLOOKUP($C16,성분!$B$2:$O$1509,9,FALSE))/100*$P16</f>
        <v>21.599999999999998</v>
      </c>
      <c r="L16" s="168">
        <f>IF($C16="","",VLOOKUP($C16,성분!$B$2:$O$1509,10,FALSE))/100*$P16</f>
        <v>2.6999999999999996E-2</v>
      </c>
      <c r="M16" s="168">
        <f>IF($C16="","",VLOOKUP($C16,성분!$B$2:$O$1509,11,FALSE))/100*$P16</f>
        <v>2.6999999999999996E-2</v>
      </c>
      <c r="N16" s="168">
        <f>IF($C16="","",VLOOKUP($C16,성분!$B$2:$O$1509,12,FALSE))/100*$P16</f>
        <v>0.36</v>
      </c>
      <c r="O16" s="167">
        <f>IF($C16="","",VLOOKUP($C16,성분!$B$2:$O$1509,13,FALSE))/100*$P16</f>
        <v>6.3000000000000007</v>
      </c>
      <c r="P16" s="165">
        <f t="shared" si="0"/>
        <v>45</v>
      </c>
      <c r="Q16" s="162">
        <f t="shared" si="1"/>
        <v>7.38</v>
      </c>
      <c r="R16" s="18">
        <f t="shared" si="2"/>
        <v>7</v>
      </c>
    </row>
    <row r="17" spans="1:18" s="160" customFormat="1" ht="27.75" customHeight="1">
      <c r="A17" s="166">
        <f t="shared" si="3"/>
        <v>7</v>
      </c>
      <c r="B17" s="171"/>
      <c r="C17" s="169" t="s">
        <v>2222</v>
      </c>
      <c r="D17" s="168">
        <v>15</v>
      </c>
      <c r="E17" s="168">
        <v>20.5</v>
      </c>
      <c r="F17" s="168">
        <f>IF($C17="","",VLOOKUP($C17,성분!$B$2:$O$1509,5,FALSE))/100*$P17</f>
        <v>5.8500000000000005</v>
      </c>
      <c r="G17" s="168">
        <v>1.93</v>
      </c>
      <c r="H17" s="168">
        <f>IF($C17="","",VLOOKUP($C17,성분!$B$2:$O$1509,6,FALSE))/100*$P17</f>
        <v>0.6</v>
      </c>
      <c r="I17" s="168">
        <f>IF($C17="","",VLOOKUP($C17,성분!$B$2:$O$1509,7,FALSE))/100*$P17</f>
        <v>0</v>
      </c>
      <c r="J17" s="168">
        <f>IF($C17="","",VLOOKUP($C17,성분!$B$2:$O$1509,8,FALSE))/100*$P17</f>
        <v>0</v>
      </c>
      <c r="K17" s="168">
        <f>IF($C17="","",VLOOKUP($C17,성분!$B$2:$O$1509,9,FALSE))/100*$P17</f>
        <v>0</v>
      </c>
      <c r="L17" s="168">
        <f>IF($C17="","",VLOOKUP($C17,성분!$B$2:$O$1509,10,FALSE))/100*$P17</f>
        <v>0</v>
      </c>
      <c r="M17" s="168">
        <f>IF($C17="","",VLOOKUP($C17,성분!$B$2:$O$1509,11,FALSE))/100*$P17</f>
        <v>0</v>
      </c>
      <c r="N17" s="168">
        <f>IF($C17="","",VLOOKUP($C17,성분!$B$2:$O$1509,12,FALSE))/100*$P17</f>
        <v>0</v>
      </c>
      <c r="O17" s="167">
        <f>IF($C17="","",VLOOKUP($C17,성분!$B$2:$O$1509,13,FALSE))/100*$P17</f>
        <v>0</v>
      </c>
      <c r="P17" s="165">
        <f t="shared" si="0"/>
        <v>15</v>
      </c>
      <c r="Q17" s="162">
        <f t="shared" si="1"/>
        <v>2.46</v>
      </c>
      <c r="R17" s="18">
        <f t="shared" si="2"/>
        <v>2</v>
      </c>
    </row>
    <row r="18" spans="1:18" s="160" customFormat="1" ht="27.75" customHeight="1">
      <c r="A18" s="166">
        <f t="shared" si="3"/>
        <v>8</v>
      </c>
      <c r="B18" s="171" t="s">
        <v>2257</v>
      </c>
      <c r="C18" s="169" t="s">
        <v>2258</v>
      </c>
      <c r="D18" s="168">
        <v>28</v>
      </c>
      <c r="E18" s="168">
        <f>IF($C18="","",VLOOKUP($C18,성분!$B$2:$O$1509,3,FALSE))/100*P18</f>
        <v>61.600000000000009</v>
      </c>
      <c r="F18" s="168">
        <f>IF($C18="","",VLOOKUP($C18,성분!$B$2:$O$1509,5,FALSE))/100*$P18</f>
        <v>3.472</v>
      </c>
      <c r="G18" s="168">
        <v>1.2</v>
      </c>
      <c r="H18" s="168">
        <f>IF($C18="","",VLOOKUP($C18,성분!$B$2:$O$1509,6,FALSE))/100*$P18</f>
        <v>5.3199999999999997E-2</v>
      </c>
      <c r="I18" s="168">
        <f>IF($C18="","",VLOOKUP($C18,성분!$B$2:$O$1509,7,FALSE))/100*$P18</f>
        <v>22.540000000000003</v>
      </c>
      <c r="J18" s="168">
        <f>IF($C18="","",VLOOKUP($C18,성분!$B$2:$O$1509,8,FALSE))/100*$P18</f>
        <v>0.36400000000000005</v>
      </c>
      <c r="K18" s="168">
        <f>IF($C18="","",VLOOKUP($C18,성분!$B$2:$O$1509,9,FALSE))/100*$P18</f>
        <v>0</v>
      </c>
      <c r="L18" s="168">
        <f>IF($C18="","",VLOOKUP($C18,성분!$B$2:$O$1509,10,FALSE))/100*$P18</f>
        <v>2.8000000000000001E-2</v>
      </c>
      <c r="M18" s="168">
        <f>IF($C18="","",VLOOKUP($C18,성분!$B$2:$O$1509,11,FALSE))/100*$P18</f>
        <v>2.8000000000000001E-2</v>
      </c>
      <c r="N18" s="168">
        <f>IF($C18="","",VLOOKUP($C18,성분!$B$2:$O$1509,12,FALSE))/100*$P18</f>
        <v>6.4399999999999999E-2</v>
      </c>
      <c r="O18" s="167">
        <f>IF($C18="","",VLOOKUP($C18,성분!$B$2:$O$1509,13,FALSE))/100*$P18</f>
        <v>0</v>
      </c>
      <c r="P18" s="165">
        <f t="shared" si="0"/>
        <v>28</v>
      </c>
      <c r="Q18" s="162">
        <f t="shared" si="1"/>
        <v>4.5919999999999996</v>
      </c>
      <c r="R18" s="18">
        <f t="shared" si="2"/>
        <v>4</v>
      </c>
    </row>
    <row r="19" spans="1:18" s="160" customFormat="1" ht="27.75" customHeight="1">
      <c r="A19" s="166">
        <f t="shared" si="3"/>
        <v>9</v>
      </c>
      <c r="B19" s="171"/>
      <c r="C19" s="169" t="s">
        <v>2193</v>
      </c>
      <c r="D19" s="168">
        <v>20</v>
      </c>
      <c r="E19" s="168">
        <f>IF($C19="","",VLOOKUP($C19,성분!$B$2:$O$1509,3,FALSE))/100*P19</f>
        <v>3.5999999999999996</v>
      </c>
      <c r="F19" s="168">
        <f>IF($C19="","",VLOOKUP($C19,성분!$B$2:$O$1509,5,FALSE))/100*$P19</f>
        <v>0.83599999999999997</v>
      </c>
      <c r="G19" s="168">
        <f>IF($C19="","",VLOOKUP($C19,성분!$B$2:$O$1509,4,FALSE))/100*$P19</f>
        <v>0.16</v>
      </c>
      <c r="H19" s="168">
        <f>IF($C19="","",VLOOKUP($C19,성분!$B$2:$O$1509,6,FALSE))/100*$P19</f>
        <v>0.04</v>
      </c>
      <c r="I19" s="168">
        <v>7</v>
      </c>
      <c r="J19" s="168">
        <f>IF($C19="","",VLOOKUP($C19,성분!$B$2:$O$1509,8,FALSE))/100*$P19</f>
        <v>0.156</v>
      </c>
      <c r="K19" s="168">
        <f>IF($C19="","",VLOOKUP($C19,성분!$B$2:$O$1509,9,FALSE))/100*$P19</f>
        <v>3</v>
      </c>
      <c r="L19" s="168">
        <f>IF($C19="","",VLOOKUP($C19,성분!$B$2:$O$1509,10,FALSE))/100*$P19</f>
        <v>5.9999999999999993E-3</v>
      </c>
      <c r="M19" s="168">
        <f>IF($C19="","",VLOOKUP($C19,성분!$B$2:$O$1509,11,FALSE))/100*$P19</f>
        <v>1.1999999999999999E-2</v>
      </c>
      <c r="N19" s="168">
        <f>IF($C19="","",VLOOKUP($C19,성분!$B$2:$O$1509,12,FALSE))/100*$P19</f>
        <v>4.1999999999999996E-2</v>
      </c>
      <c r="O19" s="167">
        <f>IF($C19="","",VLOOKUP($C19,성분!$B$2:$O$1509,13,FALSE))/100*$P19</f>
        <v>0.64</v>
      </c>
      <c r="P19" s="165">
        <f t="shared" si="0"/>
        <v>20</v>
      </c>
      <c r="Q19" s="162">
        <f t="shared" si="1"/>
        <v>3.28</v>
      </c>
      <c r="R19" s="18">
        <f t="shared" si="2"/>
        <v>3</v>
      </c>
    </row>
    <row r="20" spans="1:18" s="160" customFormat="1" ht="27.75" customHeight="1">
      <c r="A20" s="166">
        <f t="shared" si="3"/>
        <v>10</v>
      </c>
      <c r="B20" s="171"/>
      <c r="C20" s="169" t="s">
        <v>1239</v>
      </c>
      <c r="D20" s="168">
        <v>3</v>
      </c>
      <c r="E20" s="168">
        <f>IF($C20="","",VLOOKUP($C20,성분!$B$2:$O$1509,3,FALSE))/100*P20</f>
        <v>0.78</v>
      </c>
      <c r="F20" s="168">
        <f>IF($C20="","",VLOOKUP($C20,성분!$B$2:$O$1509,5,FALSE))/100*$P20</f>
        <v>0.1338</v>
      </c>
      <c r="G20" s="168">
        <f>IF($C20="","",VLOOKUP($C20,성분!$B$2:$O$1509,4,FALSE))/100*$P20</f>
        <v>0</v>
      </c>
      <c r="H20" s="168">
        <f>IF($C20="","",VLOOKUP($C20,성분!$B$2:$O$1509,6,FALSE))/100*$P20</f>
        <v>7.7999999999999996E-3</v>
      </c>
      <c r="I20" s="168">
        <v>3.43</v>
      </c>
      <c r="J20" s="168">
        <f>IF($C20="","",VLOOKUP($C20,성분!$B$2:$O$1509,8,FALSE))/100*$P20</f>
        <v>0.03</v>
      </c>
      <c r="K20" s="168">
        <f>IF($C20="","",VLOOKUP($C20,성분!$B$2:$O$1509,9,FALSE))/100*$P20</f>
        <v>3.87</v>
      </c>
      <c r="L20" s="168">
        <f>IF($C20="","",VLOOKUP($C20,성분!$B$2:$O$1509,10,FALSE))/100*$P20</f>
        <v>1.8E-3</v>
      </c>
      <c r="M20" s="168">
        <f>IF($C20="","",VLOOKUP($C20,성분!$B$2:$O$1509,11,FALSE))/100*$P20</f>
        <v>2.7000000000000001E-3</v>
      </c>
      <c r="N20" s="168">
        <f>IF($C20="","",VLOOKUP($C20,성분!$B$2:$O$1509,12,FALSE))/100*$P20</f>
        <v>1.8000000000000002E-2</v>
      </c>
      <c r="O20" s="167">
        <f>IF($C20="","",VLOOKUP($C20,성분!$B$2:$O$1509,13,FALSE))/100*$P20</f>
        <v>0.63</v>
      </c>
      <c r="P20" s="165">
        <f t="shared" si="0"/>
        <v>3</v>
      </c>
      <c r="Q20" s="162">
        <f t="shared" si="1"/>
        <v>0.49199999999999999</v>
      </c>
      <c r="R20" s="18">
        <f t="shared" si="2"/>
        <v>0</v>
      </c>
    </row>
    <row r="21" spans="1:18" s="160" customFormat="1" ht="27.75" customHeight="1">
      <c r="A21" s="166">
        <f t="shared" si="3"/>
        <v>11</v>
      </c>
      <c r="B21" s="171"/>
      <c r="C21" s="169" t="s">
        <v>1954</v>
      </c>
      <c r="D21" s="168">
        <v>1</v>
      </c>
      <c r="E21" s="168">
        <f>IF($C21="","",VLOOKUP($C21,성분!$B$2:$O$1509,3,FALSE))/100*P21</f>
        <v>1.89</v>
      </c>
      <c r="F21" s="168">
        <f>IF($C21="","",VLOOKUP($C21,성분!$B$2:$O$1509,5,FALSE))/100*$P21</f>
        <v>0.45200000000000001</v>
      </c>
      <c r="G21" s="168">
        <f>IF($C21="","",VLOOKUP($C21,성분!$B$2:$O$1509,4,FALSE))/100*$P21</f>
        <v>7.400000000000001E-2</v>
      </c>
      <c r="H21" s="168">
        <f>IF($C21="","",VLOOKUP($C21,성분!$B$2:$O$1509,6,FALSE))/100*$P21</f>
        <v>1.1000000000000001E-2</v>
      </c>
      <c r="I21" s="168">
        <f>IF($C21="","",VLOOKUP($C21,성분!$B$2:$O$1509,7,FALSE))/100*$P21</f>
        <v>7.08</v>
      </c>
      <c r="J21" s="168">
        <f>IF($C21="","",VLOOKUP($C21,성분!$B$2:$O$1509,8,FALSE))/100*$P21</f>
        <v>6.3E-2</v>
      </c>
      <c r="K21" s="168">
        <f>IF($C21="","",VLOOKUP($C21,성분!$B$2:$O$1509,9,FALSE))/100*$P21</f>
        <v>0.96</v>
      </c>
      <c r="L21" s="168">
        <f>IF($C21="","",VLOOKUP($C21,성분!$B$2:$O$1509,10,FALSE))/100*$P21</f>
        <v>2.2000000000000001E-3</v>
      </c>
      <c r="M21" s="168">
        <f>IF($C21="","",VLOOKUP($C21,성분!$B$2:$O$1509,11,FALSE))/100*$P21</f>
        <v>4.5000000000000005E-3</v>
      </c>
      <c r="N21" s="168">
        <f>IF($C21="","",VLOOKUP($C21,성분!$B$2:$O$1509,12,FALSE))/100*$P21</f>
        <v>4.4999999999999998E-2</v>
      </c>
      <c r="O21" s="167">
        <f>IF($C21="","",VLOOKUP($C21,성분!$B$2:$O$1509,13,FALSE))/100*$P21</f>
        <v>0.18</v>
      </c>
      <c r="P21" s="165">
        <f t="shared" si="0"/>
        <v>1</v>
      </c>
      <c r="Q21" s="162">
        <f t="shared" si="1"/>
        <v>0.16400000000000001</v>
      </c>
      <c r="R21" s="18">
        <f t="shared" si="2"/>
        <v>0</v>
      </c>
    </row>
    <row r="22" spans="1:18" s="160" customFormat="1" ht="27.75" customHeight="1">
      <c r="A22" s="166">
        <f t="shared" si="3"/>
        <v>12</v>
      </c>
      <c r="B22" s="171"/>
      <c r="C22" s="169" t="s">
        <v>1933</v>
      </c>
      <c r="D22" s="168">
        <v>1</v>
      </c>
      <c r="E22" s="168">
        <f>IF($C22="","",VLOOKUP($C22,성분!$B$2:$O$1509,3,FALSE))/100*P22</f>
        <v>3.03</v>
      </c>
      <c r="F22" s="168">
        <f>IF($C22="","",VLOOKUP($C22,성분!$B$2:$O$1509,5,FALSE))/100*$P22</f>
        <v>3.0000000000000001E-3</v>
      </c>
      <c r="G22" s="168">
        <f>IF($C22="","",VLOOKUP($C22,성분!$B$2:$O$1509,4,FALSE))/100*$P22</f>
        <v>0.33</v>
      </c>
      <c r="H22" s="168">
        <f>IF($C22="","",VLOOKUP($C22,성분!$B$2:$O$1509,6,FALSE))/100*$P22</f>
        <v>7.2999999999999995E-2</v>
      </c>
      <c r="I22" s="168">
        <f>IF($C22="","",VLOOKUP($C22,성분!$B$2:$O$1509,7,FALSE))/100*$P22</f>
        <v>17</v>
      </c>
      <c r="J22" s="168">
        <f>IF($C22="","",VLOOKUP($C22,성분!$B$2:$O$1509,8,FALSE))/100*$P22</f>
        <v>0.04</v>
      </c>
      <c r="K22" s="168">
        <f>IF($C22="","",VLOOKUP($C22,성분!$B$2:$O$1509,9,FALSE))/100*$P22</f>
        <v>0</v>
      </c>
      <c r="L22" s="168">
        <f>IF($C22="","",VLOOKUP($C22,성분!$B$2:$O$1509,10,FALSE))/100*$P22</f>
        <v>1.4000000000000002E-3</v>
      </c>
      <c r="M22" s="168">
        <f>IF($C22="","",VLOOKUP($C22,성분!$B$2:$O$1509,11,FALSE))/100*$P22</f>
        <v>1.1999999999999999E-3</v>
      </c>
      <c r="N22" s="168">
        <f>IF($C22="","",VLOOKUP($C22,성분!$B$2:$O$1509,12,FALSE))/100*$P22</f>
        <v>0.02</v>
      </c>
      <c r="O22" s="167">
        <f>IF($C22="","",VLOOKUP($C22,성분!$B$2:$O$1509,13,FALSE))/100*$P22</f>
        <v>0</v>
      </c>
      <c r="P22" s="165">
        <f t="shared" si="0"/>
        <v>1</v>
      </c>
      <c r="Q22" s="162">
        <f t="shared" si="1"/>
        <v>0.16400000000000001</v>
      </c>
      <c r="R22" s="18">
        <f t="shared" si="2"/>
        <v>0</v>
      </c>
    </row>
    <row r="23" spans="1:18" s="160" customFormat="1" ht="27.75" customHeight="1">
      <c r="A23" s="166">
        <f t="shared" si="3"/>
        <v>13</v>
      </c>
      <c r="B23" s="171" t="s">
        <v>2224</v>
      </c>
      <c r="C23" s="169" t="s">
        <v>2254</v>
      </c>
      <c r="D23" s="168">
        <v>50</v>
      </c>
      <c r="E23" s="168">
        <f>IF($C23="","",VLOOKUP($C23,성분!$B$2:$O$1509,3,FALSE))/100*P23</f>
        <v>50</v>
      </c>
      <c r="F23" s="168">
        <f>IF($C23="","",VLOOKUP($C23,성분!$B$2:$O$1509,5,FALSE))/100*$P23</f>
        <v>10</v>
      </c>
      <c r="G23" s="168">
        <f>IF($C23="","",VLOOKUP($C23,성분!$B$2:$O$1509,4,FALSE))/100*$P23</f>
        <v>10</v>
      </c>
      <c r="H23" s="168">
        <f>IF($C23="","",VLOOKUP($C23,성분!$B$2:$O$1509,6,FALSE))/100*$P23</f>
        <v>15</v>
      </c>
      <c r="I23" s="168">
        <v>14.85</v>
      </c>
      <c r="J23" s="168">
        <f>IF($C23="","",VLOOKUP($C23,성분!$B$2:$O$1509,8,FALSE))/100*$P23</f>
        <v>0</v>
      </c>
      <c r="K23" s="101">
        <f>IF($C23="","",VLOOKUP($C23,성분!$B$2:$O$1509,9,FALSE))/100*$P23</f>
        <v>0</v>
      </c>
      <c r="L23" s="168">
        <f>IF($C23="","",VLOOKUP($C23,성분!$B$2:$O$1509,10,FALSE))/100*$P23</f>
        <v>0</v>
      </c>
      <c r="M23" s="168">
        <f>IF($C23="","",VLOOKUP($C23,성분!$B$2:$O$1509,11,FALSE))/100*$P23</f>
        <v>0</v>
      </c>
      <c r="N23" s="168">
        <f>IF($C23="","",VLOOKUP($C23,성분!$B$2:$O$1509,12,FALSE))/100*$P23</f>
        <v>0</v>
      </c>
      <c r="O23" s="167">
        <f>IF($C23="","",VLOOKUP($C23,성분!$B$2:$O$1509,13,FALSE))/100*$P23</f>
        <v>0</v>
      </c>
      <c r="P23" s="165">
        <f t="shared" si="0"/>
        <v>50</v>
      </c>
      <c r="Q23" s="162">
        <f t="shared" si="1"/>
        <v>8.1999999999999993</v>
      </c>
      <c r="R23" s="18">
        <f t="shared" si="2"/>
        <v>8</v>
      </c>
    </row>
    <row r="24" spans="1:18" s="160" customFormat="1" ht="27.75" customHeight="1">
      <c r="A24" s="166">
        <f t="shared" si="3"/>
        <v>14</v>
      </c>
      <c r="B24" s="171"/>
      <c r="C24" s="169" t="s">
        <v>2083</v>
      </c>
      <c r="D24" s="168">
        <v>40</v>
      </c>
      <c r="E24" s="168">
        <v>74.5</v>
      </c>
      <c r="F24" s="168">
        <f>IF($C24="","",VLOOKUP($C24,성분!$B$2:$O$10517,5,FALSE))/100*$P24</f>
        <v>22.799999999999997</v>
      </c>
      <c r="G24" s="168">
        <v>1</v>
      </c>
      <c r="H24" s="168">
        <f>IF($C24="","",VLOOKUP($C24,성분!$B$2:$O$10517,6,FALSE))/100*$P24</f>
        <v>2.4</v>
      </c>
      <c r="I24" s="168">
        <f>IF($C24="","",VLOOKUP($C24,성분!$B$2:$O$10517,7,FALSE))/100*$P24</f>
        <v>0</v>
      </c>
      <c r="J24" s="168">
        <f>IF($C24="","",VLOOKUP($C24,성분!$B$2:$O$10517,8,FALSE))/100*$P24</f>
        <v>0</v>
      </c>
      <c r="K24" s="168">
        <f>IF($C24="","",VLOOKUP($C24,성분!$B$2:$O$10517,9,FALSE))/100*$P24</f>
        <v>0</v>
      </c>
      <c r="L24" s="168">
        <f>IF($C24="","",VLOOKUP($C24,성분!$B$2:$O$10517,10,FALSE))/100*$P24</f>
        <v>0</v>
      </c>
      <c r="M24" s="168">
        <f>IF($C24="","",VLOOKUP($C24,성분!$B$2:$O$10517,11,FALSE))/100*$P24</f>
        <v>0</v>
      </c>
      <c r="N24" s="168">
        <f>IF($C24="","",VLOOKUP($C24,성분!$B$2:$O$10517,12,FALSE))/100*$P24</f>
        <v>0</v>
      </c>
      <c r="O24" s="167">
        <f>IF($C24="","",VLOOKUP($C24,성분!$B$2:$O$10517,13,FALSE))/100*$P24</f>
        <v>0</v>
      </c>
      <c r="P24" s="165">
        <f t="shared" si="0"/>
        <v>40</v>
      </c>
      <c r="Q24" s="162">
        <f t="shared" si="1"/>
        <v>6.56</v>
      </c>
      <c r="R24" s="18">
        <f t="shared" si="2"/>
        <v>6</v>
      </c>
    </row>
    <row r="25" spans="1:18" s="160" customFormat="1" ht="27.75" customHeight="1">
      <c r="A25" s="166">
        <f t="shared" si="3"/>
        <v>15</v>
      </c>
      <c r="B25" s="171"/>
      <c r="C25" s="169" t="s">
        <v>1661</v>
      </c>
      <c r="D25" s="168">
        <v>15</v>
      </c>
      <c r="E25" s="168">
        <f>IF($C25="","",VLOOKUP($C25,성분!$B$2:$O$10517,3,FALSE))/100*P25</f>
        <v>40.65</v>
      </c>
      <c r="F25" s="168">
        <f>IF($C25="","",VLOOKUP($C25,성분!$B$2:$O$10517,5,FALSE))/100*$P25</f>
        <v>8.6999999999999993</v>
      </c>
      <c r="G25" s="168">
        <v>0.64</v>
      </c>
      <c r="H25" s="168">
        <f>IF($C25="","",VLOOKUP($C25,성분!$B$2:$O$10517,6,FALSE))/100*$P25</f>
        <v>1.665</v>
      </c>
      <c r="I25" s="168">
        <v>6.4</v>
      </c>
      <c r="J25" s="168">
        <f>IF($C25="","",VLOOKUP($C25,성분!$B$2:$O$10517,8,FALSE))/100*$P25</f>
        <v>0.10499999999999998</v>
      </c>
      <c r="K25" s="168">
        <f>IF($C25="","",VLOOKUP($C25,성분!$B$2:$O$10517,9,FALSE))/100*$P25</f>
        <v>4.3499999999999996</v>
      </c>
      <c r="L25" s="168">
        <f>IF($C25="","",VLOOKUP($C25,성분!$B$2:$O$10517,10,FALSE))/100*$P25</f>
        <v>2.1000000000000005E-2</v>
      </c>
      <c r="M25" s="168">
        <f>IF($C25="","",VLOOKUP($C25,성분!$B$2:$O$10517,11,FALSE))/100*$P25</f>
        <v>8.9999999999999993E-3</v>
      </c>
      <c r="N25" s="168">
        <f>IF($C25="","",VLOOKUP($C25,성분!$B$2:$O$10517,12,FALSE))/100*$P25</f>
        <v>0.19500000000000001</v>
      </c>
      <c r="O25" s="167">
        <f>IF($C25="","",VLOOKUP($C25,성분!$B$2:$O$10517,13,FALSE))/100*$P25</f>
        <v>0</v>
      </c>
      <c r="P25" s="165">
        <f t="shared" si="0"/>
        <v>15</v>
      </c>
      <c r="Q25" s="162">
        <f t="shared" si="1"/>
        <v>2.46</v>
      </c>
      <c r="R25" s="18">
        <f t="shared" si="2"/>
        <v>2</v>
      </c>
    </row>
    <row r="26" spans="1:18" s="160" customFormat="1" ht="27.75" customHeight="1">
      <c r="A26" s="166">
        <f t="shared" si="3"/>
        <v>16</v>
      </c>
      <c r="B26" s="171"/>
      <c r="C26" s="169" t="s">
        <v>2227</v>
      </c>
      <c r="D26" s="168">
        <v>1</v>
      </c>
      <c r="E26" s="168">
        <f>IF($C26="","",VLOOKUP($C26,성분!$B$2:$O$10517,3,FALSE))/100*P26</f>
        <v>2.93</v>
      </c>
      <c r="F26" s="168">
        <f>IF($C26="","",VLOOKUP($C26,성분!$B$2:$O$10517,5,FALSE))/100*$P26</f>
        <v>0.79</v>
      </c>
      <c r="G26" s="168">
        <f>IF($C26="","",VLOOKUP($C26,성분!$B$2:$O$10517,4,FALSE))/100*$P26</f>
        <v>1E-3</v>
      </c>
      <c r="H26" s="168">
        <f>IF($C26="","",VLOOKUP($C26,성분!$B$2:$O$10517,6,FALSE))/100*$P26</f>
        <v>0</v>
      </c>
      <c r="I26" s="168">
        <f>IF($C26="","",VLOOKUP($C26,성분!$B$2:$O$10517,7,FALSE))/100*$P26</f>
        <v>0.01</v>
      </c>
      <c r="J26" s="168">
        <f>IF($C26="","",VLOOKUP($C26,성분!$B$2:$O$10517,8,FALSE))/100*$P26</f>
        <v>2E-3</v>
      </c>
      <c r="K26" s="168">
        <f>IF($C26="","",VLOOKUP($C26,성분!$B$2:$O$10517,9,FALSE))/100*$P26</f>
        <v>0</v>
      </c>
      <c r="L26" s="168">
        <f>IF($C26="","",VLOOKUP($C26,성분!$B$2:$O$10517,10,FALSE))/100*$P26</f>
        <v>0</v>
      </c>
      <c r="M26" s="168">
        <f>IF($C26="","",VLOOKUP($C26,성분!$B$2:$O$10517,11,FALSE))/100*$P26</f>
        <v>0</v>
      </c>
      <c r="N26" s="168">
        <f>IF($C26="","",VLOOKUP($C26,성분!$B$2:$O$10517,12,FALSE))/100*$P26</f>
        <v>0</v>
      </c>
      <c r="O26" s="167">
        <f>IF($C26="","",VLOOKUP($C26,성분!$B$2:$O$10517,13,FALSE))/100*$P26</f>
        <v>0</v>
      </c>
      <c r="P26" s="165">
        <f t="shared" si="0"/>
        <v>1</v>
      </c>
      <c r="Q26" s="162">
        <f t="shared" si="1"/>
        <v>0.16400000000000001</v>
      </c>
      <c r="R26" s="18">
        <f t="shared" si="2"/>
        <v>0</v>
      </c>
    </row>
    <row r="27" spans="1:18" s="160" customFormat="1" ht="27.75" customHeight="1">
      <c r="A27" s="166">
        <f t="shared" si="3"/>
        <v>17</v>
      </c>
      <c r="B27" s="171" t="s">
        <v>2225</v>
      </c>
      <c r="C27" s="169" t="s">
        <v>1150</v>
      </c>
      <c r="D27" s="168">
        <v>25</v>
      </c>
      <c r="E27" s="168">
        <f>IF($C27="","",VLOOKUP($C27,성분!$B$2:$O$10517,3,FALSE))/100*P27</f>
        <v>2.5</v>
      </c>
      <c r="F27" s="168">
        <f>IF($C27="","",VLOOKUP($C27,성분!$B$2:$O$10517,5,FALSE))/100*$P27</f>
        <v>7.1249999999999991</v>
      </c>
      <c r="G27" s="168">
        <v>0.24</v>
      </c>
      <c r="H27" s="168">
        <f>IF($C27="","",VLOOKUP($C27,성분!$B$2:$O$10517,6,FALSE))/100*$P27</f>
        <v>2.2499999999999999E-2</v>
      </c>
      <c r="I27" s="168">
        <v>17.62</v>
      </c>
      <c r="J27" s="168">
        <v>0.45</v>
      </c>
      <c r="K27" s="168">
        <f>IF($C27="","",VLOOKUP($C27,성분!$B$2:$O$10517,9,FALSE))/100*$P27</f>
        <v>15.25</v>
      </c>
      <c r="L27" s="168">
        <f>IF($C27="","",VLOOKUP($C27,성분!$B$2:$O$10517,10,FALSE))/100*$P27</f>
        <v>7.4999999999999997E-3</v>
      </c>
      <c r="M27" s="168">
        <f>IF($C27="","",VLOOKUP($C27,성분!$B$2:$O$10517,11,FALSE))/100*$P27</f>
        <v>7.4999999999999997E-3</v>
      </c>
      <c r="N27" s="168">
        <f>IF($C27="","",VLOOKUP($C27,성분!$B$2:$O$10517,12,FALSE))/100*$P27</f>
        <v>0.17499999999999999</v>
      </c>
      <c r="O27" s="167">
        <f>IF($C27="","",VLOOKUP($C27,성분!$B$2:$O$10517,13,FALSE))/100*$P27</f>
        <v>6</v>
      </c>
      <c r="P27" s="165">
        <f t="shared" si="0"/>
        <v>25</v>
      </c>
      <c r="Q27" s="162">
        <f t="shared" si="1"/>
        <v>4.0999999999999996</v>
      </c>
      <c r="R27" s="18">
        <f t="shared" si="2"/>
        <v>4</v>
      </c>
    </row>
    <row r="28" spans="1:18" s="160" customFormat="1" ht="27.75" customHeight="1">
      <c r="A28" s="166">
        <f t="shared" si="3"/>
        <v>18</v>
      </c>
      <c r="B28" s="171"/>
      <c r="C28" s="169" t="s">
        <v>1980</v>
      </c>
      <c r="D28" s="168">
        <v>2</v>
      </c>
      <c r="E28" s="168">
        <f>IF($C28="","",VLOOKUP($C28,성분!$B$2:$O$10517,3,FALSE))/100*P28</f>
        <v>0.68</v>
      </c>
      <c r="F28" s="168">
        <f>IF($C28="","",VLOOKUP($C28,성분!$B$2:$O$10517,5,FALSE))/100*$P28</f>
        <v>0.1406</v>
      </c>
      <c r="G28" s="168">
        <f>IF($C28="","",VLOOKUP($C28,성분!$B$2:$O$10517,4,FALSE))/100*$P28</f>
        <v>0.02</v>
      </c>
      <c r="H28" s="168">
        <f>IF($C28="","",VLOOKUP($C28,성분!$B$2:$O$10517,6,FALSE))/100*$P28</f>
        <v>2.5999999999999999E-3</v>
      </c>
      <c r="I28" s="168">
        <f>IF($C28="","",VLOOKUP($C28,성분!$B$2:$O$10517,7,FALSE))/100*$P28</f>
        <v>0.76</v>
      </c>
      <c r="J28" s="168">
        <f>IF($C28="","",VLOOKUP($C28,성분!$B$2:$O$10517,8,FALSE))/100*$P28</f>
        <v>1.3999999999999999E-2</v>
      </c>
      <c r="K28" s="168">
        <f>IF($C28="","",VLOOKUP($C28,성분!$B$2:$O$10517,9,FALSE))/100*$P28</f>
        <v>25.14</v>
      </c>
      <c r="L28" s="168">
        <f>IF($C28="","",VLOOKUP($C28,성분!$B$2:$O$10517,10,FALSE))/100*$P28</f>
        <v>1.1999999999999999E-3</v>
      </c>
      <c r="M28" s="168">
        <f>IF($C28="","",VLOOKUP($C28,성분!$B$2:$O$10517,11,FALSE))/100*$P28</f>
        <v>8.0000000000000004E-4</v>
      </c>
      <c r="N28" s="168">
        <f>IF($C28="","",VLOOKUP($C28,성분!$B$2:$O$10517,12,FALSE))/100*$P28</f>
        <v>1.6E-2</v>
      </c>
      <c r="O28" s="167">
        <f>IF($C28="","",VLOOKUP($C28,성분!$B$2:$O$10517,13,FALSE))/100*$P28</f>
        <v>0.12</v>
      </c>
      <c r="P28" s="165">
        <f t="shared" si="0"/>
        <v>2</v>
      </c>
      <c r="Q28" s="162">
        <f t="shared" si="1"/>
        <v>0.32800000000000001</v>
      </c>
      <c r="R28" s="18">
        <f t="shared" si="2"/>
        <v>0</v>
      </c>
    </row>
    <row r="29" spans="1:18" s="160" customFormat="1" ht="27.75" customHeight="1">
      <c r="A29" s="166">
        <f t="shared" si="3"/>
        <v>19</v>
      </c>
      <c r="B29" s="171"/>
      <c r="C29" s="169" t="s">
        <v>2221</v>
      </c>
      <c r="D29" s="168">
        <v>1</v>
      </c>
      <c r="E29" s="168">
        <f>IF($C29="","",VLOOKUP($C29,성분!$B$2:$O$10517,3,FALSE))/100*P29</f>
        <v>8.84</v>
      </c>
      <c r="F29" s="168">
        <f>IF($C29="","",VLOOKUP($C29,성분!$B$2:$O$10517,5,FALSE))/100*$P29</f>
        <v>4.0000000000000001E-3</v>
      </c>
      <c r="G29" s="168">
        <f>IF($C29="","",VLOOKUP($C29,성분!$B$2:$O$10517,4,FALSE))/100*$P29</f>
        <v>0</v>
      </c>
      <c r="H29" s="168">
        <f>IF($C29="","",VLOOKUP($C29,성분!$B$2:$O$10517,6,FALSE))/100*$P29</f>
        <v>1</v>
      </c>
      <c r="I29" s="168">
        <f>IF($C29="","",VLOOKUP($C29,성분!$B$2:$O$10517,7,FALSE))/100*$P29</f>
        <v>0</v>
      </c>
      <c r="J29" s="168">
        <f>IF($C29="","",VLOOKUP($C29,성분!$B$2:$O$10517,8,FALSE))/100*$P29</f>
        <v>0</v>
      </c>
      <c r="K29" s="168">
        <f>IF($C29="","",VLOOKUP($C29,성분!$B$2:$O$10517,9,FALSE))/100*$P29</f>
        <v>0</v>
      </c>
      <c r="L29" s="168">
        <f>IF($C29="","",VLOOKUP($C29,성분!$B$2:$O$10517,10,FALSE))/100*$P29</f>
        <v>0</v>
      </c>
      <c r="M29" s="168">
        <f>IF($C29="","",VLOOKUP($C29,성분!$B$2:$O$10517,11,FALSE))/100*$P29</f>
        <v>0</v>
      </c>
      <c r="N29" s="168">
        <f>IF($C29="","",VLOOKUP($C29,성분!$B$2:$O$10517,12,FALSE))/100*$P29</f>
        <v>0</v>
      </c>
      <c r="O29" s="167">
        <f>IF($C29="","",VLOOKUP($C29,성분!$B$2:$O$10517,13,FALSE))/100*$P29</f>
        <v>0</v>
      </c>
      <c r="P29" s="165">
        <f t="shared" si="0"/>
        <v>1</v>
      </c>
      <c r="Q29" s="162">
        <f t="shared" si="1"/>
        <v>0.16400000000000001</v>
      </c>
      <c r="R29" s="18">
        <f t="shared" si="2"/>
        <v>0</v>
      </c>
    </row>
    <row r="30" spans="1:18" s="160" customFormat="1" ht="27.75" customHeight="1">
      <c r="A30" s="166">
        <f t="shared" si="3"/>
        <v>20</v>
      </c>
      <c r="B30" s="171" t="s">
        <v>2226</v>
      </c>
      <c r="C30" s="169" t="s">
        <v>2226</v>
      </c>
      <c r="D30" s="168">
        <v>100</v>
      </c>
      <c r="E30" s="168">
        <f>IF($C30="","",VLOOKUP($C30,성분!$B$2:$O$10517,3,FALSE))/100*P30</f>
        <v>57.499999999999993</v>
      </c>
      <c r="F30" s="168">
        <f>IF($C30="","",VLOOKUP($C30,성분!$B$2:$O$10517,5,FALSE))/100*$P30</f>
        <v>10.5</v>
      </c>
      <c r="G30" s="168">
        <v>1.4</v>
      </c>
      <c r="H30" s="168">
        <f>IF($C30="","",VLOOKUP($C30,성분!$B$2:$O$10517,6,FALSE))/100*$P30</f>
        <v>1</v>
      </c>
      <c r="I30" s="168">
        <f>IF($C30="","",VLOOKUP($C30,성분!$B$2:$O$10517,7,FALSE))/100*$P30</f>
        <v>0</v>
      </c>
      <c r="J30" s="168">
        <f>IF($C30="","",VLOOKUP($C30,성분!$B$2:$O$10517,8,FALSE))/100*$P30</f>
        <v>0</v>
      </c>
      <c r="K30" s="168">
        <f>IF($C30="","",VLOOKUP($C30,성분!$B$2:$O$10517,9,FALSE))/100*$P30</f>
        <v>0</v>
      </c>
      <c r="L30" s="168">
        <f>IF($C30="","",VLOOKUP($C30,성분!$B$2:$O$10517,10,FALSE))/100*$P30</f>
        <v>0</v>
      </c>
      <c r="M30" s="168">
        <f>IF($C30="","",VLOOKUP($C30,성분!$B$2:$O$10517,11,FALSE))/100*$P30</f>
        <v>0</v>
      </c>
      <c r="N30" s="168">
        <f>IF($C30="","",VLOOKUP($C30,성분!$B$2:$O$10517,12,FALSE))/100*$P30</f>
        <v>0</v>
      </c>
      <c r="O30" s="167">
        <f>IF($C30="","",VLOOKUP($C30,성분!$B$2:$O$10517,13,FALSE))/100*$P30</f>
        <v>0</v>
      </c>
      <c r="P30" s="165">
        <f t="shared" si="0"/>
        <v>100</v>
      </c>
      <c r="Q30" s="162">
        <f t="shared" si="1"/>
        <v>16.399999999999999</v>
      </c>
      <c r="R30" s="18">
        <f t="shared" si="2"/>
        <v>16</v>
      </c>
    </row>
    <row r="31" spans="1:18" s="160" customFormat="1" ht="32.25" customHeight="1">
      <c r="A31" s="235" t="s">
        <v>1628</v>
      </c>
      <c r="B31" s="236"/>
      <c r="C31" s="236"/>
      <c r="D31" s="237"/>
      <c r="E31" s="19">
        <f t="shared" ref="E31:O31" si="4">SUM(E11:E30)</f>
        <v>695</v>
      </c>
      <c r="F31" s="19">
        <f t="shared" si="4"/>
        <v>147.72739999999999</v>
      </c>
      <c r="G31" s="19">
        <f t="shared" si="4"/>
        <v>29.494999999999997</v>
      </c>
      <c r="H31" s="19">
        <f t="shared" si="4"/>
        <v>31.476099999999999</v>
      </c>
      <c r="I31" s="44">
        <f t="shared" si="4"/>
        <v>236.08</v>
      </c>
      <c r="J31" s="19">
        <f t="shared" si="4"/>
        <v>3.1839999999999997</v>
      </c>
      <c r="K31" s="44">
        <f t="shared" si="4"/>
        <v>131.16999999999999</v>
      </c>
      <c r="L31" s="19">
        <f t="shared" si="4"/>
        <v>0.21910000000000004</v>
      </c>
      <c r="M31" s="19">
        <f t="shared" si="4"/>
        <v>0.18890000000000007</v>
      </c>
      <c r="N31" s="19">
        <f t="shared" si="4"/>
        <v>2.6293999999999991</v>
      </c>
      <c r="O31" s="19">
        <f t="shared" si="4"/>
        <v>15.72</v>
      </c>
      <c r="P31" s="165">
        <f t="shared" si="0"/>
        <v>0</v>
      </c>
      <c r="Q31" s="162">
        <f t="shared" si="1"/>
        <v>0</v>
      </c>
      <c r="R31" s="18">
        <f t="shared" si="2"/>
        <v>0</v>
      </c>
    </row>
    <row r="32" spans="1:18" s="21" customFormat="1" ht="32.25" customHeight="1">
      <c r="A32" s="238" t="s">
        <v>1790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40"/>
      <c r="P32" s="20"/>
      <c r="Q32" s="160"/>
      <c r="R32" s="18">
        <f>INT(Q32)</f>
        <v>0</v>
      </c>
    </row>
    <row r="33" spans="1:19" s="160" customFormat="1" ht="19.5" customHeight="1">
      <c r="A33" s="220" t="s">
        <v>1629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2"/>
      <c r="S33" s="18">
        <f>INT(R33)</f>
        <v>0</v>
      </c>
    </row>
    <row r="34" spans="1:19" s="160" customFormat="1" ht="20.100000000000001" customHeight="1">
      <c r="A34" s="247" t="s">
        <v>1630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9"/>
      <c r="P34" s="244" t="s">
        <v>5</v>
      </c>
      <c r="Q34" s="245"/>
      <c r="R34" s="250">
        <v>5000</v>
      </c>
      <c r="S34" s="250"/>
    </row>
    <row r="35" spans="1:19" s="160" customFormat="1" ht="20.100000000000001" customHeight="1">
      <c r="A35" s="251" t="s">
        <v>1769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3"/>
      <c r="P35" s="244" t="s">
        <v>6</v>
      </c>
      <c r="Q35" s="245"/>
      <c r="R35" s="250">
        <f>R34*0.72</f>
        <v>3600</v>
      </c>
      <c r="S35" s="250"/>
    </row>
    <row r="36" spans="1:19" s="160" customFormat="1" ht="20.100000000000001" customHeight="1">
      <c r="A36" s="241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3"/>
      <c r="P36" s="244" t="s">
        <v>1631</v>
      </c>
      <c r="Q36" s="245"/>
      <c r="R36" s="246">
        <v>0.72</v>
      </c>
      <c r="S36" s="246"/>
    </row>
    <row r="37" spans="1:19" s="160" customFormat="1" ht="20.100000000000001" customHeight="1">
      <c r="C37" s="3"/>
      <c r="D37" s="24"/>
      <c r="E37" s="25"/>
      <c r="F37" s="25"/>
      <c r="G37" s="169">
        <v>667</v>
      </c>
      <c r="H37" s="169">
        <v>15</v>
      </c>
      <c r="I37" s="169">
        <v>300</v>
      </c>
      <c r="J37" s="169">
        <v>5.4</v>
      </c>
      <c r="K37" s="169">
        <v>234</v>
      </c>
      <c r="L37" s="169">
        <v>0.34</v>
      </c>
      <c r="M37" s="169">
        <v>0.4</v>
      </c>
      <c r="N37" s="169">
        <v>5.26</v>
      </c>
      <c r="O37" s="169">
        <v>33.4</v>
      </c>
      <c r="P37" s="179"/>
      <c r="Q37" s="179"/>
      <c r="R37" s="23"/>
      <c r="S37" s="23"/>
    </row>
    <row r="38" spans="1:19" s="160" customFormat="1" ht="20.100000000000001" customHeight="1">
      <c r="A38" s="2"/>
      <c r="B38" s="2"/>
      <c r="C38" s="3"/>
      <c r="D38" s="4"/>
      <c r="E38" s="5"/>
      <c r="F38" s="5"/>
      <c r="G38" s="5"/>
      <c r="H38" s="5"/>
      <c r="I38" s="5"/>
      <c r="J38" s="2"/>
      <c r="K38" s="5"/>
      <c r="L38" s="5"/>
      <c r="M38" s="5"/>
      <c r="N38" s="5"/>
      <c r="O38" s="6"/>
    </row>
    <row r="39" spans="1:19" s="160" customFormat="1" ht="20.100000000000001" customHeight="1">
      <c r="A39" s="2"/>
      <c r="B39" s="2"/>
      <c r="C39" s="2"/>
      <c r="D39" s="4"/>
      <c r="E39" s="2"/>
      <c r="F39" s="2"/>
      <c r="G39" s="5"/>
      <c r="H39" s="5"/>
      <c r="I39" s="5"/>
      <c r="J39" s="5"/>
      <c r="K39" s="5"/>
      <c r="L39" s="5"/>
      <c r="M39" s="5"/>
      <c r="N39" s="5"/>
      <c r="O39" s="6"/>
    </row>
    <row r="40" spans="1:19" ht="12">
      <c r="C40" s="2"/>
    </row>
    <row r="41" spans="1:19" ht="12">
      <c r="C41" s="2"/>
    </row>
    <row r="1347" spans="4:4">
      <c r="D1347" s="2">
        <v>240</v>
      </c>
    </row>
  </sheetData>
  <mergeCells count="41">
    <mergeCell ref="A36:O36"/>
    <mergeCell ref="P36:Q36"/>
    <mergeCell ref="R36:S36"/>
    <mergeCell ref="A34:O34"/>
    <mergeCell ref="P34:Q34"/>
    <mergeCell ref="R34:S34"/>
    <mergeCell ref="A35:O35"/>
    <mergeCell ref="P35:Q35"/>
    <mergeCell ref="R35:S35"/>
    <mergeCell ref="A33:O33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1:D31"/>
    <mergeCell ref="A32:O32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N2:N4"/>
    <mergeCell ref="O2:O4"/>
    <mergeCell ref="A3:B3"/>
    <mergeCell ref="C3:D3"/>
    <mergeCell ref="L5:M5"/>
    <mergeCell ref="M2:M4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114E-8BDC-4AB3-BCF5-FE655E08279D}">
  <sheetPr>
    <pageSetUpPr fitToPage="1"/>
  </sheetPr>
  <dimension ref="A1:S1345"/>
  <sheetViews>
    <sheetView view="pageBreakPreview" zoomScale="85" zoomScaleNormal="85" zoomScaleSheetLayoutView="85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K18" sqref="K18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45748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54" t="s">
        <v>2437</v>
      </c>
      <c r="B8" s="224"/>
      <c r="C8" s="224"/>
      <c r="D8" s="225">
        <v>0</v>
      </c>
      <c r="E8" s="226"/>
      <c r="F8" s="226">
        <v>0</v>
      </c>
      <c r="G8" s="226"/>
      <c r="H8" s="226">
        <v>104</v>
      </c>
      <c r="I8" s="226"/>
      <c r="J8" s="226"/>
      <c r="K8" s="226">
        <f>SUM(D8:J8)</f>
        <v>104</v>
      </c>
      <c r="L8" s="226"/>
      <c r="M8" s="226">
        <v>2</v>
      </c>
      <c r="N8" s="227"/>
      <c r="O8" s="228">
        <f>SUM(K8:N8)</f>
        <v>106</v>
      </c>
    </row>
    <row r="9" spans="1:18" customFormat="1" ht="20.100000000000001" customHeight="1">
      <c r="A9" s="230" t="s">
        <v>0</v>
      </c>
      <c r="B9" s="231"/>
      <c r="C9" s="232"/>
      <c r="D9" s="233" t="s">
        <v>2438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IF($C11="","",VLOOKUP($C11,성분!$B$2:$O$1509,3,FALSE))/100*P11</f>
        <v>240</v>
      </c>
      <c r="F11" s="16">
        <f>IF($C11="","",VLOOKUP($C11,성분!$B$2:$O$1509,5,FALSE))/100*$P11</f>
        <v>78.5</v>
      </c>
      <c r="G11" s="16">
        <f>IF($C11="","",VLOOKUP($C11,성분!$B$2:$O$1509,4,FALSE))/100*$P11</f>
        <v>6.4</v>
      </c>
      <c r="H11" s="16">
        <f>IF($C11="","",VLOOKUP($C11,성분!$B$2:$O$1509,6,FALSE))/100*$P11</f>
        <v>0.4</v>
      </c>
      <c r="I11" s="16">
        <f>IF($C11="","",VLOOKUP($C11,성분!$B$2:$O$1509,7,FALSE))/100*$P11</f>
        <v>7.0000000000000009</v>
      </c>
      <c r="J11" s="16">
        <f>IF($C11="","",VLOOKUP($C11,성분!$B$2:$O$1509,8,FALSE))/100*$P11</f>
        <v>0.5</v>
      </c>
      <c r="K11" s="16">
        <f>IF($C11="","",VLOOKUP($C11,성분!$B$2:$O$1509,9,FALSE))/100*$P11</f>
        <v>0</v>
      </c>
      <c r="L11" s="16">
        <f>IF($C11="","",VLOOKUP($C11,성분!$B$2:$O$1509,10,FALSE))/100*$P11</f>
        <v>0.12</v>
      </c>
      <c r="M11" s="16">
        <f>IF($C11="","",VLOOKUP($C11,성분!$B$2:$O$1509,11,FALSE))/100*$P11</f>
        <v>0</v>
      </c>
      <c r="N11" s="16">
        <f>IF($C11="","",VLOOKUP($C11,성분!$B$2:$O$1509,12,FALSE))/100*$P11</f>
        <v>1.4</v>
      </c>
      <c r="O11" s="43">
        <f>IF($C11="","",VLOOKUP($C11,성분!$B$2:$O$1509,13,FALSE))/100*$P11</f>
        <v>0</v>
      </c>
      <c r="P11" s="38">
        <f t="shared" ref="P11:P29" si="0">D11</f>
        <v>100</v>
      </c>
      <c r="Q11" s="17">
        <f>($O$8*P11)/1000</f>
        <v>10.6</v>
      </c>
      <c r="R11" s="18">
        <f t="shared" ref="R11:R29" si="1">INT(Q11)</f>
        <v>10</v>
      </c>
    </row>
    <row r="12" spans="1:18" customFormat="1" ht="27.75" customHeight="1">
      <c r="A12" s="42">
        <f t="shared" ref="A12:A28" si="2">ROW()-10</f>
        <v>2</v>
      </c>
      <c r="B12" s="30" t="s">
        <v>2268</v>
      </c>
      <c r="C12" s="22" t="s">
        <v>2268</v>
      </c>
      <c r="D12" s="16">
        <v>20</v>
      </c>
      <c r="E12" s="16">
        <f>IF($C12="","",VLOOKUP($C12,성분!$B$2:$O$1509,3,FALSE))/100*P12</f>
        <v>90.8</v>
      </c>
      <c r="F12" s="16">
        <f>IF($C12="","",VLOOKUP($C12,성분!$B$2:$O$1509,5,FALSE))/100*$P12</f>
        <v>12.8</v>
      </c>
      <c r="G12" s="168">
        <f>IF($C12="","",VLOOKUP($C12,성분!$B$2:$O$1509,4,FALSE))/100*$P12</f>
        <v>1.46</v>
      </c>
      <c r="H12" s="168">
        <f>IF($C12="","",VLOOKUP($C12,성분!$B$2:$O$1509,6,FALSE))/100*$P12</f>
        <v>3.74</v>
      </c>
      <c r="I12" s="168">
        <f>IF($C12="","",VLOOKUP($C12,성분!$B$2:$O$1509,7,FALSE))/100*$P12</f>
        <v>17.8</v>
      </c>
      <c r="J12" s="168">
        <f>IF($C12="","",VLOOKUP($C12,성분!$B$2:$O$1509,8,FALSE))/100*$P12</f>
        <v>0.1</v>
      </c>
      <c r="K12" s="168">
        <f>IF($C12="","",VLOOKUP($C12,성분!$B$2:$O$1509,9,FALSE))/100*$P12</f>
        <v>15.2</v>
      </c>
      <c r="L12" s="168">
        <f>IF($C12="","",VLOOKUP($C12,성분!$B$2:$O$1509,10,FALSE))/100*$P12</f>
        <v>0.91799999999999993</v>
      </c>
      <c r="M12" s="16">
        <f>IF($C12="","",VLOOKUP($C12,성분!$B$2:$O$1509,11,FALSE))/100*$P12</f>
        <v>0.01</v>
      </c>
      <c r="N12" s="16">
        <f>IF($C12="","",VLOOKUP($C12,성분!$B$2:$O$1509,12,FALSE))/100*$P12</f>
        <v>0.26</v>
      </c>
      <c r="O12" s="43">
        <f>IF($C12="","",VLOOKUP($C12,성분!$B$2:$O$1509,13,FALSE))/100*$P12</f>
        <v>0</v>
      </c>
      <c r="P12" s="38">
        <f t="shared" si="0"/>
        <v>20</v>
      </c>
      <c r="Q12" s="17">
        <f t="shared" ref="Q12:Q18" si="3">($O$8*P12)/1000</f>
        <v>2.12</v>
      </c>
      <c r="R12" s="18">
        <f t="shared" si="1"/>
        <v>2</v>
      </c>
    </row>
    <row r="13" spans="1:18" customFormat="1" ht="27.75" customHeight="1">
      <c r="A13" s="42">
        <f t="shared" si="2"/>
        <v>3</v>
      </c>
      <c r="B13" s="30"/>
      <c r="C13" s="22" t="s">
        <v>14</v>
      </c>
      <c r="D13" s="16">
        <v>3</v>
      </c>
      <c r="E13" s="16">
        <f>IF($C13="","",VLOOKUP($C13,성분!$B$2:$O$1509,3,FALSE))/100*P13</f>
        <v>1.02</v>
      </c>
      <c r="F13" s="16">
        <f>IF($C13="","",VLOOKUP($C13,성분!$B$2:$O$1509,5,FALSE))/100*$P13</f>
        <v>0.2109</v>
      </c>
      <c r="G13" s="168">
        <f>IF($C13="","",VLOOKUP($C13,성분!$B$2:$O$1509,4,FALSE))/100*$P13</f>
        <v>0.03</v>
      </c>
      <c r="H13" s="168">
        <f>IF($C13="","",VLOOKUP($C13,성분!$B$2:$O$1509,6,FALSE))/100*$P13</f>
        <v>3.8999999999999998E-3</v>
      </c>
      <c r="I13" s="168">
        <f>IF($C13="","",VLOOKUP($C13,성분!$B$2:$O$1509,7,FALSE))/100*$P13</f>
        <v>1.1400000000000001</v>
      </c>
      <c r="J13" s="168">
        <f>IF($C13="","",VLOOKUP($C13,성분!$B$2:$O$1509,8,FALSE))/100*$P13</f>
        <v>2.0999999999999998E-2</v>
      </c>
      <c r="K13" s="168">
        <f>IF($C13="","",VLOOKUP($C13,성분!$B$2:$O$1509,9,FALSE))/100*$P13</f>
        <v>37.71</v>
      </c>
      <c r="L13" s="168">
        <f>IF($C13="","",VLOOKUP($C13,성분!$B$2:$O$1509,10,FALSE))/100*$P13</f>
        <v>1.8E-3</v>
      </c>
      <c r="M13" s="16">
        <f>IF($C13="","",VLOOKUP($C13,성분!$B$2:$O$1509,11,FALSE))/100*$P13</f>
        <v>1.2000000000000001E-3</v>
      </c>
      <c r="N13" s="16">
        <f>IF($C13="","",VLOOKUP($C13,성분!$B$2:$O$1509,12,FALSE))/100*$P13</f>
        <v>2.4E-2</v>
      </c>
      <c r="O13" s="43">
        <f>IF($C13="","",VLOOKUP($C13,성분!$B$2:$O$1509,13,FALSE))/100*$P13</f>
        <v>0.18</v>
      </c>
      <c r="P13" s="38">
        <f t="shared" ref="P13:P14" si="4">D13</f>
        <v>3</v>
      </c>
      <c r="Q13" s="17">
        <f t="shared" ref="Q13:Q14" si="5">($O$8*P13)/1000</f>
        <v>0.318</v>
      </c>
      <c r="R13" s="18">
        <f t="shared" ref="R13:R14" si="6">INT(Q13)</f>
        <v>0</v>
      </c>
    </row>
    <row r="14" spans="1:18" customFormat="1" ht="27.75" customHeight="1">
      <c r="A14" s="42">
        <f t="shared" si="2"/>
        <v>4</v>
      </c>
      <c r="B14" s="30"/>
      <c r="C14" s="22" t="s">
        <v>1832</v>
      </c>
      <c r="D14" s="16">
        <v>1</v>
      </c>
      <c r="E14" s="16">
        <f>IF($C14="","",VLOOKUP($C14,성분!$B$2:$O$1509,3,FALSE))/100*P14</f>
        <v>2.92</v>
      </c>
      <c r="F14" s="16">
        <f>IF($C14="","",VLOOKUP($C14,성분!$B$2:$O$1509,5,FALSE))/100*$P14</f>
        <v>0.50639999999999996</v>
      </c>
      <c r="G14" s="168">
        <f>IF($C14="","",VLOOKUP($C14,성분!$B$2:$O$1509,4,FALSE))/100*$P14</f>
        <v>0.26629999999999998</v>
      </c>
      <c r="H14" s="168">
        <f>IF($C14="","",VLOOKUP($C14,성분!$B$2:$O$1509,6,FALSE))/100*$P14</f>
        <v>5.4800000000000001E-2</v>
      </c>
      <c r="I14" s="168">
        <f>IF($C14="","",VLOOKUP($C14,성분!$B$2:$O$1509,7,FALSE))/100*$P14</f>
        <v>11.4</v>
      </c>
      <c r="J14" s="168">
        <f>IF($C14="","",VLOOKUP($C14,성분!$B$2:$O$1509,8,FALSE))/100*$P14</f>
        <v>0.22039999999999998</v>
      </c>
      <c r="K14" s="168">
        <f>IF($C14="","",VLOOKUP($C14,성분!$B$2:$O$1509,9,FALSE))/100*$P14</f>
        <v>11.52</v>
      </c>
      <c r="L14" s="168">
        <f>IF($C14="","",VLOOKUP($C14,성분!$B$2:$O$1509,10,FALSE))/100*$P14</f>
        <v>2E-3</v>
      </c>
      <c r="M14" s="16">
        <f>IF($C14="","",VLOOKUP($C14,성분!$B$2:$O$1509,11,FALSE))/100*$P14</f>
        <v>2.3799999999999998E-2</v>
      </c>
      <c r="N14" s="16">
        <f>IF($C14="","",VLOOKUP($C14,성분!$B$2:$O$1509,12,FALSE))/100*$P14</f>
        <v>9.9399999999999988E-2</v>
      </c>
      <c r="O14" s="43">
        <f>IF($C14="","",VLOOKUP($C14,성분!$B$2:$O$1509,13,FALSE))/100*$P14</f>
        <v>1.25</v>
      </c>
      <c r="P14" s="38">
        <f t="shared" si="4"/>
        <v>1</v>
      </c>
      <c r="Q14" s="17">
        <f t="shared" si="5"/>
        <v>0.106</v>
      </c>
      <c r="R14" s="18">
        <f t="shared" si="6"/>
        <v>0</v>
      </c>
    </row>
    <row r="15" spans="1:18" customFormat="1" ht="27.75" customHeight="1">
      <c r="A15" s="42">
        <f t="shared" si="2"/>
        <v>5</v>
      </c>
      <c r="B15" s="30" t="s">
        <v>2342</v>
      </c>
      <c r="C15" s="22" t="s">
        <v>2342</v>
      </c>
      <c r="D15" s="16">
        <v>100</v>
      </c>
      <c r="E15" s="16">
        <f>IF($C15="","",VLOOKUP($C15,성분!$B$2:$O$1509,3,FALSE))/100*P15</f>
        <v>200</v>
      </c>
      <c r="F15" s="16">
        <f>IF($C15="","",VLOOKUP($C15,성분!$B$2:$O$1509,5,FALSE))/100*$P15</f>
        <v>10</v>
      </c>
      <c r="G15" s="168">
        <f>IF($C15="","",VLOOKUP($C15,성분!$B$2:$O$1509,4,FALSE))/100*$P15</f>
        <v>15</v>
      </c>
      <c r="H15" s="168">
        <f>IF($C15="","",VLOOKUP($C15,성분!$B$2:$O$1509,6,FALSE))/100*$P15</f>
        <v>11</v>
      </c>
      <c r="I15" s="168">
        <f>IF($C15="","",VLOOKUP($C15,성분!$B$2:$O$1509,7,FALSE))/100*$P15</f>
        <v>0</v>
      </c>
      <c r="J15" s="168">
        <f>IF($C15="","",VLOOKUP($C15,성분!$B$2:$O$1509,8,FALSE))/100*$P15</f>
        <v>0</v>
      </c>
      <c r="K15" s="168">
        <f>IF($C15="","",VLOOKUP($C15,성분!$B$2:$O$1509,9,FALSE))/100*$P15</f>
        <v>0</v>
      </c>
      <c r="L15" s="168">
        <f>IF($C15="","",VLOOKUP($C15,성분!$B$2:$O$1509,10,FALSE))/100*$P15</f>
        <v>0</v>
      </c>
      <c r="M15" s="16">
        <f>IF($C15="","",VLOOKUP($C15,성분!$B$2:$O$1509,11,FALSE))/100*$P15</f>
        <v>0</v>
      </c>
      <c r="N15" s="16">
        <f>IF($C15="","",VLOOKUP($C15,성분!$B$2:$O$1509,12,FALSE))/100*$P15</f>
        <v>0</v>
      </c>
      <c r="O15" s="43">
        <f>IF($C15="","",VLOOKUP($C15,성분!$B$2:$O$1509,13,FALSE))/100*$P15</f>
        <v>0</v>
      </c>
      <c r="P15" s="38">
        <f t="shared" si="0"/>
        <v>100</v>
      </c>
      <c r="Q15" s="17">
        <f t="shared" si="3"/>
        <v>10.6</v>
      </c>
      <c r="R15" s="18">
        <f t="shared" si="1"/>
        <v>10</v>
      </c>
    </row>
    <row r="16" spans="1:18" customFormat="1" ht="27.75" customHeight="1">
      <c r="A16" s="42">
        <f t="shared" si="2"/>
        <v>6</v>
      </c>
      <c r="B16" s="30"/>
      <c r="C16" s="22" t="s">
        <v>2343</v>
      </c>
      <c r="D16" s="16">
        <v>15</v>
      </c>
      <c r="E16" s="16">
        <f>IF($C16="","",VLOOKUP($C16,성분!$B$2:$O$1509,3,FALSE))/100*P16</f>
        <v>17.849999999999998</v>
      </c>
      <c r="F16" s="16">
        <f>IF($C16="","",VLOOKUP($C16,성분!$B$2:$O$1509,5,FALSE))/100*$P16</f>
        <v>4.2749999999999995</v>
      </c>
      <c r="G16" s="168">
        <f>IF($C16="","",VLOOKUP($C16,성분!$B$2:$O$1509,4,FALSE))/100*$P16</f>
        <v>0.16500000000000001</v>
      </c>
      <c r="H16" s="168">
        <f>IF($C16="","",VLOOKUP($C16,성분!$B$2:$O$1509,6,FALSE))/100*$P16</f>
        <v>0.96</v>
      </c>
      <c r="I16" s="168">
        <f>IF($C16="","",VLOOKUP($C16,성분!$B$2:$O$1509,7,FALSE))/100*$P16</f>
        <v>0</v>
      </c>
      <c r="J16" s="168">
        <f>IF($C16="","",VLOOKUP($C16,성분!$B$2:$O$1509,8,FALSE))/100*$P16</f>
        <v>0</v>
      </c>
      <c r="K16" s="168">
        <f>IF($C16="","",VLOOKUP($C16,성분!$B$2:$O$1509,9,FALSE))/100*$P16</f>
        <v>0</v>
      </c>
      <c r="L16" s="168">
        <f>IF($C16="","",VLOOKUP($C16,성분!$B$2:$O$1509,10,FALSE))/100*$P16</f>
        <v>0</v>
      </c>
      <c r="M16" s="16">
        <f>IF($C16="","",VLOOKUP($C16,성분!$B$2:$O$1509,11,FALSE))/100*$P16</f>
        <v>0</v>
      </c>
      <c r="N16" s="16">
        <f>IF($C16="","",VLOOKUP($C16,성분!$B$2:$O$1509,12,FALSE))/100*$P16</f>
        <v>0</v>
      </c>
      <c r="O16" s="43">
        <f>IF($C16="","",VLOOKUP($C16,성분!$B$2:$O$1509,13,FALSE))/100*$P16</f>
        <v>0</v>
      </c>
      <c r="P16" s="38">
        <f t="shared" si="0"/>
        <v>15</v>
      </c>
      <c r="Q16" s="17">
        <f t="shared" si="3"/>
        <v>1.59</v>
      </c>
      <c r="R16" s="18">
        <f t="shared" si="1"/>
        <v>1</v>
      </c>
    </row>
    <row r="17" spans="1:19" customFormat="1" ht="27.75" customHeight="1">
      <c r="A17" s="42">
        <f t="shared" si="2"/>
        <v>7</v>
      </c>
      <c r="B17" s="30"/>
      <c r="C17" s="22" t="s">
        <v>1190</v>
      </c>
      <c r="D17" s="16">
        <v>15</v>
      </c>
      <c r="E17" s="168">
        <f>IF($C17="","",VLOOKUP($C17,성분!$B$2:$O$1509,3,FALSE))/100*P17</f>
        <v>5.25</v>
      </c>
      <c r="F17" s="16">
        <f>IF($C17="","",VLOOKUP($C17,성분!$B$2:$O$1509,5,FALSE))/100*$P17</f>
        <v>1.149</v>
      </c>
      <c r="G17" s="168">
        <f>IF($C17="","",VLOOKUP($C17,성분!$B$2:$O$1509,4,FALSE))/100*$P17</f>
        <v>0.15</v>
      </c>
      <c r="H17" s="168">
        <f>IF($C17="","",VLOOKUP($C17,성분!$B$2:$O$1509,6,FALSE))/100*$P17</f>
        <v>2.8500000000000001E-2</v>
      </c>
      <c r="I17" s="168">
        <f>IF($C17="","",VLOOKUP($C17,성분!$B$2:$O$1509,7,FALSE))/100*$P17</f>
        <v>2.25</v>
      </c>
      <c r="J17" s="168">
        <f>IF($C17="","",VLOOKUP($C17,성분!$B$2:$O$1509,8,FALSE))/100*$P17</f>
        <v>4.4999999999999998E-2</v>
      </c>
      <c r="K17" s="168">
        <f>IF($C17="","",VLOOKUP($C17,성분!$B$2:$O$1509,9,FALSE))/100*$P17</f>
        <v>0</v>
      </c>
      <c r="L17" s="168">
        <f>IF($C17="","",VLOOKUP($C17,성분!$B$2:$O$1509,10,FALSE))/100*$P17</f>
        <v>6.0000000000000001E-3</v>
      </c>
      <c r="M17" s="16">
        <f>IF($C17="","",VLOOKUP($C17,성분!$B$2:$O$1509,11,FALSE))/100*$P17</f>
        <v>1.5E-3</v>
      </c>
      <c r="N17" s="16">
        <f>IF($C17="","",VLOOKUP($C17,성분!$B$2:$O$1509,12,FALSE))/100*$P17</f>
        <v>0.03</v>
      </c>
      <c r="O17" s="43">
        <f>IF($C17="","",VLOOKUP($C17,성분!$B$2:$O$1509,13,FALSE))/100*$P17</f>
        <v>1.2</v>
      </c>
      <c r="P17" s="38">
        <f t="shared" si="0"/>
        <v>15</v>
      </c>
      <c r="Q17" s="17">
        <f t="shared" si="3"/>
        <v>1.59</v>
      </c>
      <c r="R17" s="18">
        <f t="shared" si="1"/>
        <v>1</v>
      </c>
    </row>
    <row r="18" spans="1:19" customFormat="1" ht="27.75" customHeight="1">
      <c r="A18" s="42">
        <f t="shared" si="2"/>
        <v>8</v>
      </c>
      <c r="B18" s="114"/>
      <c r="C18" s="113" t="s">
        <v>2271</v>
      </c>
      <c r="D18" s="112">
        <v>10</v>
      </c>
      <c r="E18" s="16">
        <f>IF($C18="","",VLOOKUP($C18,성분!$B$2:$O$1509,3,FALSE))/100*P18</f>
        <v>13.200000000000001</v>
      </c>
      <c r="F18" s="16">
        <f>IF($C18="","",VLOOKUP($C18,성분!$B$2:$O$1509,5,FALSE))/100*$P18</f>
        <v>0.38700000000000001</v>
      </c>
      <c r="G18" s="168">
        <f>IF($C18="","",VLOOKUP($C18,성분!$B$2:$O$1509,4,FALSE))/100*$P18</f>
        <v>0.375</v>
      </c>
      <c r="H18" s="168">
        <f>IF($C18="","",VLOOKUP($C18,성분!$B$2:$O$1509,6,FALSE))/100*$P18</f>
        <v>4.0999999999999995E-2</v>
      </c>
      <c r="I18" s="168">
        <f>IF($C18="","",VLOOKUP($C18,성분!$B$2:$O$1509,7,FALSE))/100*$P18</f>
        <v>0.6</v>
      </c>
      <c r="J18" s="168">
        <f>IF($C18="","",VLOOKUP($C18,성분!$B$2:$O$1509,8,FALSE))/100*$P18</f>
        <v>6.3E-2</v>
      </c>
      <c r="K18" s="168">
        <f>IF($C18="","",VLOOKUP($C18,성분!$B$2:$O$1509,9,FALSE))/100*$P18</f>
        <v>0.2</v>
      </c>
      <c r="L18" s="168">
        <f>IF($C18="","",VLOOKUP($C18,성분!$B$2:$O$1509,10,FALSE))/100*$P18</f>
        <v>0</v>
      </c>
      <c r="M18" s="16">
        <f>IF($C18="","",VLOOKUP($C18,성분!$B$2:$O$1509,11,FALSE))/100*$P18</f>
        <v>5.0000000000000001E-3</v>
      </c>
      <c r="N18" s="16">
        <f>IF($C18="","",VLOOKUP($C18,성분!$B$2:$O$1509,12,FALSE))/100*$P18</f>
        <v>7.4999999999999997E-2</v>
      </c>
      <c r="O18" s="43">
        <f>IF($C18="","",VLOOKUP($C18,성분!$B$2:$O$1509,13,FALSE))/100*$P18</f>
        <v>0.28799999999999998</v>
      </c>
      <c r="P18" s="38">
        <f t="shared" si="0"/>
        <v>10</v>
      </c>
      <c r="Q18" s="17">
        <f t="shared" si="3"/>
        <v>1.06</v>
      </c>
      <c r="R18" s="18">
        <f t="shared" si="1"/>
        <v>1</v>
      </c>
    </row>
    <row r="19" spans="1:19" customFormat="1" ht="27.75" customHeight="1">
      <c r="A19" s="42">
        <f t="shared" si="2"/>
        <v>9</v>
      </c>
      <c r="B19" s="30" t="s">
        <v>2269</v>
      </c>
      <c r="C19" s="22" t="s">
        <v>2270</v>
      </c>
      <c r="D19" s="16">
        <v>38</v>
      </c>
      <c r="E19" s="16">
        <f>IF($C19="","",VLOOKUP($C19,성분!$B$2:$O$1509,3,FALSE))/100*P19</f>
        <v>135.66</v>
      </c>
      <c r="F19" s="16">
        <f>IF($C19="","",VLOOKUP($C19,성분!$B$2:$O$1509,5,FALSE))/100*$P19</f>
        <v>28.347999999999999</v>
      </c>
      <c r="G19" s="168">
        <f>IF($C19="","",VLOOKUP($C19,성분!$B$2:$O$1509,4,FALSE))/100*$P19</f>
        <v>4.2559999999999993</v>
      </c>
      <c r="H19" s="168">
        <f>IF($C19="","",VLOOKUP($C19,성분!$B$2:$O$1509,6,FALSE))/100*$P19</f>
        <v>0.76</v>
      </c>
      <c r="I19" s="168">
        <f>IF($C19="","",VLOOKUP($C19,성분!$B$2:$O$1509,7,FALSE))/100*$P19</f>
        <v>9.8800000000000008</v>
      </c>
      <c r="J19" s="168">
        <f>IF($C19="","",VLOOKUP($C19,성분!$B$2:$O$1509,8,FALSE))/100*$P19</f>
        <v>0.56999999999999995</v>
      </c>
      <c r="K19" s="168">
        <f>IF($C19="","",VLOOKUP($C19,성분!$B$2:$O$1509,9,FALSE))/100*$P19</f>
        <v>0</v>
      </c>
      <c r="L19" s="168">
        <f>IF($C19="","",VLOOKUP($C19,성분!$B$2:$O$1509,10,FALSE))/100*$P19</f>
        <v>0</v>
      </c>
      <c r="M19" s="16">
        <f>IF($C19="","",VLOOKUP($C19,성분!$B$2:$O$1509,11,FALSE))/100*$P19</f>
        <v>0</v>
      </c>
      <c r="N19" s="16">
        <f>IF($C19="","",VLOOKUP($C19,성분!$B$2:$O$1509,12,FALSE))/100*$P19</f>
        <v>0</v>
      </c>
      <c r="O19" s="43">
        <f>IF($C19="","",VLOOKUP($C19,성분!$B$2:$O$1509,13,FALSE))/100*$P19</f>
        <v>0</v>
      </c>
      <c r="P19" s="38">
        <f t="shared" ref="P19:P23" si="7">D19</f>
        <v>38</v>
      </c>
      <c r="Q19" s="17">
        <f t="shared" ref="Q19:Q23" si="8">($O$8*P19)/1000</f>
        <v>4.0279999999999996</v>
      </c>
      <c r="R19" s="18">
        <f t="shared" ref="R19:R23" si="9">INT(Q19)</f>
        <v>4</v>
      </c>
    </row>
    <row r="20" spans="1:19" customFormat="1" ht="27.75" customHeight="1">
      <c r="A20" s="42">
        <f t="shared" si="2"/>
        <v>10</v>
      </c>
      <c r="B20" s="30"/>
      <c r="C20" s="22" t="s">
        <v>2201</v>
      </c>
      <c r="D20" s="16">
        <v>7</v>
      </c>
      <c r="E20" s="16">
        <f>IF($C20="","",VLOOKUP($C20,성분!$B$2:$O$1509,3,FALSE))/100*P20</f>
        <v>8.4699999999999989</v>
      </c>
      <c r="F20" s="16">
        <f>IF($C20="","",VLOOKUP($C20,성분!$B$2:$O$1509,5,FALSE))/100*$P20</f>
        <v>0</v>
      </c>
      <c r="G20" s="168">
        <f>IF($C20="","",VLOOKUP($C20,성분!$B$2:$O$1509,4,FALSE))/100*$P20</f>
        <v>0.98699999999999988</v>
      </c>
      <c r="H20" s="168">
        <f>IF($C20="","",VLOOKUP($C20,성분!$B$2:$O$1509,6,FALSE))/100*$P20</f>
        <v>1.155</v>
      </c>
      <c r="I20" s="168">
        <f>IF($C20="","",VLOOKUP($C20,성분!$B$2:$O$1509,7,FALSE))/100*$P20</f>
        <v>0.14000000000000001</v>
      </c>
      <c r="J20" s="168">
        <f>IF($C20="","",VLOOKUP($C20,성분!$B$2:$O$1509,8,FALSE))/100*$P20</f>
        <v>0.112</v>
      </c>
      <c r="K20" s="168">
        <f>IF($C20="","",VLOOKUP($C20,성분!$B$2:$O$1509,9,FALSE))/100*$P20</f>
        <v>0.14000000000000001</v>
      </c>
      <c r="L20" s="168">
        <f>IF($C20="","",VLOOKUP($C20,성분!$B$2:$O$1509,10,FALSE))/100*$P20</f>
        <v>6.3700000000000007E-2</v>
      </c>
      <c r="M20" s="16">
        <f>IF($C20="","",VLOOKUP($C20,성분!$B$2:$O$1509,11,FALSE))/100*$P20</f>
        <v>1.26E-2</v>
      </c>
      <c r="N20" s="16">
        <f>IF($C20="","",VLOOKUP($C20,성분!$B$2:$O$1509,12,FALSE))/100*$P20</f>
        <v>0.28699999999999998</v>
      </c>
      <c r="O20" s="43">
        <f>IF($C20="","",VLOOKUP($C20,성분!$B$2:$O$1509,13,FALSE))/100*$P20</f>
        <v>0</v>
      </c>
      <c r="P20" s="38">
        <f t="shared" si="7"/>
        <v>7</v>
      </c>
      <c r="Q20" s="17">
        <f t="shared" si="8"/>
        <v>0.74199999999999999</v>
      </c>
      <c r="R20" s="18">
        <f t="shared" si="9"/>
        <v>0</v>
      </c>
    </row>
    <row r="21" spans="1:19" customFormat="1" ht="27.75" customHeight="1">
      <c r="A21" s="42">
        <f t="shared" si="2"/>
        <v>11</v>
      </c>
      <c r="B21" s="30"/>
      <c r="C21" s="22" t="s">
        <v>2272</v>
      </c>
      <c r="D21" s="16">
        <v>7</v>
      </c>
      <c r="E21" s="168">
        <f>IF($C21="","",VLOOKUP($C21,성분!$B$2:$O$1509,3,FALSE))/100*P21</f>
        <v>21.560000000000002</v>
      </c>
      <c r="F21" s="16">
        <f>IF($C21="","",VLOOKUP($C21,성분!$B$2:$O$10517,5,FALSE))/100*$P21</f>
        <v>9.799999999999999E-2</v>
      </c>
      <c r="G21" s="168">
        <f>IF($C21="","",VLOOKUP($C21,성분!$B$2:$O$1509,4,FALSE))/100*$P21</f>
        <v>1.1970000000000001</v>
      </c>
      <c r="H21" s="168">
        <f>IF($C21="","",VLOOKUP($C21,성분!$B$2:$O$1509,6,FALSE))/100*$P21</f>
        <v>0.94500000000000006</v>
      </c>
      <c r="I21" s="168">
        <f>IF($C21="","",VLOOKUP($C21,성분!$B$2:$O$1509,7,FALSE))/100*$P21</f>
        <v>0.70000000000000007</v>
      </c>
      <c r="J21" s="168">
        <f>IF($C21="","",VLOOKUP($C21,성분!$B$2:$O$1509,8,FALSE))/100*$P21</f>
        <v>5.6000000000000001E-2</v>
      </c>
      <c r="K21" s="168">
        <f>IF($C21="","",VLOOKUP($C21,성분!$B$2:$O$1509,9,FALSE))/100*$P21</f>
        <v>0.56000000000000005</v>
      </c>
      <c r="L21" s="168">
        <f>IF($C21="","",VLOOKUP($C21,성분!$B$2:$O$1509,10,FALSE))/100*$P21</f>
        <v>3.5000000000000003E-2</v>
      </c>
      <c r="M21" s="16">
        <f>IF($C21="","",VLOOKUP($C21,성분!$B$2:$O$10517,11,FALSE))/100*$P21</f>
        <v>7.0000000000000001E-3</v>
      </c>
      <c r="N21" s="16">
        <f>IF($C21="","",VLOOKUP($C21,성분!$B$2:$O$10517,12,FALSE))/100*$P21</f>
        <v>0.32900000000000001</v>
      </c>
      <c r="O21" s="43">
        <f>IF($C21="","",VLOOKUP($C21,성분!$B$2:$O$10517,13,FALSE))/100*$P21</f>
        <v>1.8900000000000001</v>
      </c>
      <c r="P21" s="38">
        <f t="shared" si="7"/>
        <v>7</v>
      </c>
      <c r="Q21" s="17">
        <f t="shared" si="8"/>
        <v>0.74199999999999999</v>
      </c>
      <c r="R21" s="18">
        <f t="shared" si="9"/>
        <v>0</v>
      </c>
    </row>
    <row r="22" spans="1:19" customFormat="1" ht="27.75" customHeight="1">
      <c r="A22" s="42">
        <f t="shared" si="2"/>
        <v>12</v>
      </c>
      <c r="B22" s="30"/>
      <c r="C22" s="22" t="s">
        <v>2273</v>
      </c>
      <c r="D22" s="16">
        <v>7</v>
      </c>
      <c r="E22" s="16">
        <f>IF($C22="","",VLOOKUP($C22,성분!$B$2:$O$10517,3,FALSE))/100*P22</f>
        <v>1.1900000000000002</v>
      </c>
      <c r="F22" s="16">
        <f>IF($C22="","",VLOOKUP($C22,성분!$B$2:$O$10517,5,FALSE))/100*$P22</f>
        <v>0.22260000000000002</v>
      </c>
      <c r="G22" s="168">
        <f>IF($C22="","",VLOOKUP($C22,성분!$B$2:$O$1509,4,FALSE))/100*$P22</f>
        <v>0</v>
      </c>
      <c r="H22" s="168">
        <f>IF($C22="","",VLOOKUP($C22,성분!$B$2:$O$1509,6,FALSE))/100*$P22</f>
        <v>9.8000000000000014E-3</v>
      </c>
      <c r="I22" s="168">
        <f>IF($C22="","",VLOOKUP($C22,성분!$B$2:$O$1509,7,FALSE))/100*$P22</f>
        <v>0.70000000000000007</v>
      </c>
      <c r="J22" s="168">
        <f>IF($C22="","",VLOOKUP($C22,성분!$B$2:$O$1509,8,FALSE))/100*$P22</f>
        <v>3.5000000000000003E-2</v>
      </c>
      <c r="K22" s="168">
        <f>IF($C22="","",VLOOKUP($C22,성분!$B$2:$O$1509,9,FALSE))/100*$P22</f>
        <v>4.4800000000000004</v>
      </c>
      <c r="L22" s="168">
        <f>IF($C22="","",VLOOKUP($C22,성분!$B$2:$O$1509,10,FALSE))/100*$P22</f>
        <v>2.0999999999999999E-3</v>
      </c>
      <c r="M22" s="16">
        <f>IF($C22="","",VLOOKUP($C22,성분!$B$2:$O$10517,11,FALSE))/100*$P22</f>
        <v>4.9000000000000007E-3</v>
      </c>
      <c r="N22" s="16">
        <f>IF($C22="","",VLOOKUP($C22,성분!$B$2:$O$10517,12,FALSE))/100*$P22</f>
        <v>4.8999999999999995E-2</v>
      </c>
      <c r="O22" s="43">
        <f>IF($C22="","",VLOOKUP($C22,성분!$B$2:$O$10517,13,FALSE))/100*$P22</f>
        <v>3.71</v>
      </c>
      <c r="P22" s="38">
        <f t="shared" si="7"/>
        <v>7</v>
      </c>
      <c r="Q22" s="17">
        <f t="shared" si="8"/>
        <v>0.74199999999999999</v>
      </c>
      <c r="R22" s="18">
        <f t="shared" si="9"/>
        <v>0</v>
      </c>
    </row>
    <row r="23" spans="1:19" customFormat="1" ht="27.75" customHeight="1">
      <c r="A23" s="42">
        <f t="shared" si="2"/>
        <v>13</v>
      </c>
      <c r="B23" s="30"/>
      <c r="C23" s="22" t="s">
        <v>1190</v>
      </c>
      <c r="D23" s="16">
        <v>10</v>
      </c>
      <c r="E23" s="16">
        <f>IF($C23="","",VLOOKUP($C23,성분!$B$2:$O$10517,3,FALSE))/100*P23</f>
        <v>3.5</v>
      </c>
      <c r="F23" s="16">
        <f>IF($C23="","",VLOOKUP($C23,성분!$B$2:$O$10517,5,FALSE))/100*$P23</f>
        <v>0.76600000000000001</v>
      </c>
      <c r="G23" s="168">
        <f>IF($C23="","",VLOOKUP($C23,성분!$B$2:$O$1509,4,FALSE))/100*$P23</f>
        <v>0.1</v>
      </c>
      <c r="H23" s="168">
        <f>IF($C23="","",VLOOKUP($C23,성분!$B$2:$O$1509,6,FALSE))/100*$P23</f>
        <v>1.9E-2</v>
      </c>
      <c r="I23" s="168">
        <f>IF($C23="","",VLOOKUP($C23,성분!$B$2:$O$1509,7,FALSE))/100*$P23</f>
        <v>1.5</v>
      </c>
      <c r="J23" s="168">
        <f>IF($C23="","",VLOOKUP($C23,성분!$B$2:$O$1509,8,FALSE))/100*$P23</f>
        <v>0.03</v>
      </c>
      <c r="K23" s="168">
        <f>IF($C23="","",VLOOKUP($C23,성분!$B$2:$O$1509,9,FALSE))/100*$P23</f>
        <v>0</v>
      </c>
      <c r="L23" s="168">
        <f>IF($C23="","",VLOOKUP($C23,성분!$B$2:$O$1509,10,FALSE))/100*$P23</f>
        <v>4.0000000000000001E-3</v>
      </c>
      <c r="M23" s="16">
        <f>IF($C23="","",VLOOKUP($C23,성분!$B$2:$O$10517,11,FALSE))/100*$P23</f>
        <v>1E-3</v>
      </c>
      <c r="N23" s="16">
        <f>IF($C23="","",VLOOKUP($C23,성분!$B$2:$O$10517,12,FALSE))/100*$P23</f>
        <v>0.02</v>
      </c>
      <c r="O23" s="43">
        <f>IF($C23="","",VLOOKUP($C23,성분!$B$2:$O$10517,13,FALSE))/100*$P23</f>
        <v>0.8</v>
      </c>
      <c r="P23" s="38">
        <f t="shared" si="7"/>
        <v>10</v>
      </c>
      <c r="Q23" s="17">
        <f t="shared" si="8"/>
        <v>1.06</v>
      </c>
      <c r="R23" s="18">
        <f t="shared" si="9"/>
        <v>1</v>
      </c>
    </row>
    <row r="24" spans="1:19" customFormat="1" ht="27.75" customHeight="1">
      <c r="A24" s="42">
        <f t="shared" si="2"/>
        <v>14</v>
      </c>
      <c r="B24" s="30"/>
      <c r="C24" s="22" t="s">
        <v>2271</v>
      </c>
      <c r="D24" s="16">
        <v>10</v>
      </c>
      <c r="E24" s="16">
        <f>IF($C24="","",VLOOKUP($C24,성분!$B$2:$O$10517,3,FALSE))/100*P24</f>
        <v>13.200000000000001</v>
      </c>
      <c r="F24" s="16">
        <f>IF($C24="","",VLOOKUP($C24,성분!$B$2:$O$10517,5,FALSE))/100*$P24</f>
        <v>0.38700000000000001</v>
      </c>
      <c r="G24" s="168">
        <f>IF($C24="","",VLOOKUP($C24,성분!$B$2:$O$1509,4,FALSE))/100*$P24</f>
        <v>0.375</v>
      </c>
      <c r="H24" s="168">
        <f>IF($C24="","",VLOOKUP($C24,성분!$B$2:$O$1509,6,FALSE))/100*$P24</f>
        <v>4.0999999999999995E-2</v>
      </c>
      <c r="I24" s="168">
        <f>IF($C24="","",VLOOKUP($C24,성분!$B$2:$O$1509,7,FALSE))/100*$P24</f>
        <v>0.6</v>
      </c>
      <c r="J24" s="168">
        <f>IF($C24="","",VLOOKUP($C24,성분!$B$2:$O$1509,8,FALSE))/100*$P24</f>
        <v>6.3E-2</v>
      </c>
      <c r="K24" s="168">
        <f>IF($C24="","",VLOOKUP($C24,성분!$B$2:$O$1509,9,FALSE))/100*$P24</f>
        <v>0.2</v>
      </c>
      <c r="L24" s="168">
        <f>IF($C24="","",VLOOKUP($C24,성분!$B$2:$O$1509,10,FALSE))/100*$P24</f>
        <v>0</v>
      </c>
      <c r="M24" s="16">
        <f>IF($C24="","",VLOOKUP($C24,성분!$B$2:$O$10517,11,FALSE))/100*$P24</f>
        <v>5.0000000000000001E-3</v>
      </c>
      <c r="N24" s="16">
        <f>IF($C24="","",VLOOKUP($C24,성분!$B$2:$O$10517,12,FALSE))/100*$P24</f>
        <v>7.4999999999999997E-2</v>
      </c>
      <c r="O24" s="43">
        <f>IF($C24="","",VLOOKUP($C24,성분!$B$2:$O$10517,13,FALSE))/100*$P24</f>
        <v>0.28799999999999998</v>
      </c>
      <c r="P24" s="38">
        <f t="shared" ref="P24" si="10">D24</f>
        <v>10</v>
      </c>
      <c r="Q24" s="17">
        <f t="shared" ref="Q24" si="11">($O$8*P24)/1000</f>
        <v>1.06</v>
      </c>
      <c r="R24" s="18">
        <f t="shared" ref="R24" si="12">INT(Q24)</f>
        <v>1</v>
      </c>
    </row>
    <row r="25" spans="1:19" customFormat="1" ht="27.75" customHeight="1">
      <c r="A25" s="42">
        <f t="shared" si="2"/>
        <v>15</v>
      </c>
      <c r="B25" s="30"/>
      <c r="C25" s="22" t="s">
        <v>1234</v>
      </c>
      <c r="D25" s="16">
        <v>10</v>
      </c>
      <c r="E25" s="16">
        <f>IF($C25="","",VLOOKUP($C25,성분!$B$2:$O$10517,3,FALSE))/100*P25</f>
        <v>8.6999999999999993</v>
      </c>
      <c r="F25" s="16">
        <f>IF($C25="","",VLOOKUP($C25,성분!$B$2:$O$10517,5,FALSE))/100*$P25</f>
        <v>1.98</v>
      </c>
      <c r="G25" s="168">
        <f>IF($C25="","",VLOOKUP($C25,성분!$B$2:$O$1509,4,FALSE))/100*$P25</f>
        <v>0.37000000000000005</v>
      </c>
      <c r="H25" s="168">
        <f>IF($C25="","",VLOOKUP($C25,성분!$B$2:$O$1509,6,FALSE))/100*$P25</f>
        <v>2.3999999999999997E-2</v>
      </c>
      <c r="I25" s="168">
        <f>IF($C25="","",VLOOKUP($C25,성분!$B$2:$O$1509,7,FALSE))/100*$P25</f>
        <v>4.5</v>
      </c>
      <c r="J25" s="168">
        <f>IF($C25="","",VLOOKUP($C25,성분!$B$2:$O$1509,8,FALSE))/100*$P25</f>
        <v>0.15</v>
      </c>
      <c r="K25" s="168">
        <f>IF($C25="","",VLOOKUP($C25,성분!$B$2:$O$1509,9,FALSE))/100*$P25</f>
        <v>33.299999999999997</v>
      </c>
      <c r="L25" s="168">
        <f>IF($C25="","",VLOOKUP($C25,성분!$B$2:$O$1509,10,FALSE))/100*$P25</f>
        <v>0.02</v>
      </c>
      <c r="M25" s="16">
        <f>IF($C25="","",VLOOKUP($C25,성분!$B$2:$O$10517,11,FALSE))/100*$P25</f>
        <v>1.4000000000000002E-2</v>
      </c>
      <c r="N25" s="16">
        <f>IF($C25="","",VLOOKUP($C25,성분!$B$2:$O$10517,12,FALSE))/100*$P25</f>
        <v>0.36000000000000004</v>
      </c>
      <c r="O25" s="43">
        <f>IF($C25="","",VLOOKUP($C25,성분!$B$2:$O$10517,13,FALSE))/100*$P25</f>
        <v>5.5</v>
      </c>
      <c r="P25" s="38">
        <f t="shared" ref="P25:P26" si="13">D25</f>
        <v>10</v>
      </c>
      <c r="Q25" s="17">
        <f t="shared" ref="Q25:Q26" si="14">($O$8*P25)/1000</f>
        <v>1.06</v>
      </c>
      <c r="R25" s="18">
        <f t="shared" ref="R25:R26" si="15">INT(Q25)</f>
        <v>1</v>
      </c>
    </row>
    <row r="26" spans="1:19" customFormat="1" ht="27.75" customHeight="1">
      <c r="A26" s="42">
        <f t="shared" si="2"/>
        <v>16</v>
      </c>
      <c r="B26" s="30" t="s">
        <v>2274</v>
      </c>
      <c r="C26" s="22" t="s">
        <v>2275</v>
      </c>
      <c r="D26" s="16">
        <v>60</v>
      </c>
      <c r="E26" s="16">
        <f>IF($C26="","",VLOOKUP($C26,성분!$B$2:$O$10517,3,FALSE))/100*P26</f>
        <v>30</v>
      </c>
      <c r="F26" s="16">
        <f>IF($C26="","",VLOOKUP($C26,성분!$B$2:$O$10517,5,FALSE))/100*$P26</f>
        <v>2.64</v>
      </c>
      <c r="G26" s="168">
        <f>IF($C26="","",VLOOKUP($C26,성분!$B$2:$O$1509,4,FALSE))/100*$P26</f>
        <v>1.2</v>
      </c>
      <c r="H26" s="168">
        <f>IF($C26="","",VLOOKUP($C26,성분!$B$2:$O$1509,6,FALSE))/100*$P26</f>
        <v>0.12</v>
      </c>
      <c r="I26" s="168">
        <f>IF($C26="","",VLOOKUP($C26,성분!$B$2:$O$1509,7,FALSE))/100*$P26</f>
        <v>28.2</v>
      </c>
      <c r="J26" s="168">
        <f>IF($C26="","",VLOOKUP($C26,성분!$B$2:$O$1509,8,FALSE))/100*$P26</f>
        <v>0.48</v>
      </c>
      <c r="K26" s="168">
        <f>IF($C26="","",VLOOKUP($C26,성분!$B$2:$O$1509,9,FALSE))/100*$P26</f>
        <v>28.799999999999997</v>
      </c>
      <c r="L26" s="168">
        <f>IF($C26="","",VLOOKUP($C26,성분!$B$2:$O$1509,10,FALSE))/100*$P26</f>
        <v>3.5999999999999997E-2</v>
      </c>
      <c r="M26" s="16">
        <f>IF($C26="","",VLOOKUP($C26,성분!$B$2:$O$10517,11,FALSE))/100*$P26</f>
        <v>3.5999999999999997E-2</v>
      </c>
      <c r="N26" s="16">
        <f>IF($C26="","",VLOOKUP($C26,성분!$B$2:$O$10517,12,FALSE))/100*$P26</f>
        <v>0.48</v>
      </c>
      <c r="O26" s="43">
        <f>IF($C26="","",VLOOKUP($C26,성분!$B$2:$O$10517,13,FALSE))/100*$P26</f>
        <v>8.4</v>
      </c>
      <c r="P26" s="38">
        <f t="shared" si="13"/>
        <v>60</v>
      </c>
      <c r="Q26" s="17">
        <f t="shared" si="14"/>
        <v>6.36</v>
      </c>
      <c r="R26" s="18">
        <f t="shared" si="15"/>
        <v>6</v>
      </c>
    </row>
    <row r="27" spans="1:19" s="160" customFormat="1" ht="27.75" customHeight="1">
      <c r="A27" s="166">
        <f t="shared" si="2"/>
        <v>17</v>
      </c>
      <c r="B27" s="171" t="s">
        <v>2276</v>
      </c>
      <c r="C27" s="169" t="s">
        <v>2277</v>
      </c>
      <c r="D27" s="168">
        <v>35</v>
      </c>
      <c r="E27" s="168">
        <f>IF($C27="","",VLOOKUP($C27,성분!$B$2:$O$10517,3,FALSE))/100*P27</f>
        <v>32.550000000000004</v>
      </c>
      <c r="F27" s="168">
        <f>IF($C27="","",VLOOKUP($C27,성분!$B$2:$O$10517,5,FALSE))/100*$P27</f>
        <v>6.65</v>
      </c>
      <c r="G27" s="168">
        <f>IF($C27="","",VLOOKUP($C27,성분!$B$2:$O$1509,4,FALSE))/100*$P27</f>
        <v>0.35000000000000003</v>
      </c>
      <c r="H27" s="168">
        <f>IF($C27="","",VLOOKUP($C27,성분!$B$2:$O$1509,6,FALSE))/100*$P27</f>
        <v>0</v>
      </c>
      <c r="I27" s="168">
        <f>IF($C27="","",VLOOKUP($C27,성분!$B$2:$O$1509,7,FALSE))/100*$P27</f>
        <v>0</v>
      </c>
      <c r="J27" s="168">
        <f>IF($C27="","",VLOOKUP($C27,성분!$B$2:$O$1509,8,FALSE))/100*$P27</f>
        <v>0</v>
      </c>
      <c r="K27" s="168">
        <f>IF($C27="","",VLOOKUP($C27,성분!$B$2:$O$1509,9,FALSE))/100*$P27</f>
        <v>0</v>
      </c>
      <c r="L27" s="168">
        <f>IF($C27="","",VLOOKUP($C27,성분!$B$2:$O$1509,10,FALSE))/100*$P27</f>
        <v>0</v>
      </c>
      <c r="M27" s="168">
        <f>IF($C27="","",VLOOKUP($C27,성분!$B$2:$O$10517,11,FALSE))/100*$P27</f>
        <v>0</v>
      </c>
      <c r="N27" s="168">
        <f>IF($C27="","",VLOOKUP($C27,성분!$B$2:$O$10517,12,FALSE))/100*$P27</f>
        <v>0</v>
      </c>
      <c r="O27" s="167">
        <f>IF($C27="","",VLOOKUP($C27,성분!$B$2:$O$10517,13,FALSE))/100*$P27</f>
        <v>0</v>
      </c>
      <c r="P27" s="165">
        <f t="shared" ref="P27:P28" si="16">D27</f>
        <v>35</v>
      </c>
      <c r="Q27" s="162">
        <f t="shared" ref="Q27:Q28" si="17">($O$8*P27)/1000</f>
        <v>3.71</v>
      </c>
      <c r="R27" s="18">
        <f t="shared" ref="R27:R28" si="18">INT(Q27)</f>
        <v>3</v>
      </c>
    </row>
    <row r="28" spans="1:19" s="160" customFormat="1" ht="27.75" customHeight="1">
      <c r="A28" s="166">
        <f t="shared" si="2"/>
        <v>18</v>
      </c>
      <c r="B28" s="171"/>
      <c r="C28" s="169" t="s">
        <v>2278</v>
      </c>
      <c r="D28" s="168">
        <v>12</v>
      </c>
      <c r="E28" s="168">
        <f>IF($C28="","",VLOOKUP($C28,성분!$B$2:$O$10517,3,FALSE))/100*P28</f>
        <v>49.92</v>
      </c>
      <c r="F28" s="168">
        <f>IF($C28="","",VLOOKUP($C28,성분!$B$2:$O$10517,5,FALSE))/100*$P28</f>
        <v>8.0519999999999996</v>
      </c>
      <c r="G28" s="168">
        <f>IF($C28="","",VLOOKUP($C28,성분!$B$2:$O$1509,4,FALSE))/100*$P28</f>
        <v>0.88800000000000012</v>
      </c>
      <c r="H28" s="168">
        <f>IF($C28="","",VLOOKUP($C28,성분!$B$2:$O$1509,6,FALSE))/100*$P28</f>
        <v>2.4E-2</v>
      </c>
      <c r="I28" s="168">
        <f>IF($C28="","",VLOOKUP($C28,성분!$B$2:$O$1509,7,FALSE))/100*$P28</f>
        <v>21.6</v>
      </c>
      <c r="J28" s="168">
        <f>IF($C28="","",VLOOKUP($C28,성분!$B$2:$O$1509,8,FALSE))/100*$P28</f>
        <v>0.34799999999999998</v>
      </c>
      <c r="K28" s="168">
        <f>IF($C28="","",VLOOKUP($C28,성분!$B$2:$O$1509,9,FALSE))/100*$P28</f>
        <v>0.96</v>
      </c>
      <c r="L28" s="168">
        <f>IF($C28="","",VLOOKUP($C28,성분!$B$2:$O$1509,10,FALSE))/100*$P28</f>
        <v>8.4000000000000012E-3</v>
      </c>
      <c r="M28" s="168">
        <f>IF($C28="","",VLOOKUP($C28,성분!$B$2:$O$10517,11,FALSE))/100*$P28</f>
        <v>5.04E-2</v>
      </c>
      <c r="N28" s="168">
        <f>IF($C28="","",VLOOKUP($C28,성분!$B$2:$O$10517,12,FALSE))/100*$P28</f>
        <v>3.6000000000000004E-2</v>
      </c>
      <c r="O28" s="167">
        <f>IF($C28="","",VLOOKUP($C28,성분!$B$2:$O$10517,13,FALSE))/100*$P28</f>
        <v>0</v>
      </c>
      <c r="P28" s="165">
        <f t="shared" si="16"/>
        <v>12</v>
      </c>
      <c r="Q28" s="162">
        <f t="shared" si="17"/>
        <v>1.272</v>
      </c>
      <c r="R28" s="18">
        <f t="shared" si="18"/>
        <v>1</v>
      </c>
    </row>
    <row r="29" spans="1:19" customFormat="1" ht="32.25" customHeight="1">
      <c r="A29" s="235" t="s">
        <v>1628</v>
      </c>
      <c r="B29" s="236"/>
      <c r="C29" s="236"/>
      <c r="D29" s="237"/>
      <c r="E29" s="19">
        <f t="shared" ref="E29:O29" si="19">SUM(E11:E28)</f>
        <v>875.79000000000008</v>
      </c>
      <c r="F29" s="19">
        <f t="shared" si="19"/>
        <v>156.97189999999998</v>
      </c>
      <c r="G29" s="19">
        <f t="shared" si="19"/>
        <v>33.569299999999998</v>
      </c>
      <c r="H29" s="19">
        <f t="shared" si="19"/>
        <v>19.326000000000004</v>
      </c>
      <c r="I29" s="44">
        <f t="shared" si="19"/>
        <v>108.01000000000002</v>
      </c>
      <c r="J29" s="19">
        <f t="shared" si="19"/>
        <v>2.7934000000000001</v>
      </c>
      <c r="K29" s="44">
        <f t="shared" si="19"/>
        <v>133.07000000000002</v>
      </c>
      <c r="L29" s="19">
        <f t="shared" si="19"/>
        <v>1.2169999999999999</v>
      </c>
      <c r="M29" s="19">
        <f t="shared" si="19"/>
        <v>0.1724</v>
      </c>
      <c r="N29" s="19">
        <f t="shared" si="19"/>
        <v>3.5244</v>
      </c>
      <c r="O29" s="19">
        <f t="shared" si="19"/>
        <v>23.506</v>
      </c>
      <c r="P29" s="38">
        <f t="shared" si="0"/>
        <v>0</v>
      </c>
      <c r="Q29" s="17">
        <f t="shared" ref="Q29" si="20">($O$8*P29)/1000</f>
        <v>0</v>
      </c>
      <c r="R29" s="18">
        <f t="shared" si="1"/>
        <v>0</v>
      </c>
    </row>
    <row r="30" spans="1:19" s="21" customFormat="1" ht="32.25" customHeight="1">
      <c r="A30" s="238" t="s">
        <v>1790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40"/>
      <c r="P30" s="20"/>
      <c r="Q30"/>
      <c r="R30" s="18">
        <f>INT(Q30)</f>
        <v>0</v>
      </c>
    </row>
    <row r="31" spans="1:19" customFormat="1" ht="19.5" customHeight="1">
      <c r="A31" s="220" t="s">
        <v>1629</v>
      </c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2"/>
      <c r="S31" s="18">
        <f>INT(R31)</f>
        <v>0</v>
      </c>
    </row>
    <row r="32" spans="1:19" customFormat="1" ht="20.100000000000001" customHeight="1">
      <c r="A32" s="247" t="s">
        <v>1630</v>
      </c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9"/>
      <c r="P32" s="244" t="s">
        <v>5</v>
      </c>
      <c r="Q32" s="245"/>
      <c r="R32" s="250">
        <v>5000</v>
      </c>
      <c r="S32" s="250"/>
    </row>
    <row r="33" spans="1:19" customFormat="1" ht="20.100000000000001" customHeight="1">
      <c r="A33" s="251" t="s">
        <v>1769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3"/>
      <c r="P33" s="244" t="s">
        <v>6</v>
      </c>
      <c r="Q33" s="245"/>
      <c r="R33" s="250">
        <f>R32*0.72</f>
        <v>3600</v>
      </c>
      <c r="S33" s="250"/>
    </row>
    <row r="34" spans="1:19" customFormat="1" ht="20.100000000000001" customHeight="1">
      <c r="A34" s="241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244" t="s">
        <v>1631</v>
      </c>
      <c r="Q34" s="245"/>
      <c r="R34" s="246">
        <v>0.72</v>
      </c>
      <c r="S34" s="246"/>
    </row>
    <row r="35" spans="1:19" customFormat="1" ht="20.100000000000001" customHeight="1">
      <c r="C35" s="3"/>
      <c r="D35" s="24"/>
      <c r="E35" s="25"/>
      <c r="F35" s="25"/>
      <c r="G35" s="22">
        <v>667</v>
      </c>
      <c r="H35" s="22">
        <v>15</v>
      </c>
      <c r="I35" s="22">
        <v>300</v>
      </c>
      <c r="J35" s="22">
        <v>5.4</v>
      </c>
      <c r="K35" s="22">
        <v>234</v>
      </c>
      <c r="L35" s="22">
        <v>0.34</v>
      </c>
      <c r="M35" s="22">
        <v>0.4</v>
      </c>
      <c r="N35" s="22">
        <v>5.26</v>
      </c>
      <c r="O35" s="22">
        <v>33.4</v>
      </c>
      <c r="P35" s="37"/>
      <c r="Q35" s="37"/>
      <c r="R35" s="23"/>
      <c r="S35" s="23"/>
    </row>
    <row r="36" spans="1:19" customFormat="1" ht="20.100000000000001" customHeight="1">
      <c r="A36" s="2"/>
      <c r="B36" s="2"/>
      <c r="C36" s="3"/>
      <c r="D36" s="4"/>
      <c r="E36" s="5"/>
      <c r="F36" s="5"/>
      <c r="G36" s="5"/>
      <c r="H36" s="5"/>
      <c r="I36" s="5"/>
      <c r="J36" s="2"/>
      <c r="K36" s="5"/>
      <c r="L36" s="5"/>
      <c r="M36" s="5"/>
      <c r="N36" s="5"/>
      <c r="O36" s="6"/>
    </row>
    <row r="37" spans="1:19" customFormat="1" ht="20.100000000000001" customHeight="1">
      <c r="A37" s="2"/>
      <c r="B37" s="2"/>
      <c r="C37" s="2"/>
      <c r="D37" s="4"/>
      <c r="E37" s="2"/>
      <c r="F37" s="2"/>
      <c r="G37" s="5"/>
      <c r="H37" s="5"/>
      <c r="I37" s="5"/>
      <c r="J37" s="5"/>
      <c r="K37" s="5"/>
      <c r="L37" s="5"/>
      <c r="M37" s="5"/>
      <c r="N37" s="5"/>
      <c r="O37" s="6"/>
    </row>
    <row r="38" spans="1:19" ht="12">
      <c r="C38" s="2"/>
    </row>
    <row r="39" spans="1:19" ht="12">
      <c r="C39" s="2"/>
    </row>
    <row r="1345" spans="4:4">
      <c r="D1345" s="2">
        <v>240</v>
      </c>
    </row>
  </sheetData>
  <mergeCells count="41">
    <mergeCell ref="O2:O4"/>
    <mergeCell ref="O6:O7"/>
    <mergeCell ref="P6:R7"/>
    <mergeCell ref="L2:L4"/>
    <mergeCell ref="M2:M4"/>
    <mergeCell ref="M7:N7"/>
    <mergeCell ref="K7:L7"/>
    <mergeCell ref="A3:B3"/>
    <mergeCell ref="C3:D3"/>
    <mergeCell ref="L5:M5"/>
    <mergeCell ref="A7:C7"/>
    <mergeCell ref="A1:B1"/>
    <mergeCell ref="C1:D1"/>
    <mergeCell ref="K1:K4"/>
    <mergeCell ref="D2:E2"/>
    <mergeCell ref="A6:N6"/>
    <mergeCell ref="N2:N4"/>
    <mergeCell ref="H7:J7"/>
    <mergeCell ref="F7:G7"/>
    <mergeCell ref="D7:E7"/>
    <mergeCell ref="A34:O34"/>
    <mergeCell ref="P34:Q34"/>
    <mergeCell ref="R34:S34"/>
    <mergeCell ref="A32:O32"/>
    <mergeCell ref="P32:Q32"/>
    <mergeCell ref="R32:S32"/>
    <mergeCell ref="A33:O33"/>
    <mergeCell ref="P33:Q33"/>
    <mergeCell ref="R33:S33"/>
    <mergeCell ref="A31:O31"/>
    <mergeCell ref="A8:C8"/>
    <mergeCell ref="O8:O9"/>
    <mergeCell ref="A9:C9"/>
    <mergeCell ref="D9:N9"/>
    <mergeCell ref="A30:O30"/>
    <mergeCell ref="A29:D29"/>
    <mergeCell ref="M8:N8"/>
    <mergeCell ref="K8:L8"/>
    <mergeCell ref="H8:J8"/>
    <mergeCell ref="F8:G8"/>
    <mergeCell ref="D8:E8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71E4-BE1D-42E1-A55A-E794B8C0C3D2}">
  <sheetPr>
    <pageSetUpPr fitToPage="1"/>
  </sheetPr>
  <dimension ref="A1:S1352"/>
  <sheetViews>
    <sheetView view="pageBreakPreview" zoomScale="85" zoomScaleNormal="85" zoomScaleSheetLayoutView="85" workbookViewId="0">
      <pane xSplit="3" ySplit="10" topLeftCell="D26" activePane="bottomRight" state="frozen"/>
      <selection activeCell="K24" sqref="K24"/>
      <selection pane="topRight" activeCell="K24" sqref="K24"/>
      <selection pane="bottomLeft" activeCell="K24" sqref="K24"/>
      <selection pane="bottomRight" activeCell="D31" sqref="D31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94"/>
      <c r="F1" s="194"/>
      <c r="G1" s="39"/>
      <c r="K1" s="202"/>
      <c r="L1" s="195"/>
      <c r="M1" s="196" t="s">
        <v>2371</v>
      </c>
      <c r="N1" s="110" t="s">
        <v>2372</v>
      </c>
      <c r="O1" s="196" t="s">
        <v>2373</v>
      </c>
    </row>
    <row r="2" spans="1:18" s="1" customFormat="1" ht="20.100000000000001" customHeight="1">
      <c r="A2" s="27"/>
      <c r="B2" s="27"/>
      <c r="C2" s="194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45749</v>
      </c>
      <c r="D3" s="201"/>
      <c r="E3" s="194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54" t="s">
        <v>2437</v>
      </c>
      <c r="B8" s="224"/>
      <c r="C8" s="224"/>
      <c r="D8" s="225">
        <v>0</v>
      </c>
      <c r="E8" s="226"/>
      <c r="F8" s="226">
        <v>0</v>
      </c>
      <c r="G8" s="226"/>
      <c r="H8" s="226">
        <v>107</v>
      </c>
      <c r="I8" s="226"/>
      <c r="J8" s="226"/>
      <c r="K8" s="226">
        <f>SUM(D8:J8)</f>
        <v>107</v>
      </c>
      <c r="L8" s="226"/>
      <c r="M8" s="226">
        <v>2</v>
      </c>
      <c r="N8" s="227"/>
      <c r="O8" s="228">
        <f>K8+M8</f>
        <v>109</v>
      </c>
    </row>
    <row r="9" spans="1:18" s="160" customFormat="1" ht="20.100000000000001" customHeight="1">
      <c r="A9" s="230" t="s">
        <v>0</v>
      </c>
      <c r="B9" s="231"/>
      <c r="C9" s="232"/>
      <c r="D9" s="233" t="s">
        <v>2439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97" t="s">
        <v>1626</v>
      </c>
      <c r="Q10" s="198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2187</v>
      </c>
      <c r="C11" s="169" t="s">
        <v>2188</v>
      </c>
      <c r="D11" s="168">
        <v>4</v>
      </c>
      <c r="E11" s="168">
        <f>IF($C11="","",VLOOKUP($C11,성분!$B$2:$O$51519,3,FALSE))/100*P11</f>
        <v>13.96</v>
      </c>
      <c r="F11" s="168">
        <f>IF($C11="","",VLOOKUP($C11,성분!$B$2:$O$51519,5,FALSE))/100*$P11</f>
        <v>3</v>
      </c>
      <c r="G11" s="168">
        <f>IF($C11="","",VLOOKUP($C11,성분!$B$2:$O$51519,4,FALSE))/100*$P11</f>
        <v>0.39200000000000002</v>
      </c>
      <c r="H11" s="168">
        <f>IF($C11="","",VLOOKUP($C11,성분!$B$2:$O$51519,6,FALSE))/100*$P11</f>
        <v>0.06</v>
      </c>
      <c r="I11" s="168">
        <f>IF($C11="","",VLOOKUP($C11,성분!$B$2:$O$51519,7,FALSE))/100*$P11</f>
        <v>0</v>
      </c>
      <c r="J11" s="168">
        <f>IF($C11="","",VLOOKUP($C11,성분!$B$2:$O$51519,8,FALSE))/100*$P11</f>
        <v>0</v>
      </c>
      <c r="K11" s="168">
        <f>IF($C11="","",VLOOKUP($C11,성분!$B$2:$O$51519,9,FALSE))/100*$P11</f>
        <v>0</v>
      </c>
      <c r="L11" s="168">
        <f>IF($C11="","",VLOOKUP($C11,성분!$B$2:$O$51519,10,FALSE))/100*$P11</f>
        <v>8.8000000000000005E-3</v>
      </c>
      <c r="M11" s="168">
        <f>IF($C11="","",VLOOKUP($C11,성분!$B$2:$O$51519,11,FALSE))/100*$P11</f>
        <v>3.5999999999999999E-3</v>
      </c>
      <c r="N11" s="168">
        <f>IF($C11="","",VLOOKUP($C11,성분!$B$2:$O$51519,12,FALSE))/100*$P11</f>
        <v>0</v>
      </c>
      <c r="O11" s="167">
        <f>IF($C11="","",VLOOKUP($C11,성분!$B$2:$O$51519,13,FALSE))/100*$P11</f>
        <v>0</v>
      </c>
      <c r="P11" s="165">
        <f t="shared" ref="P11:P36" si="0">D11</f>
        <v>4</v>
      </c>
      <c r="Q11" s="162">
        <f>($O$8*P11)/1000</f>
        <v>0.436</v>
      </c>
      <c r="R11" s="18">
        <f t="shared" ref="R11:R36" si="1">INT(Q11)</f>
        <v>0</v>
      </c>
    </row>
    <row r="12" spans="1:18" s="160" customFormat="1" ht="27.75" customHeight="1">
      <c r="A12" s="166">
        <f t="shared" ref="A12:A35" si="2">ROW()-10</f>
        <v>2</v>
      </c>
      <c r="B12" s="171"/>
      <c r="C12" s="169" t="s">
        <v>140</v>
      </c>
      <c r="D12" s="168">
        <v>100</v>
      </c>
      <c r="E12" s="168">
        <f>IF($C12="","",VLOOKUP($C12,성분!$B$2:$O$51519,3,FALSE))/100*P12</f>
        <v>240</v>
      </c>
      <c r="F12" s="168">
        <f>IF($C12="","",VLOOKUP($C12,성분!$B$2:$O$51519,5,FALSE))/100*$P12</f>
        <v>78.5</v>
      </c>
      <c r="G12" s="168">
        <f>IF($C12="","",VLOOKUP($C12,성분!$B$2:$O$51519,4,FALSE))/100*$P12</f>
        <v>6.4</v>
      </c>
      <c r="H12" s="168">
        <f>IF($C12="","",VLOOKUP($C12,성분!$B$2:$O$51519,6,FALSE))/100*$P12</f>
        <v>0.4</v>
      </c>
      <c r="I12" s="168">
        <f>IF($C12="","",VLOOKUP($C12,성분!$B$2:$O$51519,7,FALSE))/100*$P12</f>
        <v>7.0000000000000009</v>
      </c>
      <c r="J12" s="168">
        <f>IF($C12="","",VLOOKUP($C12,성분!$B$2:$O$51519,8,FALSE))/100*$P12</f>
        <v>0.5</v>
      </c>
      <c r="K12" s="168">
        <f>IF($C12="","",VLOOKUP($C12,성분!$B$2:$O$51519,9,FALSE))/100*$P12</f>
        <v>0</v>
      </c>
      <c r="L12" s="168">
        <f>IF($C12="","",VLOOKUP($C12,성분!$B$2:$O$51519,10,FALSE))/100*$P12</f>
        <v>0.12</v>
      </c>
      <c r="M12" s="168">
        <f>IF($C12="","",VLOOKUP($C12,성분!$B$2:$O$51519,11,FALSE))/100*$P12</f>
        <v>0</v>
      </c>
      <c r="N12" s="168">
        <f>IF($C12="","",VLOOKUP($C12,성분!$B$2:$O$51519,12,FALSE))/100*$P12</f>
        <v>1.4</v>
      </c>
      <c r="O12" s="167">
        <f>IF($C12="","",VLOOKUP($C12,성분!$B$2:$O$51519,13,FALSE))/100*$P12</f>
        <v>0</v>
      </c>
      <c r="P12" s="165">
        <f t="shared" si="0"/>
        <v>100</v>
      </c>
      <c r="Q12" s="162">
        <f t="shared" ref="Q12:Q36" si="3">($O$8*P12)/1000</f>
        <v>10.9</v>
      </c>
      <c r="R12" s="18">
        <f t="shared" si="1"/>
        <v>10</v>
      </c>
    </row>
    <row r="13" spans="1:18" s="160" customFormat="1" ht="27.75" customHeight="1">
      <c r="A13" s="166">
        <f t="shared" si="2"/>
        <v>3</v>
      </c>
      <c r="B13" s="171" t="s">
        <v>2440</v>
      </c>
      <c r="C13" s="169" t="s">
        <v>2441</v>
      </c>
      <c r="D13" s="168">
        <v>20</v>
      </c>
      <c r="E13" s="168">
        <f>IF($C13="","",VLOOKUP($C13,성분!$B$2:$O$51519,3,FALSE))/100*P13</f>
        <v>24.6</v>
      </c>
      <c r="F13" s="168">
        <f>IF($C13="","",VLOOKUP($C13,성분!$B$2:$O$51519,5,FALSE))/100*$P13</f>
        <v>2.1</v>
      </c>
      <c r="G13" s="168">
        <f>IF($C13="","",VLOOKUP($C13,성분!$B$2:$O$51519,4,FALSE))/100*$P13</f>
        <v>1.4400000000000002</v>
      </c>
      <c r="H13" s="168">
        <f>IF($C13="","",VLOOKUP($C13,성분!$B$2:$O$51519,6,FALSE))/100*$P13</f>
        <v>2.2519999999999998</v>
      </c>
      <c r="I13" s="168">
        <f>IF($C13="","",VLOOKUP($C13,성분!$B$2:$O$51519,7,FALSE))/100*$P13</f>
        <v>0.2</v>
      </c>
      <c r="J13" s="168">
        <f>IF($C13="","",VLOOKUP($C13,성분!$B$2:$O$51519,8,FALSE))/100*$P13</f>
        <v>0.2</v>
      </c>
      <c r="K13" s="168">
        <f>IF($C13="","",VLOOKUP($C13,성분!$B$2:$O$51519,9,FALSE))/100*$P13</f>
        <v>3.2</v>
      </c>
      <c r="L13" s="168">
        <f>IF($C13="","",VLOOKUP($C13,성분!$B$2:$O$51519,10,FALSE))/100*$P13</f>
        <v>0.02</v>
      </c>
      <c r="M13" s="168">
        <f>IF($C13="","",VLOOKUP($C13,성분!$B$2:$O$51519,11,FALSE))/100*$P13</f>
        <v>1.6E-2</v>
      </c>
      <c r="N13" s="168">
        <f>IF($C13="","",VLOOKUP($C13,성분!$B$2:$O$51519,12,FALSE))/100*$P13</f>
        <v>0.17399999999999999</v>
      </c>
      <c r="O13" s="167">
        <f>IF($C13="","",VLOOKUP($C13,성분!$B$2:$O$51519,13,FALSE))/100*$P13</f>
        <v>0</v>
      </c>
      <c r="P13" s="165">
        <f t="shared" si="0"/>
        <v>20</v>
      </c>
      <c r="Q13" s="162">
        <f t="shared" si="3"/>
        <v>2.1800000000000002</v>
      </c>
      <c r="R13" s="18">
        <f t="shared" si="1"/>
        <v>2</v>
      </c>
    </row>
    <row r="14" spans="1:18" s="160" customFormat="1" ht="27.75" customHeight="1">
      <c r="A14" s="166">
        <f t="shared" si="2"/>
        <v>4</v>
      </c>
      <c r="B14" s="171"/>
      <c r="C14" s="169" t="s">
        <v>1708</v>
      </c>
      <c r="D14" s="168">
        <v>25</v>
      </c>
      <c r="E14" s="168">
        <f>IF($C14="","",VLOOKUP($C14,성분!$B$2:$O$51519,3,FALSE))/100*P14</f>
        <v>12.5</v>
      </c>
      <c r="F14" s="168">
        <f>IF($C14="","",VLOOKUP($C14,성분!$B$2:$O$51519,5,FALSE))/100*$P14</f>
        <v>1.1000000000000001</v>
      </c>
      <c r="G14" s="168">
        <f>IF($C14="","",VLOOKUP($C14,성분!$B$2:$O$51519,4,FALSE))/100*$P14</f>
        <v>0.5</v>
      </c>
      <c r="H14" s="168">
        <f>IF($C14="","",VLOOKUP($C14,성분!$B$2:$O$51519,6,FALSE))/100*$P14</f>
        <v>0.05</v>
      </c>
      <c r="I14" s="168">
        <f>IF($C14="","",VLOOKUP($C14,성분!$B$2:$O$51519,7,FALSE))/100*$P14</f>
        <v>11.75</v>
      </c>
      <c r="J14" s="168">
        <f>IF($C14="","",VLOOKUP($C14,성분!$B$2:$O$51519,8,FALSE))/100*$P14</f>
        <v>0.2</v>
      </c>
      <c r="K14" s="168">
        <f>IF($C14="","",VLOOKUP($C14,성분!$B$2:$O$51519,9,FALSE))/100*$P14</f>
        <v>12</v>
      </c>
      <c r="L14" s="168">
        <f>IF($C14="","",VLOOKUP($C14,성분!$B$2:$O$51519,10,FALSE))/100*$P14</f>
        <v>1.4999999999999999E-2</v>
      </c>
      <c r="M14" s="168">
        <f>IF($C14="","",VLOOKUP($C14,성분!$B$2:$O$51519,11,FALSE))/100*$P14</f>
        <v>1.4999999999999999E-2</v>
      </c>
      <c r="N14" s="168">
        <f>IF($C14="","",VLOOKUP($C14,성분!$B$2:$O$51519,12,FALSE))/100*$P14</f>
        <v>0.2</v>
      </c>
      <c r="O14" s="167">
        <f>IF($C14="","",VLOOKUP($C14,성분!$B$2:$O$51519,13,FALSE))/100*$P14</f>
        <v>3.5000000000000004</v>
      </c>
      <c r="P14" s="165">
        <f t="shared" si="0"/>
        <v>25</v>
      </c>
      <c r="Q14" s="162">
        <f t="shared" si="3"/>
        <v>2.7250000000000001</v>
      </c>
      <c r="R14" s="18">
        <f t="shared" si="1"/>
        <v>2</v>
      </c>
    </row>
    <row r="15" spans="1:18" s="160" customFormat="1" ht="27.75" customHeight="1">
      <c r="A15" s="166">
        <f t="shared" si="2"/>
        <v>5</v>
      </c>
      <c r="B15" s="171"/>
      <c r="C15" s="169" t="s">
        <v>395</v>
      </c>
      <c r="D15" s="168">
        <v>20</v>
      </c>
      <c r="E15" s="168">
        <f>IF($C15="","",VLOOKUP($C15,성분!$B$2:$O$51519,3,FALSE))/100*P15</f>
        <v>15.8</v>
      </c>
      <c r="F15" s="168">
        <f>IF($C15="","",VLOOKUP($C15,성분!$B$2:$O$51519,5,FALSE))/100*$P15</f>
        <v>0.7400000000000001</v>
      </c>
      <c r="G15" s="168">
        <f>IF($C15="","",VLOOKUP($C15,성분!$B$2:$O$51519,4,FALSE))/100*$P15</f>
        <v>1.6800000000000002</v>
      </c>
      <c r="H15" s="168">
        <f>IF($C15="","",VLOOKUP($C15,성분!$B$2:$O$51519,6,FALSE))/100*$P15</f>
        <v>0.70000000000000007</v>
      </c>
      <c r="I15" s="168">
        <f>IF($C15="","",VLOOKUP($C15,성분!$B$2:$O$51519,7,FALSE))/100*$P15</f>
        <v>31.8</v>
      </c>
      <c r="J15" s="168">
        <f>IF($C15="","",VLOOKUP($C15,성분!$B$2:$O$51519,8,FALSE))/100*$P15</f>
        <v>0.52</v>
      </c>
      <c r="K15" s="168">
        <f>IF($C15="","",VLOOKUP($C15,성분!$B$2:$O$51519,9,FALSE))/100*$P15</f>
        <v>0</v>
      </c>
      <c r="L15" s="168">
        <f>IF($C15="","",VLOOKUP($C15,성분!$B$2:$O$51519,10,FALSE))/100*$P15</f>
        <v>0.01</v>
      </c>
      <c r="M15" s="168">
        <f>IF($C15="","",VLOOKUP($C15,성분!$B$2:$O$51519,11,FALSE))/100*$P15</f>
        <v>8.0000000000000002E-3</v>
      </c>
      <c r="N15" s="168">
        <f>IF($C15="","",VLOOKUP($C15,성분!$B$2:$O$51519,12,FALSE))/100*$P15</f>
        <v>0.13999999999999999</v>
      </c>
      <c r="O15" s="167">
        <f>IF($C15="","",VLOOKUP($C15,성분!$B$2:$O$51519,13,FALSE))/100*$P15</f>
        <v>0</v>
      </c>
      <c r="P15" s="165">
        <f t="shared" si="0"/>
        <v>20</v>
      </c>
      <c r="Q15" s="162">
        <f t="shared" si="3"/>
        <v>2.1800000000000002</v>
      </c>
      <c r="R15" s="18">
        <f t="shared" si="1"/>
        <v>2</v>
      </c>
    </row>
    <row r="16" spans="1:18" s="160" customFormat="1" ht="27.75" customHeight="1">
      <c r="A16" s="166">
        <f t="shared" si="2"/>
        <v>6</v>
      </c>
      <c r="B16" s="171"/>
      <c r="C16" s="169" t="s">
        <v>2193</v>
      </c>
      <c r="D16" s="168">
        <v>30</v>
      </c>
      <c r="E16" s="168">
        <f>IF($C16="","",VLOOKUP($C16,성분!$B$2:$O$51519,3,FALSE))/100*P16</f>
        <v>5.3999999999999995</v>
      </c>
      <c r="F16" s="168">
        <f>IF($C16="","",VLOOKUP($C16,성분!$B$2:$O$51519,5,FALSE))/100*$P16</f>
        <v>1.254</v>
      </c>
      <c r="G16" s="168">
        <f>IF($C16="","",VLOOKUP($C16,성분!$B$2:$O$51519,4,FALSE))/100*$P16</f>
        <v>0.24</v>
      </c>
      <c r="H16" s="168">
        <f>IF($C16="","",VLOOKUP($C16,성분!$B$2:$O$51519,6,FALSE))/100*$P16</f>
        <v>0.06</v>
      </c>
      <c r="I16" s="168">
        <f>IF($C16="","",VLOOKUP($C16,성분!$B$2:$O$51519,7,FALSE))/100*$P16</f>
        <v>7.5</v>
      </c>
      <c r="J16" s="168">
        <f>IF($C16="","",VLOOKUP($C16,성분!$B$2:$O$51519,8,FALSE))/100*$P16</f>
        <v>0.23400000000000001</v>
      </c>
      <c r="K16" s="168">
        <f>IF($C16="","",VLOOKUP($C16,성분!$B$2:$O$51519,9,FALSE))/100*$P16</f>
        <v>4.5</v>
      </c>
      <c r="L16" s="168">
        <f>IF($C16="","",VLOOKUP($C16,성분!$B$2:$O$51519,10,FALSE))/100*$P16</f>
        <v>8.9999999999999993E-3</v>
      </c>
      <c r="M16" s="168">
        <f>IF($C16="","",VLOOKUP($C16,성분!$B$2:$O$51519,11,FALSE))/100*$P16</f>
        <v>1.7999999999999999E-2</v>
      </c>
      <c r="N16" s="168">
        <f>IF($C16="","",VLOOKUP($C16,성분!$B$2:$O$51519,12,FALSE))/100*$P16</f>
        <v>6.3E-2</v>
      </c>
      <c r="O16" s="167">
        <f>IF($C16="","",VLOOKUP($C16,성분!$B$2:$O$51519,13,FALSE))/100*$P16</f>
        <v>0.96</v>
      </c>
      <c r="P16" s="165">
        <f t="shared" si="0"/>
        <v>30</v>
      </c>
      <c r="Q16" s="162">
        <f t="shared" si="3"/>
        <v>3.27</v>
      </c>
      <c r="R16" s="18">
        <f t="shared" si="1"/>
        <v>3</v>
      </c>
    </row>
    <row r="17" spans="1:18" s="160" customFormat="1" ht="27.75" customHeight="1">
      <c r="A17" s="166">
        <f t="shared" si="2"/>
        <v>7</v>
      </c>
      <c r="B17" s="171"/>
      <c r="C17" s="169" t="s">
        <v>1190</v>
      </c>
      <c r="D17" s="168">
        <v>15</v>
      </c>
      <c r="E17" s="168">
        <f>IF($C17="","",VLOOKUP($C17,성분!$B$2:$O$51519,3,FALSE))/100*P17</f>
        <v>5.25</v>
      </c>
      <c r="F17" s="168">
        <f>IF($C17="","",VLOOKUP($C17,성분!$B$2:$O$51519,5,FALSE))/100*$P17</f>
        <v>1.149</v>
      </c>
      <c r="G17" s="168">
        <f>IF($C17="","",VLOOKUP($C17,성분!$B$2:$O$51519,4,FALSE))/100*$P17</f>
        <v>0.15</v>
      </c>
      <c r="H17" s="168">
        <f>IF($C17="","",VLOOKUP($C17,성분!$B$2:$O$51519,6,FALSE))/100*$P17</f>
        <v>2.8500000000000001E-2</v>
      </c>
      <c r="I17" s="168">
        <f>IF($C17="","",VLOOKUP($C17,성분!$B$2:$O$51519,7,FALSE))/100*$P17</f>
        <v>2.25</v>
      </c>
      <c r="J17" s="168">
        <f>IF($C17="","",VLOOKUP($C17,성분!$B$2:$O$51519,8,FALSE))/100*$P17</f>
        <v>4.4999999999999998E-2</v>
      </c>
      <c r="K17" s="168">
        <f>IF($C17="","",VLOOKUP($C17,성분!$B$2:$O$51519,9,FALSE))/100*$P17</f>
        <v>0</v>
      </c>
      <c r="L17" s="168">
        <f>IF($C17="","",VLOOKUP($C17,성분!$B$2:$O$51519,10,FALSE))/100*$P17</f>
        <v>6.0000000000000001E-3</v>
      </c>
      <c r="M17" s="168">
        <f>IF($C17="","",VLOOKUP($C17,성분!$B$2:$O$51519,11,FALSE))/100*$P17</f>
        <v>1.5E-3</v>
      </c>
      <c r="N17" s="168">
        <f>IF($C17="","",VLOOKUP($C17,성분!$B$2:$O$51519,12,FALSE))/100*$P17</f>
        <v>0.03</v>
      </c>
      <c r="O17" s="167">
        <f>IF($C17="","",VLOOKUP($C17,성분!$B$2:$O$51519,13,FALSE))/100*$P17</f>
        <v>1.2</v>
      </c>
      <c r="P17" s="165">
        <f t="shared" si="0"/>
        <v>15</v>
      </c>
      <c r="Q17" s="162">
        <f t="shared" si="3"/>
        <v>1.635</v>
      </c>
      <c r="R17" s="18">
        <f t="shared" si="1"/>
        <v>1</v>
      </c>
    </row>
    <row r="18" spans="1:18" s="160" customFormat="1" ht="27.75" customHeight="1">
      <c r="A18" s="166">
        <f t="shared" si="2"/>
        <v>8</v>
      </c>
      <c r="B18" s="171"/>
      <c r="C18" s="169" t="s">
        <v>1239</v>
      </c>
      <c r="D18" s="168">
        <v>5</v>
      </c>
      <c r="E18" s="168">
        <f>IF($C18="","",VLOOKUP($C18,성분!$B$2:$O$51519,3,FALSE))/100*P18</f>
        <v>1.3</v>
      </c>
      <c r="F18" s="168">
        <f>IF($C18="","",VLOOKUP($C18,성분!$B$2:$O$51519,5,FALSE))/100*$P18</f>
        <v>0.223</v>
      </c>
      <c r="G18" s="168">
        <f>IF($C18="","",VLOOKUP($C18,성분!$B$2:$O$51519,4,FALSE))/100*$P18</f>
        <v>0</v>
      </c>
      <c r="H18" s="168">
        <f>IF($C18="","",VLOOKUP($C18,성분!$B$2:$O$51519,6,FALSE))/100*$P18</f>
        <v>1.2999999999999999E-2</v>
      </c>
      <c r="I18" s="168">
        <f>IF($C18="","",VLOOKUP($C18,성분!$B$2:$O$51519,7,FALSE))/100*$P18</f>
        <v>4.0500000000000007</v>
      </c>
      <c r="J18" s="168">
        <f>IF($C18="","",VLOOKUP($C18,성분!$B$2:$O$51519,8,FALSE))/100*$P18</f>
        <v>0.05</v>
      </c>
      <c r="K18" s="168">
        <f>IF($C18="","",VLOOKUP($C18,성분!$B$2:$O$51519,9,FALSE))/100*$P18</f>
        <v>6.45</v>
      </c>
      <c r="L18" s="168">
        <f>IF($C18="","",VLOOKUP($C18,성분!$B$2:$O$51519,10,FALSE))/100*$P18</f>
        <v>2.9999999999999996E-3</v>
      </c>
      <c r="M18" s="168">
        <f>IF($C18="","",VLOOKUP($C18,성분!$B$2:$O$51519,11,FALSE))/100*$P18</f>
        <v>4.4999999999999997E-3</v>
      </c>
      <c r="N18" s="168">
        <f>IF($C18="","",VLOOKUP($C18,성분!$B$2:$O$51519,12,FALSE))/100*$P18</f>
        <v>0.03</v>
      </c>
      <c r="O18" s="167">
        <f>IF($C18="","",VLOOKUP($C18,성분!$B$2:$O$51519,13,FALSE))/100*$P18</f>
        <v>1.05</v>
      </c>
      <c r="P18" s="165">
        <f t="shared" si="0"/>
        <v>5</v>
      </c>
      <c r="Q18" s="162">
        <f t="shared" si="3"/>
        <v>0.54500000000000004</v>
      </c>
      <c r="R18" s="18">
        <f t="shared" si="1"/>
        <v>0</v>
      </c>
    </row>
    <row r="19" spans="1:18" s="160" customFormat="1" ht="27.75" customHeight="1">
      <c r="A19" s="166">
        <f t="shared" si="2"/>
        <v>9</v>
      </c>
      <c r="B19" s="171"/>
      <c r="C19" s="169" t="s">
        <v>2545</v>
      </c>
      <c r="D19" s="168">
        <v>3</v>
      </c>
      <c r="E19" s="168">
        <f>IF($C19="","",VLOOKUP($C19,성분!$B$2:$O$51519,3,FALSE))/100*P19</f>
        <v>5.67</v>
      </c>
      <c r="F19" s="168">
        <f>IF($C19="","",VLOOKUP($C19,성분!$B$2:$O$51519,5,FALSE))/100*$P19</f>
        <v>1.3560000000000001</v>
      </c>
      <c r="G19" s="168">
        <f>IF($C19="","",VLOOKUP($C19,성분!$B$2:$O$51519,4,FALSE))/100*$P19</f>
        <v>0.22200000000000003</v>
      </c>
      <c r="H19" s="168">
        <f>IF($C19="","",VLOOKUP($C19,성분!$B$2:$O$51519,6,FALSE))/100*$P19</f>
        <v>3.3000000000000002E-2</v>
      </c>
      <c r="I19" s="168">
        <f>IF($C19="","",VLOOKUP($C19,성분!$B$2:$O$51519,7,FALSE))/100*$P19</f>
        <v>21.240000000000002</v>
      </c>
      <c r="J19" s="168">
        <f>IF($C19="","",VLOOKUP($C19,성분!$B$2:$O$51519,8,FALSE))/100*$P19</f>
        <v>0.189</v>
      </c>
      <c r="K19" s="168">
        <f>IF($C19="","",VLOOKUP($C19,성분!$B$2:$O$51519,9,FALSE))/100*$P19</f>
        <v>2.88</v>
      </c>
      <c r="L19" s="168">
        <f>IF($C19="","",VLOOKUP($C19,성분!$B$2:$O$51519,10,FALSE))/100*$P19</f>
        <v>6.6E-3</v>
      </c>
      <c r="M19" s="168">
        <f>IF($C19="","",VLOOKUP($C19,성분!$B$2:$O$51519,11,FALSE))/100*$P19</f>
        <v>1.3500000000000002E-2</v>
      </c>
      <c r="N19" s="168">
        <f>IF($C19="","",VLOOKUP($C19,성분!$B$2:$O$51519,12,FALSE))/100*$P19</f>
        <v>0.13500000000000001</v>
      </c>
      <c r="O19" s="167">
        <f>IF($C19="","",VLOOKUP($C19,성분!$B$2:$O$51519,13,FALSE))/100*$P19</f>
        <v>0.54</v>
      </c>
      <c r="P19" s="165">
        <f t="shared" ref="P19:P20" si="4">D19</f>
        <v>3</v>
      </c>
      <c r="Q19" s="162">
        <f t="shared" ref="Q19:Q20" si="5">($O$8*P19)/1000</f>
        <v>0.32700000000000001</v>
      </c>
      <c r="R19" s="18">
        <f t="shared" ref="R19:R20" si="6">INT(Q19)</f>
        <v>0</v>
      </c>
    </row>
    <row r="20" spans="1:18" s="160" customFormat="1" ht="27.75" customHeight="1">
      <c r="A20" s="166">
        <f t="shared" si="2"/>
        <v>10</v>
      </c>
      <c r="B20" s="171"/>
      <c r="C20" s="169" t="s">
        <v>2546</v>
      </c>
      <c r="D20" s="168">
        <v>3</v>
      </c>
      <c r="E20" s="168">
        <f>IF($C20="","",VLOOKUP($C20,성분!$B$2:$O$51519,3,FALSE))/100*P20</f>
        <v>9.09</v>
      </c>
      <c r="F20" s="168">
        <f>IF($C20="","",VLOOKUP($C20,성분!$B$2:$O$51519,5,FALSE))/100*$P20</f>
        <v>9.0000000000000011E-3</v>
      </c>
      <c r="G20" s="168">
        <f>IF($C20="","",VLOOKUP($C20,성분!$B$2:$O$51519,4,FALSE))/100*$P20</f>
        <v>0.99</v>
      </c>
      <c r="H20" s="168">
        <f>IF($C20="","",VLOOKUP($C20,성분!$B$2:$O$51519,6,FALSE))/100*$P20</f>
        <v>0.21899999999999997</v>
      </c>
      <c r="I20" s="168">
        <f>IF($C20="","",VLOOKUP($C20,성분!$B$2:$O$51519,7,FALSE))/100*$P20</f>
        <v>51</v>
      </c>
      <c r="J20" s="168">
        <f>IF($C20="","",VLOOKUP($C20,성분!$B$2:$O$51519,8,FALSE))/100*$P20</f>
        <v>0.12</v>
      </c>
      <c r="K20" s="168">
        <f>IF($C20="","",VLOOKUP($C20,성분!$B$2:$O$51519,9,FALSE))/100*$P20</f>
        <v>0</v>
      </c>
      <c r="L20" s="168">
        <f>IF($C20="","",VLOOKUP($C20,성분!$B$2:$O$51519,10,FALSE))/100*$P20</f>
        <v>4.2000000000000006E-3</v>
      </c>
      <c r="M20" s="168">
        <f>IF($C20="","",VLOOKUP($C20,성분!$B$2:$O$51519,11,FALSE))/100*$P20</f>
        <v>3.5999999999999999E-3</v>
      </c>
      <c r="N20" s="168">
        <f>IF($C20="","",VLOOKUP($C20,성분!$B$2:$O$51519,12,FALSE))/100*$P20</f>
        <v>0.06</v>
      </c>
      <c r="O20" s="167">
        <f>IF($C20="","",VLOOKUP($C20,성분!$B$2:$O$51519,13,FALSE))/100*$P20</f>
        <v>0</v>
      </c>
      <c r="P20" s="165">
        <f t="shared" si="4"/>
        <v>3</v>
      </c>
      <c r="Q20" s="162">
        <f t="shared" si="5"/>
        <v>0.32700000000000001</v>
      </c>
      <c r="R20" s="18">
        <f t="shared" si="6"/>
        <v>0</v>
      </c>
    </row>
    <row r="21" spans="1:18" s="160" customFormat="1" ht="27.75" customHeight="1">
      <c r="A21" s="166">
        <f t="shared" si="2"/>
        <v>11</v>
      </c>
      <c r="B21" s="171" t="s">
        <v>2442</v>
      </c>
      <c r="C21" s="169" t="s">
        <v>2264</v>
      </c>
      <c r="D21" s="168">
        <v>70</v>
      </c>
      <c r="E21" s="168">
        <f>IF($C21="","",VLOOKUP($C21,성분!$B$2:$O$51519,3,FALSE))/100*P21</f>
        <v>71.400000000000006</v>
      </c>
      <c r="F21" s="168">
        <f>IF($C21="","",VLOOKUP($C21,성분!$B$2:$O$51519,5,FALSE))/100*$P21</f>
        <v>0</v>
      </c>
      <c r="G21" s="168">
        <f>IF($C21="","",VLOOKUP($C21,성분!$B$2:$O$51519,4,FALSE))/100*$P21</f>
        <v>8.0220000000000002</v>
      </c>
      <c r="H21" s="168">
        <f>IF($C21="","",VLOOKUP($C21,성분!$B$2:$O$51519,6,FALSE))/100*$P21</f>
        <v>8.9529999999999994</v>
      </c>
      <c r="I21" s="168">
        <f>IF($C21="","",VLOOKUP($C21,성분!$B$2:$O$51519,7,FALSE))/100*$P21</f>
        <v>4.3889999999999993</v>
      </c>
      <c r="J21" s="168">
        <f>IF($C21="","",VLOOKUP($C21,성분!$B$2:$O$51519,8,FALSE))/100*$P21</f>
        <v>0.39899999999999997</v>
      </c>
      <c r="K21" s="168">
        <f>IF($C21="","",VLOOKUP($C21,성분!$B$2:$O$51519,9,FALSE))/100*$P21</f>
        <v>5.9850000000000003</v>
      </c>
      <c r="L21" s="168">
        <f>IF($C21="","",VLOOKUP($C21,성분!$B$2:$O$51519,10,FALSE))/100*$P21</f>
        <v>3.5000000000000003E-2</v>
      </c>
      <c r="M21" s="168">
        <f>IF($C21="","",VLOOKUP($C21,성분!$B$2:$O$51519,11,FALSE))/100*$P21</f>
        <v>7.6999999999999999E-2</v>
      </c>
      <c r="N21" s="168">
        <f>IF($C21="","",VLOOKUP($C21,성분!$B$2:$O$51519,12,FALSE))/100*$P21</f>
        <v>0</v>
      </c>
      <c r="O21" s="167">
        <f>IF($C21="","",VLOOKUP($C21,성분!$B$2:$O$51519,13,FALSE))/100*$P21</f>
        <v>0.49699999999999994</v>
      </c>
      <c r="P21" s="165">
        <f t="shared" si="0"/>
        <v>70</v>
      </c>
      <c r="Q21" s="162">
        <f t="shared" si="3"/>
        <v>7.63</v>
      </c>
      <c r="R21" s="18">
        <f t="shared" si="1"/>
        <v>7</v>
      </c>
    </row>
    <row r="22" spans="1:18" s="160" customFormat="1" ht="27.75" customHeight="1">
      <c r="A22" s="166">
        <f t="shared" si="2"/>
        <v>12</v>
      </c>
      <c r="B22" s="171"/>
      <c r="C22" s="169" t="s">
        <v>2443</v>
      </c>
      <c r="D22" s="168">
        <v>50</v>
      </c>
      <c r="E22" s="168">
        <f>IF($C22="","",VLOOKUP($C22,성분!$B$2:$O$51519,3,FALSE))/100*P22</f>
        <v>57.499999999999993</v>
      </c>
      <c r="F22" s="168">
        <f>IF($C22="","",VLOOKUP($C22,성분!$B$2:$O$51519,5,FALSE))/100*$P22</f>
        <v>0.05</v>
      </c>
      <c r="G22" s="168">
        <f>IF($C22="","",VLOOKUP($C22,성분!$B$2:$O$51519,4,FALSE))/100*$P22</f>
        <v>12</v>
      </c>
      <c r="H22" s="168">
        <f>IF($C22="","",VLOOKUP($C22,성분!$B$2:$O$51519,6,FALSE))/100*$P22</f>
        <v>0.7</v>
      </c>
      <c r="I22" s="168">
        <f>IF($C22="","",VLOOKUP($C22,성분!$B$2:$O$51519,7,FALSE))/100*$P22</f>
        <v>5.5</v>
      </c>
      <c r="J22" s="168">
        <f>IF($C22="","",VLOOKUP($C22,성분!$B$2:$O$51519,8,FALSE))/100*$P22</f>
        <v>0.55000000000000004</v>
      </c>
      <c r="K22" s="168">
        <f>IF($C22="","",VLOOKUP($C22,성분!$B$2:$O$51519,9,FALSE))/100*$P22</f>
        <v>0</v>
      </c>
      <c r="L22" s="168">
        <f>IF($C22="","",VLOOKUP($C22,성분!$B$2:$O$51519,10,FALSE))/100*$P22</f>
        <v>0.1</v>
      </c>
      <c r="M22" s="168">
        <f>IF($C22="","",VLOOKUP($C22,성분!$B$2:$O$51519,11,FALSE))/100*$P22</f>
        <v>0.105</v>
      </c>
      <c r="N22" s="168">
        <f>IF($C22="","",VLOOKUP($C22,성분!$B$2:$O$51519,12,FALSE))/100*$P22</f>
        <v>1.45</v>
      </c>
      <c r="O22" s="167">
        <f>IF($C22="","",VLOOKUP($C22,성분!$B$2:$O$51519,13,FALSE))/100*$P22</f>
        <v>0</v>
      </c>
      <c r="P22" s="165">
        <f t="shared" ref="P22:P30" si="7">D22</f>
        <v>50</v>
      </c>
      <c r="Q22" s="162">
        <f t="shared" ref="Q22:Q30" si="8">($O$8*P22)/1000</f>
        <v>5.45</v>
      </c>
      <c r="R22" s="18">
        <f t="shared" ref="R22:R30" si="9">INT(Q22)</f>
        <v>5</v>
      </c>
    </row>
    <row r="23" spans="1:18" s="160" customFormat="1" ht="27.75" customHeight="1">
      <c r="A23" s="166">
        <f t="shared" si="2"/>
        <v>13</v>
      </c>
      <c r="B23" s="171"/>
      <c r="C23" s="169" t="s">
        <v>62</v>
      </c>
      <c r="D23" s="168">
        <v>15</v>
      </c>
      <c r="E23" s="168">
        <f>IF($C23="","",VLOOKUP($C23,성분!$B$2:$O$51519,3,FALSE))/100*P23</f>
        <v>19.2</v>
      </c>
      <c r="F23" s="168">
        <f>IF($C23="","",VLOOKUP($C23,성분!$B$2:$O$51519,5,FALSE))/100*$P23</f>
        <v>4.6500000000000004</v>
      </c>
      <c r="G23" s="168">
        <f>IF($C23="","",VLOOKUP($C23,성분!$B$2:$O$51519,4,FALSE))/100*$P23</f>
        <v>0.20999999999999996</v>
      </c>
      <c r="H23" s="168">
        <f>IF($C23="","",VLOOKUP($C23,성분!$B$2:$O$51519,6,FALSE))/100*$P23</f>
        <v>2.8500000000000001E-2</v>
      </c>
      <c r="I23" s="168">
        <f>IF($C23="","",VLOOKUP($C23,성분!$B$2:$O$51519,7,FALSE))/100*$P23</f>
        <v>3.5999999999999996</v>
      </c>
      <c r="J23" s="168">
        <f>IF($C23="","",VLOOKUP($C23,성분!$B$2:$O$51519,8,FALSE))/100*$P23</f>
        <v>7.4999999999999997E-2</v>
      </c>
      <c r="K23" s="168">
        <f>IF($C23="","",VLOOKUP($C23,성분!$B$2:$O$51519,9,FALSE))/100*$P23</f>
        <v>2.85</v>
      </c>
      <c r="L23" s="168">
        <f>IF($C23="","",VLOOKUP($C23,성분!$B$2:$O$51519,10,FALSE))/100*$P23</f>
        <v>8.9999999999999993E-3</v>
      </c>
      <c r="M23" s="168">
        <f>IF($C23="","",VLOOKUP($C23,성분!$B$2:$O$51519,11,FALSE))/100*$P23</f>
        <v>7.4999999999999997E-3</v>
      </c>
      <c r="N23" s="168">
        <f>IF($C23="","",VLOOKUP($C23,성분!$B$2:$O$51519,12,FALSE))/100*$P23</f>
        <v>0.10499999999999998</v>
      </c>
      <c r="O23" s="167">
        <f>IF($C23="","",VLOOKUP($C23,성분!$B$2:$O$51519,13,FALSE))/100*$P23</f>
        <v>3.75</v>
      </c>
      <c r="P23" s="165">
        <f t="shared" si="7"/>
        <v>15</v>
      </c>
      <c r="Q23" s="162">
        <f t="shared" si="8"/>
        <v>1.635</v>
      </c>
      <c r="R23" s="18">
        <f t="shared" si="9"/>
        <v>1</v>
      </c>
    </row>
    <row r="24" spans="1:18" s="160" customFormat="1" ht="27.75" customHeight="1">
      <c r="A24" s="166">
        <f t="shared" si="2"/>
        <v>14</v>
      </c>
      <c r="B24" s="171"/>
      <c r="C24" s="169" t="s">
        <v>2444</v>
      </c>
      <c r="D24" s="168">
        <v>10</v>
      </c>
      <c r="E24" s="168">
        <f>IF($C24="","",VLOOKUP($C24,성분!$B$2:$O$51519,3,FALSE))/100*P24</f>
        <v>19.040000000000003</v>
      </c>
      <c r="F24" s="168">
        <f>IF($C24="","",VLOOKUP($C24,성분!$B$2:$O$51519,5,FALSE))/100*$P24</f>
        <v>8.5</v>
      </c>
      <c r="G24" s="168">
        <f>IF($C24="","",VLOOKUP($C24,성분!$B$2:$O$51519,4,FALSE))/100*$P24</f>
        <v>0.01</v>
      </c>
      <c r="H24" s="168">
        <f>IF($C24="","",VLOOKUP($C24,성분!$B$2:$O$51519,6,FALSE))/100*$P24</f>
        <v>0.02</v>
      </c>
      <c r="I24" s="168">
        <f>IF($C24="","",VLOOKUP($C24,성분!$B$2:$O$51519,7,FALSE))/100*$P24</f>
        <v>4.6999999999999993</v>
      </c>
      <c r="J24" s="168">
        <f>IF($C24="","",VLOOKUP($C24,성분!$B$2:$O$51519,8,FALSE))/100*$P24</f>
        <v>0.3</v>
      </c>
      <c r="K24" s="168">
        <f>IF($C24="","",VLOOKUP($C24,성분!$B$2:$O$51519,9,FALSE))/100*$P24</f>
        <v>0</v>
      </c>
      <c r="L24" s="168">
        <f>IF($C24="","",VLOOKUP($C24,성분!$B$2:$O$51519,10,FALSE))/100*$P24</f>
        <v>1E-3</v>
      </c>
      <c r="M24" s="168">
        <f>IF($C24="","",VLOOKUP($C24,성분!$B$2:$O$51519,11,FALSE))/100*$P24</f>
        <v>0</v>
      </c>
      <c r="N24" s="168">
        <f>IF($C24="","",VLOOKUP($C24,성분!$B$2:$O$51519,12,FALSE))/100*$P24</f>
        <v>0</v>
      </c>
      <c r="O24" s="167">
        <f>IF($C24="","",VLOOKUP($C24,성분!$B$2:$O$51519,13,FALSE))/100*$P24</f>
        <v>0</v>
      </c>
      <c r="P24" s="165">
        <f t="shared" si="7"/>
        <v>10</v>
      </c>
      <c r="Q24" s="162">
        <f t="shared" si="8"/>
        <v>1.0900000000000001</v>
      </c>
      <c r="R24" s="18">
        <f t="shared" si="9"/>
        <v>1</v>
      </c>
    </row>
    <row r="25" spans="1:18" s="160" customFormat="1" ht="27.75" customHeight="1">
      <c r="A25" s="166">
        <f t="shared" si="2"/>
        <v>15</v>
      </c>
      <c r="B25" s="171"/>
      <c r="C25" s="169" t="s">
        <v>2445</v>
      </c>
      <c r="D25" s="168">
        <v>8</v>
      </c>
      <c r="E25" s="168">
        <f>IF($C25="","",VLOOKUP($C25,성분!$B$2:$O$51519,3,FALSE))/100*P25</f>
        <v>27.92</v>
      </c>
      <c r="F25" s="168">
        <f>IF($C25="","",VLOOKUP($C25,성분!$B$2:$O$51519,5,FALSE))/100*$P25</f>
        <v>6.8</v>
      </c>
      <c r="G25" s="168">
        <f>IF($C25="","",VLOOKUP($C25,성분!$B$2:$O$51519,4,FALSE))/100*$P25</f>
        <v>8.0000000000000002E-3</v>
      </c>
      <c r="H25" s="168">
        <f>IF($C25="","",VLOOKUP($C25,성분!$B$2:$O$51519,6,FALSE))/100*$P25</f>
        <v>1.6E-2</v>
      </c>
      <c r="I25" s="168">
        <f>IF($C25="","",VLOOKUP($C25,성분!$B$2:$O$51519,7,FALSE))/100*$P25</f>
        <v>3.76</v>
      </c>
      <c r="J25" s="168">
        <f>IF($C25="","",VLOOKUP($C25,성분!$B$2:$O$51519,8,FALSE))/100*$P25</f>
        <v>0.24</v>
      </c>
      <c r="K25" s="168">
        <f>IF($C25="","",VLOOKUP($C25,성분!$B$2:$O$51519,9,FALSE))/100*$P25</f>
        <v>0</v>
      </c>
      <c r="L25" s="168">
        <f>IF($C25="","",VLOOKUP($C25,성분!$B$2:$O$51519,10,FALSE))/100*$P25</f>
        <v>8.0000000000000004E-4</v>
      </c>
      <c r="M25" s="168">
        <f>IF($C25="","",VLOOKUP($C25,성분!$B$2:$O$51519,11,FALSE))/100*$P25</f>
        <v>0</v>
      </c>
      <c r="N25" s="168">
        <f>IF($C25="","",VLOOKUP($C25,성분!$B$2:$O$51519,12,FALSE))/100*$P25</f>
        <v>0</v>
      </c>
      <c r="O25" s="167">
        <f>IF($C25="","",VLOOKUP($C25,성분!$B$2:$O$51519,13,FALSE))/100*$P25</f>
        <v>0</v>
      </c>
      <c r="P25" s="165">
        <f t="shared" si="7"/>
        <v>8</v>
      </c>
      <c r="Q25" s="162">
        <f t="shared" si="8"/>
        <v>0.872</v>
      </c>
      <c r="R25" s="18">
        <f t="shared" si="9"/>
        <v>0</v>
      </c>
    </row>
    <row r="26" spans="1:18" s="160" customFormat="1" ht="27.75" customHeight="1">
      <c r="A26" s="166">
        <f t="shared" si="2"/>
        <v>16</v>
      </c>
      <c r="B26" s="171"/>
      <c r="C26" s="169" t="s">
        <v>1190</v>
      </c>
      <c r="D26" s="168">
        <v>15</v>
      </c>
      <c r="E26" s="168">
        <f>IF($C26="","",VLOOKUP($C26,성분!$B$2:$O$51519,3,FALSE))/100*P26</f>
        <v>5.25</v>
      </c>
      <c r="F26" s="168">
        <f>IF($C26="","",VLOOKUP($C26,성분!$B$2:$O$51519,5,FALSE))/100*$P26</f>
        <v>1.149</v>
      </c>
      <c r="G26" s="168">
        <f>IF($C26="","",VLOOKUP($C26,성분!$B$2:$O$51519,4,FALSE))/100*$P26</f>
        <v>0.15</v>
      </c>
      <c r="H26" s="168">
        <f>IF($C26="","",VLOOKUP($C26,성분!$B$2:$O$51519,6,FALSE))/100*$P26</f>
        <v>2.8500000000000001E-2</v>
      </c>
      <c r="I26" s="168">
        <f>IF($C26="","",VLOOKUP($C26,성분!$B$2:$O$51519,7,FALSE))/100*$P26</f>
        <v>2.25</v>
      </c>
      <c r="J26" s="168">
        <f>IF($C26="","",VLOOKUP($C26,성분!$B$2:$O$51519,8,FALSE))/100*$P26</f>
        <v>4.4999999999999998E-2</v>
      </c>
      <c r="K26" s="168">
        <f>IF($C26="","",VLOOKUP($C26,성분!$B$2:$O$51519,9,FALSE))/100*$P26</f>
        <v>0</v>
      </c>
      <c r="L26" s="168">
        <f>IF($C26="","",VLOOKUP($C26,성분!$B$2:$O$51519,10,FALSE))/100*$P26</f>
        <v>6.0000000000000001E-3</v>
      </c>
      <c r="M26" s="168">
        <f>IF($C26="","",VLOOKUP($C26,성분!$B$2:$O$51519,11,FALSE))/100*$P26</f>
        <v>1.5E-3</v>
      </c>
      <c r="N26" s="168">
        <f>IF($C26="","",VLOOKUP($C26,성분!$B$2:$O$51519,12,FALSE))/100*$P26</f>
        <v>0.03</v>
      </c>
      <c r="O26" s="167">
        <f>IF($C26="","",VLOOKUP($C26,성분!$B$2:$O$51519,13,FALSE))/100*$P26</f>
        <v>1.2</v>
      </c>
      <c r="P26" s="165">
        <f t="shared" si="7"/>
        <v>15</v>
      </c>
      <c r="Q26" s="162">
        <f t="shared" si="8"/>
        <v>1.635</v>
      </c>
      <c r="R26" s="18">
        <f t="shared" si="9"/>
        <v>1</v>
      </c>
    </row>
    <row r="27" spans="1:18" s="160" customFormat="1" ht="27.75" customHeight="1">
      <c r="A27" s="166">
        <f t="shared" si="2"/>
        <v>17</v>
      </c>
      <c r="B27" s="171"/>
      <c r="C27" s="169" t="s">
        <v>1980</v>
      </c>
      <c r="D27" s="168">
        <v>10</v>
      </c>
      <c r="E27" s="168">
        <f>IF($C27="","",VLOOKUP($C27,성분!$B$2:$O$51519,3,FALSE))/100*P27</f>
        <v>3.4000000000000004</v>
      </c>
      <c r="F27" s="168">
        <f>IF($C27="","",VLOOKUP($C27,성분!$B$2:$O$51519,5,FALSE))/100*$P27</f>
        <v>0.70300000000000007</v>
      </c>
      <c r="G27" s="168">
        <f>IF($C27="","",VLOOKUP($C27,성분!$B$2:$O$51519,4,FALSE))/100*$P27</f>
        <v>0.1</v>
      </c>
      <c r="H27" s="168">
        <f>IF($C27="","",VLOOKUP($C27,성분!$B$2:$O$51519,6,FALSE))/100*$P27</f>
        <v>1.2999999999999999E-2</v>
      </c>
      <c r="I27" s="168">
        <f>IF($C27="","",VLOOKUP($C27,성분!$B$2:$O$51519,7,FALSE))/100*$P27</f>
        <v>3.8</v>
      </c>
      <c r="J27" s="168">
        <f>IF($C27="","",VLOOKUP($C27,성분!$B$2:$O$51519,8,FALSE))/100*$P27</f>
        <v>6.9999999999999993E-2</v>
      </c>
      <c r="K27" s="168">
        <f>IF($C27="","",VLOOKUP($C27,성분!$B$2:$O$51519,9,FALSE))/100*$P27</f>
        <v>125.7</v>
      </c>
      <c r="L27" s="168">
        <f>IF($C27="","",VLOOKUP($C27,성분!$B$2:$O$51519,10,FALSE))/100*$P27</f>
        <v>5.9999999999999993E-3</v>
      </c>
      <c r="M27" s="168">
        <f>IF($C27="","",VLOOKUP($C27,성분!$B$2:$O$51519,11,FALSE))/100*$P27</f>
        <v>4.0000000000000001E-3</v>
      </c>
      <c r="N27" s="168">
        <f>IF($C27="","",VLOOKUP($C27,성분!$B$2:$O$51519,12,FALSE))/100*$P27</f>
        <v>0.08</v>
      </c>
      <c r="O27" s="167">
        <f>IF($C27="","",VLOOKUP($C27,성분!$B$2:$O$51519,13,FALSE))/100*$P27</f>
        <v>0.6</v>
      </c>
      <c r="P27" s="165">
        <f t="shared" si="7"/>
        <v>10</v>
      </c>
      <c r="Q27" s="162">
        <f t="shared" si="8"/>
        <v>1.0900000000000001</v>
      </c>
      <c r="R27" s="18">
        <f t="shared" si="9"/>
        <v>1</v>
      </c>
    </row>
    <row r="28" spans="1:18" s="160" customFormat="1" ht="27.75" customHeight="1">
      <c r="A28" s="166">
        <f t="shared" si="2"/>
        <v>18</v>
      </c>
      <c r="B28" s="171"/>
      <c r="C28" s="169" t="s">
        <v>2279</v>
      </c>
      <c r="D28" s="168">
        <v>20</v>
      </c>
      <c r="E28" s="168">
        <f>IF($C28="","",VLOOKUP($C28,성분!$B$2:$O$51519,3,FALSE))/100*P28</f>
        <v>32.858000000000004</v>
      </c>
      <c r="F28" s="168">
        <f>IF($C28="","",VLOOKUP($C28,성분!$B$2:$O$51519,5,FALSE))/100*$P28</f>
        <v>3.4279999999999999</v>
      </c>
      <c r="G28" s="168">
        <f>IF($C28="","",VLOOKUP($C28,성분!$B$2:$O$51519,4,FALSE))/100*$P28</f>
        <v>0.85799999999999998</v>
      </c>
      <c r="H28" s="168">
        <f>IF($C28="","",VLOOKUP($C28,성분!$B$2:$O$51519,6,FALSE))/100*$P28</f>
        <v>1.714</v>
      </c>
      <c r="I28" s="168">
        <f>IF($C28="","",VLOOKUP($C28,성분!$B$2:$O$51519,7,FALSE))/100*$P28</f>
        <v>0</v>
      </c>
      <c r="J28" s="168">
        <f>IF($C28="","",VLOOKUP($C28,성분!$B$2:$O$51519,8,FALSE))/100*$P28</f>
        <v>0</v>
      </c>
      <c r="K28" s="168">
        <f>IF($C28="","",VLOOKUP($C28,성분!$B$2:$O$51519,9,FALSE))/100*$P28</f>
        <v>0</v>
      </c>
      <c r="L28" s="168">
        <f>IF($C28="","",VLOOKUP($C28,성분!$B$2:$O$51519,10,FALSE))/100*$P28</f>
        <v>0</v>
      </c>
      <c r="M28" s="168">
        <f>IF($C28="","",VLOOKUP($C28,성분!$B$2:$O$51519,11,FALSE))/100*$P28</f>
        <v>0</v>
      </c>
      <c r="N28" s="168">
        <f>IF($C28="","",VLOOKUP($C28,성분!$B$2:$O$51519,12,FALSE))/100*$P28</f>
        <v>0</v>
      </c>
      <c r="O28" s="167">
        <f>IF($C28="","",VLOOKUP($C28,성분!$B$2:$O$51519,13,FALSE))/100*$P28</f>
        <v>0</v>
      </c>
      <c r="P28" s="165">
        <f t="shared" si="7"/>
        <v>20</v>
      </c>
      <c r="Q28" s="162">
        <f t="shared" si="8"/>
        <v>2.1800000000000002</v>
      </c>
      <c r="R28" s="18">
        <f t="shared" si="9"/>
        <v>2</v>
      </c>
    </row>
    <row r="29" spans="1:18" s="160" customFormat="1" ht="27.75" customHeight="1">
      <c r="A29" s="166">
        <f t="shared" si="2"/>
        <v>19</v>
      </c>
      <c r="B29" s="171" t="s">
        <v>2446</v>
      </c>
      <c r="C29" s="169" t="s">
        <v>2447</v>
      </c>
      <c r="D29" s="168">
        <v>70</v>
      </c>
      <c r="E29" s="168">
        <f>IF($C29="","",VLOOKUP($C29,성분!$B$2:$O$51519,3,FALSE))/100*P29</f>
        <v>164.5</v>
      </c>
      <c r="F29" s="168">
        <f>IF($C29="","",VLOOKUP($C29,성분!$B$2:$O$51519,5,FALSE))/100*$P29</f>
        <v>11.9</v>
      </c>
      <c r="G29" s="168">
        <f>IF($C29="","",VLOOKUP($C29,성분!$B$2:$O$51519,4,FALSE))/100*$P29</f>
        <v>7</v>
      </c>
      <c r="H29" s="168">
        <f>IF($C29="","",VLOOKUP($C29,성분!$B$2:$O$51519,6,FALSE))/100*$P29</f>
        <v>10.010000000000002</v>
      </c>
      <c r="I29" s="168">
        <f>IF($C29="","",VLOOKUP($C29,성분!$B$2:$O$51519,7,FALSE))/100*$P29</f>
        <v>4.2</v>
      </c>
      <c r="J29" s="168">
        <f>IF($C29="","",VLOOKUP($C29,성분!$B$2:$O$51519,8,FALSE))/100*$P29</f>
        <v>1.05</v>
      </c>
      <c r="K29" s="168">
        <f>IF($C29="","",VLOOKUP($C29,성분!$B$2:$O$51519,9,FALSE))/100*$P29</f>
        <v>0</v>
      </c>
      <c r="L29" s="168">
        <f>IF($C29="","",VLOOKUP($C29,성분!$B$2:$O$51519,10,FALSE))/100*$P29</f>
        <v>5.6000000000000001E-2</v>
      </c>
      <c r="M29" s="168">
        <f>IF($C29="","",VLOOKUP($C29,성분!$B$2:$O$51519,11,FALSE))/100*$P29</f>
        <v>0.105</v>
      </c>
      <c r="N29" s="168">
        <f>IF($C29="","",VLOOKUP($C29,성분!$B$2:$O$51519,12,FALSE))/100*$P29</f>
        <v>3.5000000000000003E-2</v>
      </c>
      <c r="O29" s="167">
        <f>IF($C29="","",VLOOKUP($C29,성분!$B$2:$O$51519,13,FALSE))/100*$P29</f>
        <v>3.5</v>
      </c>
      <c r="P29" s="165">
        <f t="shared" si="7"/>
        <v>70</v>
      </c>
      <c r="Q29" s="162">
        <f t="shared" si="8"/>
        <v>7.63</v>
      </c>
      <c r="R29" s="18">
        <f t="shared" si="9"/>
        <v>7</v>
      </c>
    </row>
    <row r="30" spans="1:18" s="160" customFormat="1" ht="27.75" customHeight="1">
      <c r="A30" s="166">
        <f t="shared" si="2"/>
        <v>20</v>
      </c>
      <c r="B30" s="171"/>
      <c r="C30" s="169" t="s">
        <v>2448</v>
      </c>
      <c r="D30" s="168">
        <v>12</v>
      </c>
      <c r="E30" s="168">
        <f>IF($C30="","",VLOOKUP($C30,성분!$B$2:$O$51519,3,FALSE))/100*P30</f>
        <v>43.8</v>
      </c>
      <c r="F30" s="168">
        <f>IF($C30="","",VLOOKUP($C30,성분!$B$2:$O$51519,5,FALSE))/100*$P30</f>
        <v>0</v>
      </c>
      <c r="G30" s="168">
        <f>IF($C30="","",VLOOKUP($C30,성분!$B$2:$O$51519,4,FALSE))/100*$P30</f>
        <v>0.75600000000000001</v>
      </c>
      <c r="H30" s="168">
        <f>IF($C30="","",VLOOKUP($C30,성분!$B$2:$O$51519,6,FALSE))/100*$P30</f>
        <v>2.3159999999999998</v>
      </c>
      <c r="I30" s="168">
        <f>IF($C30="","",VLOOKUP($C30,성분!$B$2:$O$51519,7,FALSE))/100*$P30</f>
        <v>7.1999999999999993</v>
      </c>
      <c r="J30" s="168">
        <f>IF($C30="","",VLOOKUP($C30,성분!$B$2:$O$51519,8,FALSE))/100*$P30</f>
        <v>0.252</v>
      </c>
      <c r="K30" s="168">
        <f>IF($C30="","",VLOOKUP($C30,성분!$B$2:$O$51519,9,FALSE))/100*$P30</f>
        <v>0</v>
      </c>
      <c r="L30" s="168">
        <f>IF($C30="","",VLOOKUP($C30,성분!$B$2:$O$51519,10,FALSE))/100*$P30</f>
        <v>0</v>
      </c>
      <c r="M30" s="168">
        <f>IF($C30="","",VLOOKUP($C30,성분!$B$2:$O$51519,11,FALSE))/100*$P30</f>
        <v>2.64E-2</v>
      </c>
      <c r="N30" s="168">
        <f>IF($C30="","",VLOOKUP($C30,성분!$B$2:$O$51519,12,FALSE))/100*$P30</f>
        <v>0</v>
      </c>
      <c r="O30" s="167">
        <f>IF($C30="","",VLOOKUP($C30,성분!$B$2:$O$51519,13,FALSE))/100*$P30</f>
        <v>0.12</v>
      </c>
      <c r="P30" s="165">
        <f t="shared" si="7"/>
        <v>12</v>
      </c>
      <c r="Q30" s="162">
        <f t="shared" si="8"/>
        <v>1.3080000000000001</v>
      </c>
      <c r="R30" s="18">
        <f t="shared" si="9"/>
        <v>1</v>
      </c>
    </row>
    <row r="31" spans="1:18" s="160" customFormat="1" ht="27.75" customHeight="1">
      <c r="A31" s="166">
        <f t="shared" si="2"/>
        <v>21</v>
      </c>
      <c r="B31" s="171" t="s">
        <v>2548</v>
      </c>
      <c r="C31" s="169" t="s">
        <v>2549</v>
      </c>
      <c r="D31" s="168">
        <v>15</v>
      </c>
      <c r="E31" s="168">
        <f>IF($C31="","",VLOOKUP($C31,성분!$B$2:$O$51519,3,FALSE))/100*P31</f>
        <v>3.4950000000000001</v>
      </c>
      <c r="F31" s="168">
        <f>IF($C31="","",VLOOKUP($C31,성분!$B$2:$O$51519,5,FALSE))/100*$P31</f>
        <v>0.57750000000000001</v>
      </c>
      <c r="G31" s="168">
        <f>IF($C31="","",VLOOKUP($C31,성분!$B$2:$O$51519,4,FALSE))/100*$P31</f>
        <v>0.10499999999999998</v>
      </c>
      <c r="H31" s="168">
        <f>IF($C31="","",VLOOKUP($C31,성분!$B$2:$O$51519,6,FALSE))/100*$P31</f>
        <v>5.5500000000000001E-2</v>
      </c>
      <c r="I31" s="168">
        <f>IF($C31="","",VLOOKUP($C31,성분!$B$2:$O$51519,7,FALSE))/100*$P31</f>
        <v>15</v>
      </c>
      <c r="J31" s="168">
        <f>IF($C31="","",VLOOKUP($C31,성분!$B$2:$O$51519,8,FALSE))/100*$P31</f>
        <v>0.13500000000000001</v>
      </c>
      <c r="K31" s="168">
        <f>IF($C31="","",VLOOKUP($C31,성분!$B$2:$O$51519,9,FALSE))/100*$P31</f>
        <v>54</v>
      </c>
      <c r="L31" s="168">
        <f>IF($C31="","",VLOOKUP($C31,성분!$B$2:$O$51519,10,FALSE))/100*$P31</f>
        <v>8.9999999999999993E-3</v>
      </c>
      <c r="M31" s="168">
        <f>IF($C31="","",VLOOKUP($C31,성분!$B$2:$O$51519,11,FALSE))/100*$P31</f>
        <v>1.4999999999999999E-2</v>
      </c>
      <c r="N31" s="168">
        <f>IF($C31="","",VLOOKUP($C31,성분!$B$2:$O$51519,12,FALSE))/100*$P31</f>
        <v>0.09</v>
      </c>
      <c r="O31" s="167">
        <f>IF($C31="","",VLOOKUP($C31,성분!$B$2:$O$51519,13,FALSE))/100*$P31</f>
        <v>3.66</v>
      </c>
      <c r="P31" s="165">
        <f t="shared" si="0"/>
        <v>15</v>
      </c>
      <c r="Q31" s="162">
        <f t="shared" si="3"/>
        <v>1.635</v>
      </c>
      <c r="R31" s="18">
        <f t="shared" si="1"/>
        <v>1</v>
      </c>
    </row>
    <row r="32" spans="1:18" s="160" customFormat="1" ht="27.75" customHeight="1">
      <c r="A32" s="166">
        <f t="shared" si="2"/>
        <v>22</v>
      </c>
      <c r="B32" s="171"/>
      <c r="C32" s="169" t="s">
        <v>2544</v>
      </c>
      <c r="D32" s="168">
        <v>1</v>
      </c>
      <c r="E32" s="168">
        <f>IF($C32="","",VLOOKUP($C32,성분!$B$2:$O$1509,3,FALSE))/100*P32</f>
        <v>0.35</v>
      </c>
      <c r="F32" s="168">
        <f>IF($C32="","",VLOOKUP($C32,성분!$B$2:$O$10517,5,FALSE))/100*$P32</f>
        <v>7.6600000000000001E-2</v>
      </c>
      <c r="G32" s="168">
        <f>IF($C32="","",VLOOKUP($C32,성분!$B$2:$O$1509,4,FALSE))/100*$P32</f>
        <v>0.01</v>
      </c>
      <c r="H32" s="168">
        <f>IF($C32="","",VLOOKUP($C32,성분!$B$2:$O$1509,6,FALSE))/100*$P32</f>
        <v>1.9E-3</v>
      </c>
      <c r="I32" s="168">
        <f>IF($C32="","",VLOOKUP($C32,성분!$B$2:$O$1509,7,FALSE))/100*$P32</f>
        <v>0.15</v>
      </c>
      <c r="J32" s="168">
        <f>IF($C32="","",VLOOKUP($C32,성분!$B$2:$O$1509,8,FALSE))/100*$P32</f>
        <v>3.0000000000000001E-3</v>
      </c>
      <c r="K32" s="168">
        <f>IF($C32="","",VLOOKUP($C32,성분!$B$2:$O$1509,9,FALSE))/100*$P32</f>
        <v>0</v>
      </c>
      <c r="L32" s="168">
        <f>IF($C32="","",VLOOKUP($C32,성분!$B$2:$O$1509,10,FALSE))/100*$P32</f>
        <v>4.0000000000000002E-4</v>
      </c>
      <c r="M32" s="168">
        <f>IF($C32="","",VLOOKUP($C32,성분!$B$2:$O$10517,11,FALSE))/100*$P32</f>
        <v>1E-4</v>
      </c>
      <c r="N32" s="168">
        <f>IF($C32="","",VLOOKUP($C32,성분!$B$2:$O$10517,12,FALSE))/100*$P32</f>
        <v>2E-3</v>
      </c>
      <c r="O32" s="167">
        <f>IF($C32="","",VLOOKUP($C32,성분!$B$2:$O$10517,13,FALSE))/100*$P32</f>
        <v>0.08</v>
      </c>
      <c r="P32" s="165">
        <f t="shared" si="0"/>
        <v>1</v>
      </c>
      <c r="Q32" s="162">
        <f t="shared" si="3"/>
        <v>0.109</v>
      </c>
      <c r="R32" s="18">
        <f t="shared" si="1"/>
        <v>0</v>
      </c>
    </row>
    <row r="33" spans="1:19" s="160" customFormat="1" ht="27.75" customHeight="1">
      <c r="A33" s="166">
        <f t="shared" si="2"/>
        <v>23</v>
      </c>
      <c r="B33" s="171"/>
      <c r="C33" s="169" t="s">
        <v>2050</v>
      </c>
      <c r="D33" s="168">
        <v>5</v>
      </c>
      <c r="E33" s="168">
        <f>IF($C33="","",VLOOKUP($C33,성분!$B$2:$O$10517,3,FALSE))/100*P33</f>
        <v>2.3000000000000003</v>
      </c>
      <c r="F33" s="168">
        <f>IF($C33="","",VLOOKUP($C33,성분!$B$2:$O$10517,5,FALSE))/100*$P33</f>
        <v>2.2000000000000002</v>
      </c>
      <c r="G33" s="168">
        <f>IF($C33="","",VLOOKUP($C33,성분!$B$2:$O$1509,4,FALSE))/100*$P33</f>
        <v>0.1</v>
      </c>
      <c r="H33" s="168">
        <f>IF($C33="","",VLOOKUP($C33,성분!$B$2:$O$1509,6,FALSE))/100*$P33</f>
        <v>0</v>
      </c>
      <c r="I33" s="168">
        <f>IF($C33="","",VLOOKUP($C33,성분!$B$2:$O$1509,7,FALSE))/100*$P33</f>
        <v>0.89999999999999991</v>
      </c>
      <c r="J33" s="168">
        <f>IF($C33="","",VLOOKUP($C33,성분!$B$2:$O$1509,8,FALSE))/100*$P33</f>
        <v>4.5000000000000005E-2</v>
      </c>
      <c r="K33" s="168">
        <f>IF($C33="","",VLOOKUP($C33,성분!$B$2:$O$1509,9,FALSE))/100*$P33</f>
        <v>7.9</v>
      </c>
      <c r="L33" s="168">
        <f>IF($C33="","",VLOOKUP($C33,성분!$B$2:$O$1509,10,FALSE))/100*$P33</f>
        <v>4.4999999999999997E-3</v>
      </c>
      <c r="M33" s="168">
        <f>IF($C33="","",VLOOKUP($C33,성분!$B$2:$O$10517,11,FALSE))/100*$P33</f>
        <v>4.0000000000000001E-3</v>
      </c>
      <c r="N33" s="168">
        <f>IF($C33="","",VLOOKUP($C33,성분!$B$2:$O$10517,12,FALSE))/100*$P33</f>
        <v>6.5000000000000002E-2</v>
      </c>
      <c r="O33" s="167">
        <f>IF($C33="","",VLOOKUP($C33,성분!$B$2:$O$10517,13,FALSE))/100*$P33</f>
        <v>0.5</v>
      </c>
      <c r="P33" s="165">
        <f t="shared" si="0"/>
        <v>5</v>
      </c>
      <c r="Q33" s="162">
        <f t="shared" si="3"/>
        <v>0.54500000000000004</v>
      </c>
      <c r="R33" s="18">
        <f t="shared" si="1"/>
        <v>0</v>
      </c>
    </row>
    <row r="34" spans="1:19" s="160" customFormat="1" ht="27.75" customHeight="1">
      <c r="A34" s="166">
        <f t="shared" si="2"/>
        <v>24</v>
      </c>
      <c r="B34" s="171" t="s">
        <v>2203</v>
      </c>
      <c r="C34" s="169" t="s">
        <v>2203</v>
      </c>
      <c r="D34" s="168">
        <v>30</v>
      </c>
      <c r="E34" s="168">
        <f>IF($C34="","",VLOOKUP($C34,성분!$B$2:$O$10517,3,FALSE))/100*P34</f>
        <v>9.9</v>
      </c>
      <c r="F34" s="168">
        <f>IF($C34="","",VLOOKUP($C34,성분!$B$2:$O$10517,5,FALSE))/100*$P34</f>
        <v>2.2200000000000002</v>
      </c>
      <c r="G34" s="168">
        <f>IF($C34="","",VLOOKUP($C34,성분!$B$2:$O$1509,4,FALSE))/100*$P34</f>
        <v>0.48</v>
      </c>
      <c r="H34" s="168">
        <f>IF($C34="","",VLOOKUP($C34,성분!$B$2:$O$1509,6,FALSE))/100*$P34</f>
        <v>0.09</v>
      </c>
      <c r="I34" s="168">
        <f>IF($C34="","",VLOOKUP($C34,성분!$B$2:$O$1509,7,FALSE))/100*$P34</f>
        <v>11.1</v>
      </c>
      <c r="J34" s="168">
        <f>IF($C34="","",VLOOKUP($C34,성분!$B$2:$O$1509,8,FALSE))/100*$P34</f>
        <v>0.83999999999999986</v>
      </c>
      <c r="K34" s="168">
        <f>IF($C34="","",VLOOKUP($C34,성분!$B$2:$O$1509,9,FALSE))/100*$P34</f>
        <v>11.4</v>
      </c>
      <c r="L34" s="168">
        <f>IF($C34="","",VLOOKUP($C34,성분!$B$2:$O$1509,10,FALSE))/100*$P34</f>
        <v>4.200000000000001E-2</v>
      </c>
      <c r="M34" s="168">
        <f>IF($C34="","",VLOOKUP($C34,성분!$B$2:$O$10517,11,FALSE))/100*$P34</f>
        <v>1.4999999999999999E-2</v>
      </c>
      <c r="N34" s="168">
        <f>IF($C34="","",VLOOKUP($C34,성분!$B$2:$O$10517,12,FALSE))/100*$P34</f>
        <v>0.15</v>
      </c>
      <c r="O34" s="167">
        <f>IF($C34="","",VLOOKUP($C34,성분!$B$2:$O$10517,13,FALSE))/100*$P34</f>
        <v>5.7</v>
      </c>
      <c r="P34" s="165">
        <f t="shared" si="0"/>
        <v>30</v>
      </c>
      <c r="Q34" s="162">
        <f t="shared" si="3"/>
        <v>3.27</v>
      </c>
      <c r="R34" s="18">
        <f t="shared" si="1"/>
        <v>3</v>
      </c>
    </row>
    <row r="35" spans="1:19" s="160" customFormat="1" ht="27.75" customHeight="1">
      <c r="A35" s="166">
        <f t="shared" si="2"/>
        <v>25</v>
      </c>
      <c r="B35" s="171" t="s">
        <v>2449</v>
      </c>
      <c r="C35" s="169" t="s">
        <v>2449</v>
      </c>
      <c r="D35" s="168">
        <v>100</v>
      </c>
      <c r="E35" s="168">
        <f>IF($C35="","",VLOOKUP($C35,성분!$B$2:$O$51519,3,FALSE))/100*P35</f>
        <v>0</v>
      </c>
      <c r="F35" s="168">
        <f>IF($C35="","",VLOOKUP($C35,성분!$B$2:$O$51519,5,FALSE))/100*$P35</f>
        <v>0</v>
      </c>
      <c r="G35" s="168">
        <f>IF($C35="","",VLOOKUP($C35,성분!$B$2:$O$51519,4,FALSE))/100*$P35</f>
        <v>0</v>
      </c>
      <c r="H35" s="168">
        <f>IF($C35="","",VLOOKUP($C35,성분!$B$2:$O$51519,6,FALSE))/100*$P35</f>
        <v>0</v>
      </c>
      <c r="I35" s="168">
        <f>IF($C35="","",VLOOKUP($C35,성분!$B$2:$O$51519,7,FALSE))/100*$P35</f>
        <v>0</v>
      </c>
      <c r="J35" s="168">
        <f>IF($C35="","",VLOOKUP($C35,성분!$B$2:$O$51519,8,FALSE))/100*$P35</f>
        <v>0</v>
      </c>
      <c r="K35" s="168">
        <f>IF($C35="","",VLOOKUP($C35,성분!$B$2:$O$51519,9,FALSE))/100*$P35</f>
        <v>0</v>
      </c>
      <c r="L35" s="168">
        <f>IF($C35="","",VLOOKUP($C35,성분!$B$2:$O$51519,10,FALSE))/100*$P35</f>
        <v>0</v>
      </c>
      <c r="M35" s="168">
        <f>IF($C35="","",VLOOKUP($C35,성분!$B$2:$O$51519,11,FALSE))/100*$P35</f>
        <v>0</v>
      </c>
      <c r="N35" s="168">
        <f>IF($C35="","",VLOOKUP($C35,성분!$B$2:$O$51519,12,FALSE))/100*$P35</f>
        <v>0</v>
      </c>
      <c r="O35" s="167">
        <f>IF($C35="","",VLOOKUP($C35,성분!$B$2:$O$51519,13,FALSE))/100*$P35</f>
        <v>0</v>
      </c>
      <c r="P35" s="165">
        <f t="shared" si="0"/>
        <v>100</v>
      </c>
      <c r="Q35" s="162">
        <f t="shared" si="3"/>
        <v>10.9</v>
      </c>
      <c r="R35" s="18">
        <f t="shared" si="1"/>
        <v>10</v>
      </c>
    </row>
    <row r="36" spans="1:19" s="160" customFormat="1" ht="32.25" customHeight="1">
      <c r="A36" s="235" t="s">
        <v>1628</v>
      </c>
      <c r="B36" s="236"/>
      <c r="C36" s="236"/>
      <c r="D36" s="237"/>
      <c r="E36" s="19">
        <f t="shared" ref="E36:O36" si="10">SUM(E11:E35)</f>
        <v>794.48299999999983</v>
      </c>
      <c r="F36" s="19">
        <f t="shared" si="10"/>
        <v>131.68509999999998</v>
      </c>
      <c r="G36" s="19">
        <f t="shared" si="10"/>
        <v>41.822999999999993</v>
      </c>
      <c r="H36" s="19">
        <f t="shared" si="10"/>
        <v>27.761899999999994</v>
      </c>
      <c r="I36" s="44">
        <f t="shared" si="10"/>
        <v>203.33899999999997</v>
      </c>
      <c r="J36" s="19">
        <f t="shared" si="10"/>
        <v>6.0619999999999994</v>
      </c>
      <c r="K36" s="44">
        <f t="shared" si="10"/>
        <v>236.86500000000001</v>
      </c>
      <c r="L36" s="19">
        <f t="shared" si="10"/>
        <v>0.47230000000000005</v>
      </c>
      <c r="M36" s="19">
        <f t="shared" si="10"/>
        <v>0.44419999999999998</v>
      </c>
      <c r="N36" s="19">
        <f t="shared" si="10"/>
        <v>4.2389999999999999</v>
      </c>
      <c r="O36" s="19">
        <f t="shared" si="10"/>
        <v>26.856999999999996</v>
      </c>
      <c r="P36" s="165">
        <f t="shared" si="0"/>
        <v>0</v>
      </c>
      <c r="Q36" s="162">
        <f t="shared" si="3"/>
        <v>0</v>
      </c>
      <c r="R36" s="18">
        <f t="shared" si="1"/>
        <v>0</v>
      </c>
    </row>
    <row r="37" spans="1:19" s="21" customFormat="1" ht="32.25" customHeight="1">
      <c r="A37" s="238" t="s">
        <v>1790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40"/>
      <c r="P37" s="20"/>
      <c r="Q37" s="160"/>
      <c r="R37" s="18">
        <f>INT(Q37)</f>
        <v>0</v>
      </c>
    </row>
    <row r="38" spans="1:19" s="160" customFormat="1" ht="19.5" customHeight="1">
      <c r="A38" s="220" t="s">
        <v>1629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2"/>
      <c r="S38" s="18">
        <f>INT(R38)</f>
        <v>0</v>
      </c>
    </row>
    <row r="39" spans="1:19" s="160" customFormat="1" ht="20.100000000000001" customHeight="1">
      <c r="A39" s="247" t="s">
        <v>1630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9"/>
      <c r="P39" s="244" t="s">
        <v>5</v>
      </c>
      <c r="Q39" s="245"/>
      <c r="R39" s="250">
        <v>5000</v>
      </c>
      <c r="S39" s="250"/>
    </row>
    <row r="40" spans="1:19" s="160" customFormat="1" ht="20.100000000000001" customHeight="1">
      <c r="A40" s="251" t="s">
        <v>1769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3"/>
      <c r="P40" s="244" t="s">
        <v>6</v>
      </c>
      <c r="Q40" s="245"/>
      <c r="R40" s="250">
        <f>R39*0.72</f>
        <v>3600</v>
      </c>
      <c r="S40" s="250"/>
    </row>
    <row r="41" spans="1:19" s="160" customFormat="1" ht="20.100000000000001" customHeight="1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3"/>
      <c r="P41" s="244" t="s">
        <v>1631</v>
      </c>
      <c r="Q41" s="245"/>
      <c r="R41" s="246">
        <v>0.72</v>
      </c>
      <c r="S41" s="246"/>
    </row>
    <row r="42" spans="1:19" s="160" customFormat="1" ht="20.100000000000001" customHeight="1">
      <c r="C42" s="3"/>
      <c r="D42" s="24"/>
      <c r="E42" s="25"/>
      <c r="F42" s="25"/>
      <c r="G42" s="169">
        <v>667</v>
      </c>
      <c r="H42" s="169">
        <v>15</v>
      </c>
      <c r="I42" s="169">
        <v>300</v>
      </c>
      <c r="J42" s="169">
        <v>5.4</v>
      </c>
      <c r="K42" s="169">
        <v>234</v>
      </c>
      <c r="L42" s="169">
        <v>0.34</v>
      </c>
      <c r="M42" s="169">
        <v>0.4</v>
      </c>
      <c r="N42" s="169">
        <v>5.26</v>
      </c>
      <c r="O42" s="169">
        <v>33.4</v>
      </c>
      <c r="P42" s="199"/>
      <c r="Q42" s="199"/>
      <c r="R42" s="23"/>
      <c r="S42" s="23"/>
    </row>
    <row r="43" spans="1:19" s="160" customFormat="1" ht="20.100000000000001" customHeight="1">
      <c r="A43" s="2"/>
      <c r="B43" s="2"/>
      <c r="C43" s="3"/>
      <c r="D43" s="4"/>
      <c r="E43" s="5"/>
      <c r="F43" s="5"/>
      <c r="G43" s="5"/>
      <c r="H43" s="5"/>
      <c r="I43" s="5"/>
      <c r="J43" s="2"/>
      <c r="K43" s="5"/>
      <c r="L43" s="5"/>
      <c r="M43" s="5"/>
      <c r="N43" s="5"/>
      <c r="O43" s="6"/>
    </row>
    <row r="44" spans="1:19" s="160" customFormat="1" ht="20.100000000000001" customHeight="1">
      <c r="A44" s="2"/>
      <c r="B44" s="2"/>
      <c r="C44" s="2"/>
      <c r="D44" s="4"/>
      <c r="E44" s="2"/>
      <c r="F44" s="2"/>
      <c r="G44" s="5"/>
      <c r="H44" s="5"/>
      <c r="I44" s="5"/>
      <c r="J44" s="5"/>
      <c r="K44" s="5"/>
      <c r="L44" s="5"/>
      <c r="M44" s="5"/>
      <c r="N44" s="5"/>
      <c r="O44" s="6"/>
    </row>
    <row r="45" spans="1:19" ht="12">
      <c r="C45" s="2"/>
    </row>
    <row r="46" spans="1:19" ht="12">
      <c r="C46" s="2"/>
    </row>
    <row r="1352" spans="4:4">
      <c r="D1352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8:O38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6:D36"/>
    <mergeCell ref="A37:O37"/>
    <mergeCell ref="A41:O41"/>
    <mergeCell ref="P41:Q41"/>
    <mergeCell ref="R41:S41"/>
    <mergeCell ref="A39:O39"/>
    <mergeCell ref="P39:Q39"/>
    <mergeCell ref="R39:S39"/>
    <mergeCell ref="A40:O40"/>
    <mergeCell ref="P40:Q40"/>
    <mergeCell ref="R40:S40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CE20-650A-4C78-961F-FD997C26E59C}">
  <sheetPr>
    <pageSetUpPr fitToPage="1"/>
  </sheetPr>
  <dimension ref="A1:S1350"/>
  <sheetViews>
    <sheetView view="pageBreakPreview" zoomScale="85" zoomScaleNormal="85" zoomScaleSheetLayoutView="85" workbookViewId="0">
      <pane xSplit="3" ySplit="10" topLeftCell="D23" activePane="bottomRight" state="frozen"/>
      <selection activeCell="K24" sqref="K24"/>
      <selection pane="topRight" activeCell="K24" sqref="K24"/>
      <selection pane="bottomLeft" activeCell="K24" sqref="K24"/>
      <selection pane="bottomRight" activeCell="G21" sqref="G21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45750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/>
      <c r="E8" s="226"/>
      <c r="F8" s="226"/>
      <c r="G8" s="226"/>
      <c r="H8" s="226">
        <v>107</v>
      </c>
      <c r="I8" s="226"/>
      <c r="J8" s="226"/>
      <c r="K8" s="226">
        <f>SUM(D8:J8)</f>
        <v>107</v>
      </c>
      <c r="L8" s="226"/>
      <c r="M8" s="226">
        <v>2</v>
      </c>
      <c r="N8" s="227"/>
      <c r="O8" s="228">
        <f>SUM(D8:J8,M8)</f>
        <v>109</v>
      </c>
    </row>
    <row r="9" spans="1:18" customFormat="1" ht="20.100000000000001" customHeight="1">
      <c r="A9" s="230" t="s">
        <v>0</v>
      </c>
      <c r="B9" s="231"/>
      <c r="C9" s="232"/>
      <c r="D9" s="233" t="s">
        <v>2376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IF($C11="","",VLOOKUP($C11,성분!$B$2:$O$10517,3,FALSE))/100*P11</f>
        <v>240</v>
      </c>
      <c r="F11" s="16">
        <f>IF($C11="","",VLOOKUP($C11,성분!$B$2:$O$10517,5,FALSE))/100*$P11</f>
        <v>78.5</v>
      </c>
      <c r="G11" s="16">
        <f>IF($C11="","",VLOOKUP($C11,성분!$B$2:$O$10517,4,FALSE))/100*$P11</f>
        <v>6.4</v>
      </c>
      <c r="H11" s="16">
        <f>IF($C11="","",VLOOKUP($C11,성분!$B$2:$O$10517,6,FALSE))/100*$P11</f>
        <v>0.4</v>
      </c>
      <c r="I11" s="16">
        <f>IF($C11="","",VLOOKUP($C11,성분!$B$2:$O$10517,7,FALSE))/100*$P11</f>
        <v>7.0000000000000009</v>
      </c>
      <c r="J11" s="16">
        <f>IF($C11="","",VLOOKUP($C11,성분!$B$2:$O$10517,8,FALSE))/100*$P11</f>
        <v>0.5</v>
      </c>
      <c r="K11" s="16">
        <f>IF($C11="","",VLOOKUP($C11,성분!$B$2:$O$10517,9,FALSE))/100*$P11</f>
        <v>0</v>
      </c>
      <c r="L11" s="16">
        <f>IF($C11="","",VLOOKUP($C11,성분!$B$2:$O$10517,10,FALSE))/100*$P11</f>
        <v>0.12</v>
      </c>
      <c r="M11" s="16">
        <f>IF($C11="","",VLOOKUP($C11,성분!$B$2:$O$10517,11,FALSE))/100*$P11</f>
        <v>0</v>
      </c>
      <c r="N11" s="16">
        <f>IF($C11="","",VLOOKUP($C11,성분!$B$2:$O$10517,12,FALSE))/100*$P11</f>
        <v>1.4</v>
      </c>
      <c r="O11" s="43">
        <f>IF($C11="","",VLOOKUP($C11,성분!$B$2:$O$10517,13,FALSE))/100*$P11</f>
        <v>0</v>
      </c>
      <c r="P11" s="38">
        <f t="shared" ref="P11:P34" si="0">D11</f>
        <v>100</v>
      </c>
      <c r="Q11" s="17">
        <f t="shared" ref="Q11:Q34" si="1">($O$8*P11)/1000</f>
        <v>10.9</v>
      </c>
      <c r="R11" s="18">
        <f t="shared" ref="R11:R34" si="2">INT(Q11)</f>
        <v>10</v>
      </c>
    </row>
    <row r="12" spans="1:18" customFormat="1" ht="27.75" customHeight="1">
      <c r="A12" s="42">
        <f t="shared" ref="A12:A30" si="3">ROW()-10</f>
        <v>2</v>
      </c>
      <c r="B12" s="30" t="s">
        <v>2280</v>
      </c>
      <c r="C12" s="22" t="s">
        <v>2286</v>
      </c>
      <c r="D12" s="16">
        <v>60</v>
      </c>
      <c r="E12" s="168">
        <v>88.2</v>
      </c>
      <c r="F12" s="168">
        <f>IF($C12="","",VLOOKUP($C12,성분!$B$2:$O$10517,5,FALSE))/100*$P12</f>
        <v>6.9</v>
      </c>
      <c r="G12" s="168">
        <f>IF($C12="","",VLOOKUP($C12,성분!$B$2:$O$10517,4,FALSE))/100*$P12</f>
        <v>6.1199999999999992</v>
      </c>
      <c r="H12" s="168">
        <f>IF($C12="","",VLOOKUP($C12,성분!$B$2:$O$10517,6,FALSE))/100*$P12</f>
        <v>0.22800000000000001</v>
      </c>
      <c r="I12" s="168">
        <v>32.5</v>
      </c>
      <c r="J12" s="168">
        <f>IF($C12="","",VLOOKUP($C12,성분!$B$2:$O$10517,8,FALSE))/100*$P12</f>
        <v>0.89999999999999991</v>
      </c>
      <c r="K12" s="168">
        <f>IF($C12="","",VLOOKUP($C12,성분!$B$2:$O$10517,9,FALSE))/100*$P12</f>
        <v>0</v>
      </c>
      <c r="L12" s="168">
        <f>IF($C12="","",VLOOKUP($C12,성분!$B$2:$O$10517,10,FALSE))/100*$P12</f>
        <v>2.4E-2</v>
      </c>
      <c r="M12" s="168">
        <f>IF($C12="","",VLOOKUP($C12,성분!$B$2:$O$10517,11,FALSE))/100*$P12</f>
        <v>4.200000000000001E-2</v>
      </c>
      <c r="N12" s="168">
        <f>IF($C12="","",VLOOKUP($C12,성분!$B$2:$O$10517,12,FALSE))/100*$P12</f>
        <v>0.41999999999999993</v>
      </c>
      <c r="O12" s="167">
        <f>IF($C12="","",VLOOKUP($C12,성분!$B$2:$O$10517,13,FALSE))/100*$P12</f>
        <v>0</v>
      </c>
      <c r="P12" s="38">
        <f t="shared" si="0"/>
        <v>60</v>
      </c>
      <c r="Q12" s="17">
        <f t="shared" si="1"/>
        <v>6.54</v>
      </c>
      <c r="R12" s="18">
        <f t="shared" si="2"/>
        <v>6</v>
      </c>
    </row>
    <row r="13" spans="1:18" customFormat="1" ht="27.75" customHeight="1">
      <c r="A13" s="42">
        <f t="shared" si="3"/>
        <v>3</v>
      </c>
      <c r="B13" s="30"/>
      <c r="C13" s="22" t="s">
        <v>1190</v>
      </c>
      <c r="D13" s="16">
        <v>20</v>
      </c>
      <c r="E13" s="168">
        <v>15</v>
      </c>
      <c r="F13" s="168">
        <f>IF($C13="","",VLOOKUP($C13,성분!$B$2:$O$10517,5,FALSE))/100*$P13</f>
        <v>1.532</v>
      </c>
      <c r="G13" s="168">
        <f>IF($C13="","",VLOOKUP($C13,성분!$B$2:$O$10517,4,FALSE))/100*$P13</f>
        <v>0.2</v>
      </c>
      <c r="H13" s="168">
        <f>IF($C13="","",VLOOKUP($C13,성분!$B$2:$O$10517,6,FALSE))/100*$P13</f>
        <v>3.7999999999999999E-2</v>
      </c>
      <c r="I13" s="168">
        <v>5.3</v>
      </c>
      <c r="J13" s="168">
        <f>IF($C13="","",VLOOKUP($C13,성분!$B$2:$O$10517,8,FALSE))/100*$P13</f>
        <v>0.06</v>
      </c>
      <c r="K13" s="168">
        <f>IF($C13="","",VLOOKUP($C13,성분!$B$2:$O$10517,9,FALSE))/100*$P13</f>
        <v>0</v>
      </c>
      <c r="L13" s="168">
        <f>IF($C13="","",VLOOKUP($C13,성분!$B$2:$O$10517,10,FALSE))/100*$P13</f>
        <v>8.0000000000000002E-3</v>
      </c>
      <c r="M13" s="168">
        <f>IF($C13="","",VLOOKUP($C13,성분!$B$2:$O$10517,11,FALSE))/100*$P13</f>
        <v>2E-3</v>
      </c>
      <c r="N13" s="168">
        <f>IF($C13="","",VLOOKUP($C13,성분!$B$2:$O$10517,12,FALSE))/100*$P13</f>
        <v>0.04</v>
      </c>
      <c r="O13" s="167">
        <f>IF($C13="","",VLOOKUP($C13,성분!$B$2:$O$10517,13,FALSE))/100*$P13</f>
        <v>1.6</v>
      </c>
      <c r="P13" s="38">
        <f t="shared" ref="P13:P33" si="4">D13</f>
        <v>20</v>
      </c>
      <c r="Q13" s="17">
        <f t="shared" ref="Q13:Q33" si="5">($O$8*P13)/1000</f>
        <v>2.1800000000000002</v>
      </c>
      <c r="R13" s="18">
        <f t="shared" ref="R13:R33" si="6">INT(Q13)</f>
        <v>2</v>
      </c>
    </row>
    <row r="14" spans="1:18" customFormat="1" ht="27.75" customHeight="1">
      <c r="A14" s="42">
        <f t="shared" si="3"/>
        <v>4</v>
      </c>
      <c r="B14" s="30"/>
      <c r="C14" s="22" t="s">
        <v>1239</v>
      </c>
      <c r="D14" s="16">
        <v>15</v>
      </c>
      <c r="E14" s="168">
        <v>5</v>
      </c>
      <c r="F14" s="168">
        <f>IF($C14="","",VLOOKUP($C14,성분!$B$2:$O$10517,5,FALSE))/100*$P14</f>
        <v>0.66900000000000004</v>
      </c>
      <c r="G14" s="168">
        <f>IF($C14="","",VLOOKUP($C14,성분!$B$2:$O$10517,4,FALSE))/100*$P14</f>
        <v>0</v>
      </c>
      <c r="H14" s="168">
        <f>IF($C14="","",VLOOKUP($C14,성분!$B$2:$O$10517,6,FALSE))/100*$P14</f>
        <v>3.9E-2</v>
      </c>
      <c r="I14" s="168">
        <f>IF($C14="","",VLOOKUP($C14,성분!$B$2:$O$10517,7,FALSE))/100*$P14</f>
        <v>12.15</v>
      </c>
      <c r="J14" s="168">
        <f>IF($C14="","",VLOOKUP($C14,성분!$B$2:$O$10517,8,FALSE))/100*$P14</f>
        <v>0.15</v>
      </c>
      <c r="K14" s="168">
        <f>IF($C14="","",VLOOKUP($C14,성분!$B$2:$O$10517,9,FALSE))/100*$P14</f>
        <v>19.350000000000001</v>
      </c>
      <c r="L14" s="168">
        <f>IF($C14="","",VLOOKUP($C14,성분!$B$2:$O$10517,10,FALSE))/100*$P14</f>
        <v>8.9999999999999993E-3</v>
      </c>
      <c r="M14" s="168">
        <f>IF($C14="","",VLOOKUP($C14,성분!$B$2:$O$10517,11,FALSE))/100*$P14</f>
        <v>1.35E-2</v>
      </c>
      <c r="N14" s="168">
        <f>IF($C14="","",VLOOKUP($C14,성분!$B$2:$O$10517,12,FALSE))/100*$P14</f>
        <v>0.09</v>
      </c>
      <c r="O14" s="167">
        <f>IF($C14="","",VLOOKUP($C14,성분!$B$2:$O$10517,13,FALSE))/100*$P14</f>
        <v>3.15</v>
      </c>
      <c r="P14" s="38">
        <f t="shared" si="4"/>
        <v>15</v>
      </c>
      <c r="Q14" s="17">
        <f t="shared" si="5"/>
        <v>1.635</v>
      </c>
      <c r="R14" s="18">
        <f t="shared" si="6"/>
        <v>1</v>
      </c>
    </row>
    <row r="15" spans="1:18" customFormat="1" ht="27.75" customHeight="1">
      <c r="A15" s="42">
        <f t="shared" si="3"/>
        <v>5</v>
      </c>
      <c r="B15" s="30"/>
      <c r="C15" s="22" t="s">
        <v>1980</v>
      </c>
      <c r="D15" s="16">
        <v>15</v>
      </c>
      <c r="E15" s="168">
        <v>8.3000000000000007</v>
      </c>
      <c r="F15" s="168">
        <f>IF($C15="","",VLOOKUP($C15,성분!$B$2:$O$10517,5,FALSE))/100*$P15</f>
        <v>1.0545</v>
      </c>
      <c r="G15" s="168">
        <f>IF($C15="","",VLOOKUP($C15,성분!$B$2:$O$10517,4,FALSE))/100*$P15</f>
        <v>0.15</v>
      </c>
      <c r="H15" s="168">
        <f>IF($C15="","",VLOOKUP($C15,성분!$B$2:$O$10517,6,FALSE))/100*$P15</f>
        <v>1.95E-2</v>
      </c>
      <c r="I15" s="168">
        <v>8.8000000000000007</v>
      </c>
      <c r="J15" s="168">
        <f>IF($C15="","",VLOOKUP($C15,성분!$B$2:$O$10517,8,FALSE))/100*$P15</f>
        <v>0.10499999999999998</v>
      </c>
      <c r="K15" s="168">
        <f>IF($C15="","",VLOOKUP($C15,성분!$B$2:$O$10517,9,FALSE))/100*$P15</f>
        <v>188.55</v>
      </c>
      <c r="L15" s="168">
        <f>IF($C15="","",VLOOKUP($C15,성분!$B$2:$O$10517,10,FALSE))/100*$P15</f>
        <v>8.9999999999999993E-3</v>
      </c>
      <c r="M15" s="168">
        <f>IF($C15="","",VLOOKUP($C15,성분!$B$2:$O$10517,11,FALSE))/100*$P15</f>
        <v>6.0000000000000001E-3</v>
      </c>
      <c r="N15" s="168">
        <f>IF($C15="","",VLOOKUP($C15,성분!$B$2:$O$10517,12,FALSE))/100*$P15</f>
        <v>0.12</v>
      </c>
      <c r="O15" s="167">
        <f>IF($C15="","",VLOOKUP($C15,성분!$B$2:$O$10517,13,FALSE))/100*$P15</f>
        <v>0.89999999999999991</v>
      </c>
      <c r="P15" s="38">
        <f t="shared" si="4"/>
        <v>15</v>
      </c>
      <c r="Q15" s="17">
        <f t="shared" si="5"/>
        <v>1.635</v>
      </c>
      <c r="R15" s="18">
        <f t="shared" si="6"/>
        <v>1</v>
      </c>
    </row>
    <row r="16" spans="1:18" customFormat="1" ht="27.75" customHeight="1">
      <c r="A16" s="42">
        <f t="shared" si="3"/>
        <v>6</v>
      </c>
      <c r="B16" s="30"/>
      <c r="C16" s="22" t="s">
        <v>357</v>
      </c>
      <c r="D16" s="16">
        <v>20</v>
      </c>
      <c r="E16" s="168">
        <f>IF($C16="","",VLOOKUP($C16,성분!$B$2:$O$10517,3,FALSE))/100*P16</f>
        <v>28</v>
      </c>
      <c r="F16" s="168">
        <f>IF($C16="","",VLOOKUP($C16,성분!$B$2:$O$10517,5,FALSE))/100*$P16</f>
        <v>8.8000000000000007</v>
      </c>
      <c r="G16" s="168">
        <f>IF($C16="","",VLOOKUP($C16,성분!$B$2:$O$10517,4,FALSE))/100*$P16</f>
        <v>2.54</v>
      </c>
      <c r="H16" s="168">
        <f>IF($C16="","",VLOOKUP($C16,성분!$B$2:$O$10517,6,FALSE))/100*$P16</f>
        <v>1.8059999999999998</v>
      </c>
      <c r="I16" s="168">
        <f>IF($C16="","",VLOOKUP($C16,성분!$B$2:$O$10517,7,FALSE))/100*$P16</f>
        <v>9.3999999999999986</v>
      </c>
      <c r="J16" s="168">
        <f>IF($C16="","",VLOOKUP($C16,성분!$B$2:$O$10517,8,FALSE))/100*$P16</f>
        <v>0.36000000000000004</v>
      </c>
      <c r="K16" s="168">
        <f>IF($C16="","",VLOOKUP($C16,성분!$B$2:$O$10517,9,FALSE))/100*$P16</f>
        <v>31.200000000000003</v>
      </c>
      <c r="L16" s="168">
        <f>IF($C16="","",VLOOKUP($C16,성분!$B$2:$O$10517,10,FALSE))/100*$P16</f>
        <v>0.02</v>
      </c>
      <c r="M16" s="168">
        <f>IF($C16="","",VLOOKUP($C16,성분!$B$2:$O$10517,11,FALSE))/100*$P16</f>
        <v>5.1999999999999998E-2</v>
      </c>
      <c r="N16" s="168">
        <f>IF($C16="","",VLOOKUP($C16,성분!$B$2:$O$10517,12,FALSE))/100*$P16</f>
        <v>0.02</v>
      </c>
      <c r="O16" s="167">
        <f>IF($C16="","",VLOOKUP($C16,성분!$B$2:$O$10517,13,FALSE))/100*$P16</f>
        <v>0</v>
      </c>
      <c r="P16" s="38">
        <f t="shared" ref="P16:P25" si="7">D16</f>
        <v>20</v>
      </c>
      <c r="Q16" s="17">
        <f t="shared" ref="Q16:Q25" si="8">($O$8*P16)/1000</f>
        <v>2.1800000000000002</v>
      </c>
      <c r="R16" s="18">
        <f t="shared" ref="R16:R25" si="9">INT(Q16)</f>
        <v>2</v>
      </c>
    </row>
    <row r="17" spans="1:18" customFormat="1" ht="27.75" customHeight="1">
      <c r="A17" s="42">
        <f t="shared" si="3"/>
        <v>7</v>
      </c>
      <c r="B17" s="30"/>
      <c r="C17" s="22" t="s">
        <v>2287</v>
      </c>
      <c r="D17" s="16">
        <v>20</v>
      </c>
      <c r="E17" s="168">
        <v>9.3000000000000007</v>
      </c>
      <c r="F17" s="168">
        <f>IF($C17="","",VLOOKUP($C17,성분!$B$2:$O$10517,5,FALSE))/100*$P17</f>
        <v>1.1000000000000001</v>
      </c>
      <c r="G17" s="168">
        <f>IF($C17="","",VLOOKUP($C17,성분!$B$2:$O$10517,4,FALSE))/100*$P17</f>
        <v>0.4</v>
      </c>
      <c r="H17" s="168">
        <f>IF($C17="","",VLOOKUP($C17,성분!$B$2:$O$10517,6,FALSE))/100*$P17</f>
        <v>0.06</v>
      </c>
      <c r="I17" s="168">
        <f>IF($C17="","",VLOOKUP($C17,성분!$B$2:$O$10517,7,FALSE))/100*$P17</f>
        <v>0.8</v>
      </c>
      <c r="J17" s="168">
        <f>IF($C17="","",VLOOKUP($C17,성분!$B$2:$O$10517,8,FALSE))/100*$P17</f>
        <v>0.24</v>
      </c>
      <c r="K17" s="168">
        <f>IF($C17="","",VLOOKUP($C17,성분!$B$2:$O$10517,9,FALSE))/100*$P17</f>
        <v>0</v>
      </c>
      <c r="L17" s="168">
        <f>IF($C17="","",VLOOKUP($C17,성분!$B$2:$O$10517,10,FALSE))/100*$P17</f>
        <v>0.01</v>
      </c>
      <c r="M17" s="168">
        <f>IF($C17="","",VLOOKUP($C17,성분!$B$2:$O$10517,11,FALSE))/100*$P17</f>
        <v>4.1999999999999996E-2</v>
      </c>
      <c r="N17" s="168">
        <f>IF($C17="","",VLOOKUP($C17,성분!$B$2:$O$10517,12,FALSE))/100*$P17</f>
        <v>0.76</v>
      </c>
      <c r="O17" s="167">
        <f>IF($C17="","",VLOOKUP($C17,성분!$B$2:$O$10517,13,FALSE))/100*$P17</f>
        <v>1</v>
      </c>
      <c r="P17" s="38">
        <f t="shared" ref="P17:P24" si="10">D17</f>
        <v>20</v>
      </c>
      <c r="Q17" s="17">
        <f t="shared" ref="Q17:Q24" si="11">($O$8*P17)/1000</f>
        <v>2.1800000000000002</v>
      </c>
      <c r="R17" s="18">
        <f t="shared" ref="R17:R24" si="12">INT(Q17)</f>
        <v>2</v>
      </c>
    </row>
    <row r="18" spans="1:18" customFormat="1" ht="27.75" customHeight="1">
      <c r="A18" s="42">
        <f t="shared" si="3"/>
        <v>8</v>
      </c>
      <c r="B18" s="30"/>
      <c r="C18" s="22" t="s">
        <v>2217</v>
      </c>
      <c r="D18" s="16">
        <v>3</v>
      </c>
      <c r="E18" s="168">
        <v>5.5</v>
      </c>
      <c r="F18" s="168">
        <f>IF($C18="","",VLOOKUP($C18,성분!$B$2:$O$10517,5,FALSE))/100*$P18</f>
        <v>0.71699999999999997</v>
      </c>
      <c r="G18" s="168">
        <f>IF($C18="","",VLOOKUP($C18,성분!$B$2:$O$10517,4,FALSE))/100*$P18</f>
        <v>0.11100000000000002</v>
      </c>
      <c r="H18" s="168">
        <f>IF($C18="","",VLOOKUP($C18,성분!$B$2:$O$10517,6,FALSE))/100*$P18</f>
        <v>9.0000000000000011E-3</v>
      </c>
      <c r="I18" s="168">
        <v>4.3</v>
      </c>
      <c r="J18" s="168">
        <f>IF($C18="","",VLOOKUP($C18,성분!$B$2:$O$10517,8,FALSE))/100*$P18</f>
        <v>0</v>
      </c>
      <c r="K18" s="168">
        <f>IF($C18="","",VLOOKUP($C18,성분!$B$2:$O$10517,9,FALSE))/100*$P18</f>
        <v>0</v>
      </c>
      <c r="L18" s="168">
        <f>IF($C18="","",VLOOKUP($C18,성분!$B$2:$O$10517,10,FALSE))/100*$P18</f>
        <v>0</v>
      </c>
      <c r="M18" s="168">
        <f>IF($C18="","",VLOOKUP($C18,성분!$B$2:$O$10517,11,FALSE))/100*$P18</f>
        <v>0</v>
      </c>
      <c r="N18" s="168">
        <f>IF($C18="","",VLOOKUP($C18,성분!$B$2:$O$10517,12,FALSE))/100*$P18</f>
        <v>0</v>
      </c>
      <c r="O18" s="167">
        <f>IF($C18="","",VLOOKUP($C18,성분!$B$2:$O$10517,13,FALSE))/100*$P18</f>
        <v>0</v>
      </c>
      <c r="P18" s="38">
        <f t="shared" ref="P18:P19" si="13">D18</f>
        <v>3</v>
      </c>
      <c r="Q18" s="17">
        <f t="shared" ref="Q18:Q19" si="14">($O$8*P18)/1000</f>
        <v>0.32700000000000001</v>
      </c>
      <c r="R18" s="18">
        <f t="shared" ref="R18:R19" si="15">INT(Q18)</f>
        <v>0</v>
      </c>
    </row>
    <row r="19" spans="1:18" customFormat="1" ht="27.75" customHeight="1">
      <c r="A19" s="42">
        <f t="shared" si="3"/>
        <v>9</v>
      </c>
      <c r="B19" s="30" t="s">
        <v>2281</v>
      </c>
      <c r="C19" s="22" t="s">
        <v>1222</v>
      </c>
      <c r="D19" s="16">
        <v>30</v>
      </c>
      <c r="E19" s="168">
        <v>16</v>
      </c>
      <c r="F19" s="168">
        <f>IF($C19="","",VLOOKUP($C19,성분!$B$2:$O$10517,5,FALSE))/100*$P19</f>
        <v>0.48</v>
      </c>
      <c r="G19" s="168">
        <f>IF($C19="","",VLOOKUP($C19,성분!$B$2:$O$10517,4,FALSE))/100*$P19</f>
        <v>1.5</v>
      </c>
      <c r="H19" s="168">
        <f>IF($C19="","",VLOOKUP($C19,성분!$B$2:$O$10517,6,FALSE))/100*$P19</f>
        <v>0.09</v>
      </c>
      <c r="I19" s="168">
        <f>IF($C19="","",VLOOKUP($C19,성분!$B$2:$O$10517,7,FALSE))/100*$P19</f>
        <v>9.3000000000000007</v>
      </c>
      <c r="J19" s="168">
        <f>IF($C19="","",VLOOKUP($C19,성분!$B$2:$O$10517,8,FALSE))/100*$P19</f>
        <v>0.18</v>
      </c>
      <c r="K19" s="168">
        <f>IF($C19="","",VLOOKUP($C19,성분!$B$2:$O$10517,9,FALSE))/100*$P19</f>
        <v>0</v>
      </c>
      <c r="L19" s="168">
        <f>IF($C19="","",VLOOKUP($C19,성분!$B$2:$O$10517,10,FALSE))/100*$P19</f>
        <v>2.7E-2</v>
      </c>
      <c r="M19" s="168">
        <f>IF($C19="","",VLOOKUP($C19,성분!$B$2:$O$10517,11,FALSE))/100*$P19</f>
        <v>0.03</v>
      </c>
      <c r="N19" s="168">
        <f>IF($C19="","",VLOOKUP($C19,성분!$B$2:$O$10517,12,FALSE))/100*$P19</f>
        <v>0.20999999999999996</v>
      </c>
      <c r="O19" s="167">
        <f>IF($C19="","",VLOOKUP($C19,성분!$B$2:$O$10517,13,FALSE))/100*$P19</f>
        <v>2.4</v>
      </c>
      <c r="P19" s="38">
        <f t="shared" si="13"/>
        <v>30</v>
      </c>
      <c r="Q19" s="17">
        <f t="shared" si="14"/>
        <v>3.27</v>
      </c>
      <c r="R19" s="18">
        <f t="shared" si="15"/>
        <v>3</v>
      </c>
    </row>
    <row r="20" spans="1:18" customFormat="1" ht="27.75" customHeight="1">
      <c r="A20" s="42">
        <f t="shared" si="3"/>
        <v>10</v>
      </c>
      <c r="B20" s="30"/>
      <c r="C20" s="22" t="s">
        <v>2193</v>
      </c>
      <c r="D20" s="16">
        <v>35</v>
      </c>
      <c r="E20" s="168">
        <f>IF($C20="","",VLOOKUP($C20,성분!$B$2:$O$10517,3,FALSE))/100*P20</f>
        <v>6.3</v>
      </c>
      <c r="F20" s="168">
        <f>IF($C20="","",VLOOKUP($C20,성분!$B$2:$O$10517,5,FALSE))/100*$P20</f>
        <v>1.4629999999999999</v>
      </c>
      <c r="G20" s="168">
        <f>IF($C20="","",VLOOKUP($C20,성분!$B$2:$O$10517,4,FALSE))/100*$P20</f>
        <v>0.28000000000000003</v>
      </c>
      <c r="H20" s="168">
        <f>IF($C20="","",VLOOKUP($C20,성분!$B$2:$O$10517,6,FALSE))/100*$P20</f>
        <v>7.0000000000000007E-2</v>
      </c>
      <c r="I20" s="168">
        <v>10.1</v>
      </c>
      <c r="J20" s="168">
        <f>IF($C20="","",VLOOKUP($C20,성분!$B$2:$O$10517,8,FALSE))/100*$P20</f>
        <v>0.27300000000000002</v>
      </c>
      <c r="K20" s="168">
        <f>IF($C20="","",VLOOKUP($C20,성분!$B$2:$O$10517,9,FALSE))/100*$P20</f>
        <v>5.25</v>
      </c>
      <c r="L20" s="168">
        <f>IF($C20="","",VLOOKUP($C20,성분!$B$2:$O$10517,10,FALSE))/100*$P20</f>
        <v>1.0499999999999999E-2</v>
      </c>
      <c r="M20" s="168">
        <f>IF($C20="","",VLOOKUP($C20,성분!$B$2:$O$10517,11,FALSE))/100*$P20</f>
        <v>2.0999999999999998E-2</v>
      </c>
      <c r="N20" s="168">
        <f>IF($C20="","",VLOOKUP($C20,성분!$B$2:$O$10517,12,FALSE))/100*$P20</f>
        <v>7.3499999999999996E-2</v>
      </c>
      <c r="O20" s="167">
        <f>IF($C20="","",VLOOKUP($C20,성분!$B$2:$O$10517,13,FALSE))/100*$P20</f>
        <v>1.1200000000000001</v>
      </c>
      <c r="P20" s="38">
        <f t="shared" si="10"/>
        <v>35</v>
      </c>
      <c r="Q20" s="17">
        <f t="shared" si="11"/>
        <v>3.8149999999999999</v>
      </c>
      <c r="R20" s="18">
        <f t="shared" si="12"/>
        <v>3</v>
      </c>
    </row>
    <row r="21" spans="1:18" customFormat="1" ht="27.75" customHeight="1">
      <c r="A21" s="42">
        <f t="shared" si="3"/>
        <v>11</v>
      </c>
      <c r="B21" s="30"/>
      <c r="C21" s="22" t="s">
        <v>1239</v>
      </c>
      <c r="D21" s="16">
        <v>10</v>
      </c>
      <c r="E21" s="168">
        <f>IF($C21="","",VLOOKUP($C21,성분!$B$2:$O$10517,3,FALSE))/100*P21</f>
        <v>2.6</v>
      </c>
      <c r="F21" s="168">
        <f>IF($C21="","",VLOOKUP($C21,성분!$B$2:$O$10517,5,FALSE))/100*$P21</f>
        <v>0.44600000000000001</v>
      </c>
      <c r="G21" s="168">
        <f>IF($C21="","",VLOOKUP($C21,성분!$B$2:$O$10517,4,FALSE))/100*$P21</f>
        <v>0</v>
      </c>
      <c r="H21" s="168">
        <f>IF($C21="","",VLOOKUP($C21,성분!$B$2:$O$10517,6,FALSE))/100*$P21</f>
        <v>2.5999999999999999E-2</v>
      </c>
      <c r="I21" s="168">
        <f>IF($C21="","",VLOOKUP($C21,성분!$B$2:$O$10517,7,FALSE))/100*$P21</f>
        <v>8.1000000000000014</v>
      </c>
      <c r="J21" s="168">
        <f>IF($C21="","",VLOOKUP($C21,성분!$B$2:$O$10517,8,FALSE))/100*$P21</f>
        <v>0.1</v>
      </c>
      <c r="K21" s="168">
        <f>IF($C21="","",VLOOKUP($C21,성분!$B$2:$O$10517,9,FALSE))/100*$P21</f>
        <v>12.9</v>
      </c>
      <c r="L21" s="168">
        <f>IF($C21="","",VLOOKUP($C21,성분!$B$2:$O$10517,10,FALSE))/100*$P21</f>
        <v>5.9999999999999993E-3</v>
      </c>
      <c r="M21" s="168">
        <f>IF($C21="","",VLOOKUP($C21,성분!$B$2:$O$10517,11,FALSE))/100*$P21</f>
        <v>8.9999999999999993E-3</v>
      </c>
      <c r="N21" s="168">
        <f>IF($C21="","",VLOOKUP($C21,성분!$B$2:$O$10517,12,FALSE))/100*$P21</f>
        <v>0.06</v>
      </c>
      <c r="O21" s="167">
        <f>IF($C21="","",VLOOKUP($C21,성분!$B$2:$O$10517,13,FALSE))/100*$P21</f>
        <v>2.1</v>
      </c>
      <c r="P21" s="38">
        <f t="shared" si="10"/>
        <v>10</v>
      </c>
      <c r="Q21" s="17">
        <f t="shared" si="11"/>
        <v>1.0900000000000001</v>
      </c>
      <c r="R21" s="18">
        <f t="shared" si="12"/>
        <v>1</v>
      </c>
    </row>
    <row r="22" spans="1:18" s="160" customFormat="1" ht="27.75" customHeight="1">
      <c r="A22" s="166">
        <f t="shared" si="3"/>
        <v>12</v>
      </c>
      <c r="B22" s="171"/>
      <c r="C22" s="169" t="s">
        <v>2374</v>
      </c>
      <c r="D22" s="168">
        <v>3</v>
      </c>
      <c r="E22" s="168">
        <v>183</v>
      </c>
      <c r="F22" s="168">
        <f>IF($C22="","",VLOOKUP($C22,성분!$B$2:$O$10517,5,FALSE))/100*$P22</f>
        <v>1.3560000000000001</v>
      </c>
      <c r="G22" s="168">
        <f>IF($C22="","",VLOOKUP($C22,성분!$B$2:$O$10517,4,FALSE))/100*$P22</f>
        <v>0.22200000000000003</v>
      </c>
      <c r="H22" s="168">
        <f>IF($C22="","",VLOOKUP($C22,성분!$B$2:$O$10517,6,FALSE))/100*$P22</f>
        <v>3.3000000000000002E-2</v>
      </c>
      <c r="I22" s="168">
        <f>IF($C22="","",VLOOKUP($C22,성분!$B$2:$O$10517,7,FALSE))/100*$P22</f>
        <v>21.240000000000002</v>
      </c>
      <c r="J22" s="168">
        <f>IF($C22="","",VLOOKUP($C22,성분!$B$2:$O$10517,8,FALSE))/100*$P22</f>
        <v>0.189</v>
      </c>
      <c r="K22" s="168">
        <f>IF($C22="","",VLOOKUP($C22,성분!$B$2:$O$10517,9,FALSE))/100*$P22</f>
        <v>2.88</v>
      </c>
      <c r="L22" s="168">
        <f>IF($C22="","",VLOOKUP($C22,성분!$B$2:$O$10517,10,FALSE))/100*$P22</f>
        <v>6.6E-3</v>
      </c>
      <c r="M22" s="168">
        <f>IF($C22="","",VLOOKUP($C22,성분!$B$2:$O$10517,11,FALSE))/100*$P22</f>
        <v>1.3500000000000002E-2</v>
      </c>
      <c r="N22" s="168">
        <f>IF($C22="","",VLOOKUP($C22,성분!$B$2:$O$10517,12,FALSE))/100*$P22</f>
        <v>0.13500000000000001</v>
      </c>
      <c r="O22" s="167">
        <f>IF($C22="","",VLOOKUP($C22,성분!$B$2:$O$10517,13,FALSE))/100*$P22</f>
        <v>0.54</v>
      </c>
      <c r="P22" s="165">
        <f t="shared" ref="P22:P23" si="16">D22</f>
        <v>3</v>
      </c>
      <c r="Q22" s="162">
        <f t="shared" ref="Q22:Q23" si="17">($O$8*P22)/1000</f>
        <v>0.32700000000000001</v>
      </c>
      <c r="R22" s="18">
        <f t="shared" ref="R22:R23" si="18">INT(Q22)</f>
        <v>0</v>
      </c>
    </row>
    <row r="23" spans="1:18" s="160" customFormat="1" ht="27.75" customHeight="1">
      <c r="A23" s="166">
        <f t="shared" si="3"/>
        <v>13</v>
      </c>
      <c r="B23" s="171"/>
      <c r="C23" s="169" t="s">
        <v>2375</v>
      </c>
      <c r="D23" s="168">
        <v>3</v>
      </c>
      <c r="E23" s="168">
        <f>IF($C23="","",VLOOKUP($C23,성분!$B$2:$O$10517,3,FALSE))/100*P23</f>
        <v>9.09</v>
      </c>
      <c r="F23" s="168">
        <f>IF($C23="","",VLOOKUP($C23,성분!$B$2:$O$10517,5,FALSE))/100*$P23</f>
        <v>9.0000000000000011E-3</v>
      </c>
      <c r="G23" s="168">
        <f>IF($C23="","",VLOOKUP($C23,성분!$B$2:$O$10517,4,FALSE))/100*$P23</f>
        <v>0.99</v>
      </c>
      <c r="H23" s="168">
        <f>IF($C23="","",VLOOKUP($C23,성분!$B$2:$O$10517,6,FALSE))/100*$P23</f>
        <v>0.21899999999999997</v>
      </c>
      <c r="I23" s="168">
        <v>2.8</v>
      </c>
      <c r="J23" s="168">
        <f>IF($C23="","",VLOOKUP($C23,성분!$B$2:$O$10517,8,FALSE))/100*$P23</f>
        <v>0.12</v>
      </c>
      <c r="K23" s="168">
        <f>IF($C23="","",VLOOKUP($C23,성분!$B$2:$O$10517,9,FALSE))/100*$P23</f>
        <v>0</v>
      </c>
      <c r="L23" s="168">
        <f>IF($C23="","",VLOOKUP($C23,성분!$B$2:$O$10517,10,FALSE))/100*$P23</f>
        <v>4.2000000000000006E-3</v>
      </c>
      <c r="M23" s="168">
        <f>IF($C23="","",VLOOKUP($C23,성분!$B$2:$O$10517,11,FALSE))/100*$P23</f>
        <v>3.5999999999999999E-3</v>
      </c>
      <c r="N23" s="168">
        <f>IF($C23="","",VLOOKUP($C23,성분!$B$2:$O$10517,12,FALSE))/100*$P23</f>
        <v>0.06</v>
      </c>
      <c r="O23" s="167">
        <f>IF($C23="","",VLOOKUP($C23,성분!$B$2:$O$10517,13,FALSE))/100*$P23</f>
        <v>0</v>
      </c>
      <c r="P23" s="165">
        <f t="shared" si="16"/>
        <v>3</v>
      </c>
      <c r="Q23" s="162">
        <f t="shared" si="17"/>
        <v>0.32700000000000001</v>
      </c>
      <c r="R23" s="18">
        <f t="shared" si="18"/>
        <v>0</v>
      </c>
    </row>
    <row r="24" spans="1:18" customFormat="1" ht="27.75" customHeight="1">
      <c r="A24" s="42">
        <f t="shared" si="3"/>
        <v>14</v>
      </c>
      <c r="B24" s="30" t="s">
        <v>2282</v>
      </c>
      <c r="C24" s="22" t="s">
        <v>2291</v>
      </c>
      <c r="D24" s="16">
        <v>75</v>
      </c>
      <c r="E24" s="168">
        <v>183</v>
      </c>
      <c r="F24" s="168">
        <f>IF($C24="","",VLOOKUP($C24,성분!$B$2:$O$10517,5,FALSE))/100*$P24</f>
        <v>0.22500000000000001</v>
      </c>
      <c r="G24" s="168">
        <f>IF($C24="","",VLOOKUP($C24,성분!$B$2:$O$10517,4,FALSE))/100*$P24</f>
        <v>5.5949999999999998</v>
      </c>
      <c r="H24" s="168">
        <f>IF($C24="","",VLOOKUP($C24,성분!$B$2:$O$10517,6,FALSE))/100*$P24</f>
        <v>8.4749999999999996</v>
      </c>
      <c r="I24" s="168">
        <f>IF($C24="","",VLOOKUP($C24,성분!$B$2:$O$10517,7,FALSE))/100*$P24</f>
        <v>24.397500000000001</v>
      </c>
      <c r="J24" s="168">
        <f>IF($C24="","",VLOOKUP($C24,성분!$B$2:$O$10517,8,FALSE))/100*$P24</f>
        <v>0</v>
      </c>
      <c r="K24" s="168">
        <f>IF($C24="","",VLOOKUP($C24,성분!$B$2:$O$10517,9,FALSE))/100*$P24</f>
        <v>14.174999999999997</v>
      </c>
      <c r="L24" s="168">
        <f>IF($C24="","",VLOOKUP($C24,성분!$B$2:$O$10517,10,FALSE))/100*$P24</f>
        <v>0.09</v>
      </c>
      <c r="M24" s="168">
        <f>IF($C24="","",VLOOKUP($C24,성분!$B$2:$O$10517,11,FALSE))/100*$P24</f>
        <v>4.4999999999999998E-2</v>
      </c>
      <c r="N24" s="168">
        <f>IF($C24="","",VLOOKUP($C24,성분!$B$2:$O$10517,12,FALSE))/100*$P24</f>
        <v>0</v>
      </c>
      <c r="O24" s="167">
        <f>IF($C24="","",VLOOKUP($C24,성분!$B$2:$O$10517,13,FALSE))/100*$P24</f>
        <v>0</v>
      </c>
      <c r="P24" s="38">
        <f t="shared" si="10"/>
        <v>75</v>
      </c>
      <c r="Q24" s="17">
        <f t="shared" si="11"/>
        <v>8.1750000000000007</v>
      </c>
      <c r="R24" s="18">
        <f t="shared" si="12"/>
        <v>8</v>
      </c>
    </row>
    <row r="25" spans="1:18" customFormat="1" ht="27.75" customHeight="1">
      <c r="A25" s="42">
        <f t="shared" si="3"/>
        <v>15</v>
      </c>
      <c r="B25" s="30"/>
      <c r="C25" s="22" t="s">
        <v>2288</v>
      </c>
      <c r="D25" s="16">
        <v>5</v>
      </c>
      <c r="E25" s="168">
        <f>IF($C25="","",VLOOKUP($C25,성분!$B$2:$O$10517,3,FALSE))/100*P25</f>
        <v>2.5</v>
      </c>
      <c r="F25" s="168">
        <f>IF($C25="","",VLOOKUP($C25,성분!$B$2:$O$10517,5,FALSE))/100*$P25</f>
        <v>0.46500000000000008</v>
      </c>
      <c r="G25" s="168">
        <f>IF($C25="","",VLOOKUP($C25,성분!$B$2:$O$10517,4,FALSE))/100*$P25</f>
        <v>0.42000000000000004</v>
      </c>
      <c r="H25" s="168">
        <f>IF($C25="","",VLOOKUP($C25,성분!$B$2:$O$10517,6,FALSE))/100*$P25</f>
        <v>1.4999999999999999E-2</v>
      </c>
      <c r="I25" s="168">
        <v>2.8</v>
      </c>
      <c r="J25" s="168">
        <f>IF($C25="","",VLOOKUP($C25,성분!$B$2:$O$10517,8,FALSE))/100*$P25</f>
        <v>0.10500000000000001</v>
      </c>
      <c r="K25" s="168">
        <f>IF($C25="","",VLOOKUP($C25,성분!$B$2:$O$10517,9,FALSE))/100*$P25</f>
        <v>0</v>
      </c>
      <c r="L25" s="168">
        <f>IF($C25="","",VLOOKUP($C25,성분!$B$2:$O$10517,10,FALSE))/100*$P25</f>
        <v>1.4999999999999998E-3</v>
      </c>
      <c r="M25" s="168">
        <f>IF($C25="","",VLOOKUP($C25,성분!$B$2:$O$10517,11,FALSE))/100*$P25</f>
        <v>4.0000000000000001E-3</v>
      </c>
      <c r="N25" s="168">
        <f>IF($C25="","",VLOOKUP($C25,성분!$B$2:$O$10517,12,FALSE))/100*$P25</f>
        <v>0.06</v>
      </c>
      <c r="O25" s="167">
        <f>IF($C25="","",VLOOKUP($C25,성분!$B$2:$O$10517,13,FALSE))/100*$P25</f>
        <v>0</v>
      </c>
      <c r="P25" s="38">
        <f t="shared" si="7"/>
        <v>5</v>
      </c>
      <c r="Q25" s="17">
        <f t="shared" si="8"/>
        <v>0.54500000000000004</v>
      </c>
      <c r="R25" s="18">
        <f t="shared" si="9"/>
        <v>0</v>
      </c>
    </row>
    <row r="26" spans="1:18" customFormat="1" ht="27.75" customHeight="1">
      <c r="A26" s="42">
        <f t="shared" si="3"/>
        <v>16</v>
      </c>
      <c r="B26" s="30"/>
      <c r="C26" s="22" t="s">
        <v>2290</v>
      </c>
      <c r="D26" s="16">
        <v>3</v>
      </c>
      <c r="E26" s="168">
        <f>IF($C26="","",VLOOKUP($C26,성분!$B$2:$O$10517,3,FALSE))/100*P26</f>
        <v>0.33</v>
      </c>
      <c r="F26" s="168">
        <f>IF($C26="","",VLOOKUP($C26,성분!$B$2:$O$10517,5,FALSE))/100*$P26</f>
        <v>8.3999999999999991E-2</v>
      </c>
      <c r="G26" s="168">
        <f>IF($C26="","",VLOOKUP($C26,성분!$B$2:$O$10517,4,FALSE))/100*$P26</f>
        <v>6.0000000000000001E-3</v>
      </c>
      <c r="H26" s="168">
        <f>IF($C26="","",VLOOKUP($C26,성분!$B$2:$O$10517,6,FALSE))/100*$P26</f>
        <v>0</v>
      </c>
      <c r="I26" s="168">
        <f>IF($C26="","",VLOOKUP($C26,성분!$B$2:$O$10517,7,FALSE))/100*$P26</f>
        <v>0.09</v>
      </c>
      <c r="J26" s="168">
        <f>IF($C26="","",VLOOKUP($C26,성분!$B$2:$O$10517,8,FALSE))/100*$P26</f>
        <v>3.0000000000000001E-3</v>
      </c>
      <c r="K26" s="168">
        <f>IF($C26="","",VLOOKUP($C26,성분!$B$2:$O$10517,9,FALSE))/100*$P26</f>
        <v>0</v>
      </c>
      <c r="L26" s="168">
        <f>IF($C26="","",VLOOKUP($C26,성분!$B$2:$O$10517,10,FALSE))/100*$P26</f>
        <v>0</v>
      </c>
      <c r="M26" s="168">
        <f>IF($C26="","",VLOOKUP($C26,성분!$B$2:$O$10517,11,FALSE))/100*$P26</f>
        <v>0</v>
      </c>
      <c r="N26" s="168">
        <f>IF($C26="","",VLOOKUP($C26,성분!$B$2:$O$10517,12,FALSE))/100*$P26</f>
        <v>0</v>
      </c>
      <c r="O26" s="167">
        <f>IF($C26="","",VLOOKUP($C26,성분!$B$2:$O$10517,13,FALSE))/100*$P26</f>
        <v>0</v>
      </c>
      <c r="P26" s="38">
        <f t="shared" si="4"/>
        <v>3</v>
      </c>
      <c r="Q26" s="17">
        <f t="shared" si="5"/>
        <v>0.32700000000000001</v>
      </c>
      <c r="R26" s="18">
        <f t="shared" si="6"/>
        <v>0</v>
      </c>
    </row>
    <row r="27" spans="1:18" customFormat="1" ht="27.75" customHeight="1">
      <c r="A27" s="42">
        <f t="shared" si="3"/>
        <v>17</v>
      </c>
      <c r="B27" s="171" t="s">
        <v>2283</v>
      </c>
      <c r="C27" s="169" t="s">
        <v>2284</v>
      </c>
      <c r="D27" s="168">
        <v>40</v>
      </c>
      <c r="E27" s="168">
        <v>12.3</v>
      </c>
      <c r="F27" s="168">
        <f>IF($C27="","",VLOOKUP($C27,성분!$B$2:$O$10517,5,FALSE))/100*$P27</f>
        <v>1.2</v>
      </c>
      <c r="G27" s="168">
        <f>IF($C27="","",VLOOKUP($C27,성분!$B$2:$O$10517,4,FALSE))/100*$P27</f>
        <v>0.08</v>
      </c>
      <c r="H27" s="168">
        <f>IF($C27="","",VLOOKUP($C27,성분!$B$2:$O$10517,6,FALSE))/100*$P27</f>
        <v>0</v>
      </c>
      <c r="I27" s="168">
        <v>38.200000000000003</v>
      </c>
      <c r="J27" s="168">
        <f>IF($C27="","",VLOOKUP($C27,성분!$B$2:$O$10517,8,FALSE))/100*$P27</f>
        <v>0.2</v>
      </c>
      <c r="K27" s="168">
        <f>IF($C27="","",VLOOKUP($C27,성분!$B$2:$O$10517,9,FALSE))/100*$P27</f>
        <v>0</v>
      </c>
      <c r="L27" s="168">
        <f>IF($C27="","",VLOOKUP($C27,성분!$B$2:$O$10517,10,FALSE))/100*$P27</f>
        <v>0</v>
      </c>
      <c r="M27" s="168">
        <f>IF($C27="","",VLOOKUP($C27,성분!$B$2:$O$10517,11,FALSE))/100*$P27</f>
        <v>0</v>
      </c>
      <c r="N27" s="168">
        <f>IF($C27="","",VLOOKUP($C27,성분!$B$2:$O$10517,12,FALSE))/100*$P27</f>
        <v>0</v>
      </c>
      <c r="O27" s="167">
        <f>IF($C27="","",VLOOKUP($C27,성분!$B$2:$O$10517,13,FALSE))/100*$P27</f>
        <v>0</v>
      </c>
      <c r="P27" s="38">
        <f t="shared" si="4"/>
        <v>40</v>
      </c>
      <c r="Q27" s="17">
        <f t="shared" si="5"/>
        <v>4.3600000000000003</v>
      </c>
      <c r="R27" s="18">
        <f t="shared" si="6"/>
        <v>4</v>
      </c>
    </row>
    <row r="28" spans="1:18" customFormat="1" ht="27.75" customHeight="1">
      <c r="A28" s="42">
        <f t="shared" si="3"/>
        <v>18</v>
      </c>
      <c r="B28" s="171"/>
      <c r="C28" s="169" t="s">
        <v>1186</v>
      </c>
      <c r="D28" s="168">
        <v>15</v>
      </c>
      <c r="E28" s="168">
        <v>7.8</v>
      </c>
      <c r="F28" s="168">
        <f>IF($C28="","",VLOOKUP($C28,성분!$B$2:$O$10517,5,FALSE))/100*$P28</f>
        <v>0.94200000000000017</v>
      </c>
      <c r="G28" s="168">
        <f>IF($C28="","",VLOOKUP($C28,성분!$B$2:$O$10517,4,FALSE))/100*$P28</f>
        <v>0.20999999999999996</v>
      </c>
      <c r="H28" s="168">
        <f>IF($C28="","",VLOOKUP($C28,성분!$B$2:$O$10517,6,FALSE))/100*$P28</f>
        <v>0.20100000000000001</v>
      </c>
      <c r="I28" s="168">
        <v>8.8000000000000007</v>
      </c>
      <c r="J28" s="168">
        <f>IF($C28="","",VLOOKUP($C28,성분!$B$2:$O$10517,8,FALSE))/100*$P28</f>
        <v>0.06</v>
      </c>
      <c r="K28" s="168">
        <f>IF($C28="","",VLOOKUP($C28,성분!$B$2:$O$10517,9,FALSE))/100*$P28</f>
        <v>0.44999999999999996</v>
      </c>
      <c r="L28" s="168">
        <f>IF($C28="","",VLOOKUP($C28,성분!$B$2:$O$10517,10,FALSE))/100*$P28</f>
        <v>6.0000000000000001E-3</v>
      </c>
      <c r="M28" s="168">
        <f>IF($C28="","",VLOOKUP($C28,성분!$B$2:$O$10517,11,FALSE))/100*$P28</f>
        <v>6.0000000000000001E-3</v>
      </c>
      <c r="N28" s="168">
        <f>IF($C28="","",VLOOKUP($C28,성분!$B$2:$O$10517,12,FALSE))/100*$P28</f>
        <v>4.4999999999999998E-2</v>
      </c>
      <c r="O28" s="167">
        <f>IF($C28="","",VLOOKUP($C28,성분!$B$2:$O$10517,13,FALSE))/100*$P28</f>
        <v>4.3499999999999996</v>
      </c>
      <c r="P28" s="38">
        <f t="shared" ref="P28:P29" si="19">D28</f>
        <v>15</v>
      </c>
      <c r="Q28" s="17">
        <f t="shared" ref="Q28:Q29" si="20">($O$8*P28)/1000</f>
        <v>1.635</v>
      </c>
      <c r="R28" s="18">
        <f t="shared" ref="R28:R29" si="21">INT(Q28)</f>
        <v>1</v>
      </c>
    </row>
    <row r="29" spans="1:18" customFormat="1" ht="27.75" customHeight="1">
      <c r="A29" s="42">
        <f t="shared" ref="A29:A33" si="22">ROW()-10</f>
        <v>19</v>
      </c>
      <c r="B29" s="171"/>
      <c r="C29" s="169" t="s">
        <v>1195</v>
      </c>
      <c r="D29" s="168">
        <v>15</v>
      </c>
      <c r="E29" s="168">
        <v>2.8</v>
      </c>
      <c r="F29" s="168">
        <f>IF($C29="","",VLOOKUP($C29,성분!$B$2:$O$10517,5,FALSE))/100*$P29</f>
        <v>0.26400000000000001</v>
      </c>
      <c r="G29" s="168">
        <f>IF($C29="","",VLOOKUP($C29,성분!$B$2:$O$10517,4,FALSE))/100*$P29</f>
        <v>0</v>
      </c>
      <c r="H29" s="168">
        <f>IF($C29="","",VLOOKUP($C29,성분!$B$2:$O$10517,6,FALSE))/100*$P29</f>
        <v>1.4999999999999999E-2</v>
      </c>
      <c r="I29" s="168">
        <f>IF($C29="","",VLOOKUP($C29,성분!$B$2:$O$10517,7,FALSE))/100*$P29</f>
        <v>3</v>
      </c>
      <c r="J29" s="168">
        <f>IF($C29="","",VLOOKUP($C29,성분!$B$2:$O$10517,8,FALSE))/100*$P29</f>
        <v>4.4999999999999998E-2</v>
      </c>
      <c r="K29" s="168">
        <f>IF($C29="","",VLOOKUP($C29,성분!$B$2:$O$10517,9,FALSE))/100*$P29</f>
        <v>3.5999999999999996</v>
      </c>
      <c r="L29" s="168">
        <f>IF($C29="","",VLOOKUP($C29,성분!$B$2:$O$10517,10,FALSE))/100*$P29</f>
        <v>6.0000000000000001E-3</v>
      </c>
      <c r="M29" s="168">
        <f>IF($C29="","",VLOOKUP($C29,성분!$B$2:$O$10517,11,FALSE))/100*$P29</f>
        <v>6.0000000000000001E-3</v>
      </c>
      <c r="N29" s="168">
        <f>IF($C29="","",VLOOKUP($C29,성분!$B$2:$O$10517,12,FALSE))/100*$P29</f>
        <v>0.03</v>
      </c>
      <c r="O29" s="167">
        <f>IF($C29="","",VLOOKUP($C29,성분!$B$2:$O$10517,13,FALSE))/100*$P29</f>
        <v>1.5</v>
      </c>
      <c r="P29" s="38">
        <f t="shared" si="19"/>
        <v>15</v>
      </c>
      <c r="Q29" s="17">
        <f t="shared" si="20"/>
        <v>1.635</v>
      </c>
      <c r="R29" s="18">
        <f t="shared" si="21"/>
        <v>1</v>
      </c>
    </row>
    <row r="30" spans="1:18" customFormat="1" ht="27.75" customHeight="1">
      <c r="A30" s="42">
        <f t="shared" si="3"/>
        <v>20</v>
      </c>
      <c r="B30" s="171"/>
      <c r="C30" s="169" t="s">
        <v>1980</v>
      </c>
      <c r="D30" s="168">
        <v>10</v>
      </c>
      <c r="E30" s="168">
        <f>IF($C30="","",VLOOKUP($C30,성분!$B$2:$O$10517,3,FALSE))/100*P30</f>
        <v>3.4000000000000004</v>
      </c>
      <c r="F30" s="168">
        <f>IF($C30="","",VLOOKUP($C30,성분!$B$2:$O$10517,5,FALSE))/100*$P30</f>
        <v>0.70300000000000007</v>
      </c>
      <c r="G30" s="168">
        <f>IF($C30="","",VLOOKUP($C30,성분!$B$2:$O$10517,4,FALSE))/100*$P30</f>
        <v>0.1</v>
      </c>
      <c r="H30" s="168">
        <f>IF($C30="","",VLOOKUP($C30,성분!$B$2:$O$10517,6,FALSE))/100*$P30</f>
        <v>1.2999999999999999E-2</v>
      </c>
      <c r="I30" s="168">
        <v>4.8</v>
      </c>
      <c r="J30" s="168">
        <f>IF($C30="","",VLOOKUP($C30,성분!$B$2:$O$10517,8,FALSE))/100*$P30</f>
        <v>6.9999999999999993E-2</v>
      </c>
      <c r="K30" s="168">
        <f>IF($C30="","",VLOOKUP($C30,성분!$B$2:$O$10517,9,FALSE))/100*$P30</f>
        <v>125.7</v>
      </c>
      <c r="L30" s="168">
        <f>IF($C30="","",VLOOKUP($C30,성분!$B$2:$O$10517,10,FALSE))/100*$P30</f>
        <v>5.9999999999999993E-3</v>
      </c>
      <c r="M30" s="168">
        <f>IF($C30="","",VLOOKUP($C30,성분!$B$2:$O$10517,11,FALSE))/100*$P30</f>
        <v>4.0000000000000001E-3</v>
      </c>
      <c r="N30" s="168">
        <f>IF($C30="","",VLOOKUP($C30,성분!$B$2:$O$10517,12,FALSE))/100*$P30</f>
        <v>0.08</v>
      </c>
      <c r="O30" s="167">
        <f>IF($C30="","",VLOOKUP($C30,성분!$B$2:$O$10517,13,FALSE))/100*$P30</f>
        <v>0.6</v>
      </c>
      <c r="P30" s="38">
        <f t="shared" si="4"/>
        <v>10</v>
      </c>
      <c r="Q30" s="17">
        <f t="shared" si="5"/>
        <v>1.0900000000000001</v>
      </c>
      <c r="R30" s="18">
        <f t="shared" si="6"/>
        <v>1</v>
      </c>
    </row>
    <row r="31" spans="1:18" customFormat="1" ht="27.75" customHeight="1">
      <c r="A31" s="42">
        <f t="shared" si="22"/>
        <v>21</v>
      </c>
      <c r="B31" s="171"/>
      <c r="C31" s="169" t="s">
        <v>1093</v>
      </c>
      <c r="D31" s="168">
        <v>10</v>
      </c>
      <c r="E31" s="168">
        <v>5.9</v>
      </c>
      <c r="F31" s="168">
        <f>IF($C31="","",VLOOKUP($C31,성분!$B$2:$O$10517,5,FALSE))/100*$P31</f>
        <v>0.55000000000000004</v>
      </c>
      <c r="G31" s="168">
        <f>IF($C31="","",VLOOKUP($C31,성분!$B$2:$O$10517,4,FALSE))/100*$P31</f>
        <v>0.34</v>
      </c>
      <c r="H31" s="168">
        <f>IF($C31="","",VLOOKUP($C31,성분!$B$2:$O$10517,6,FALSE))/100*$P31</f>
        <v>0.02</v>
      </c>
      <c r="I31" s="168">
        <f>IF($C31="","",VLOOKUP($C31,성분!$B$2:$O$10517,7,FALSE))/100*$P31</f>
        <v>32.5</v>
      </c>
      <c r="J31" s="168">
        <f>IF($C31="","",VLOOKUP($C31,성분!$B$2:$O$10517,8,FALSE))/100*$P31</f>
        <v>0.26</v>
      </c>
      <c r="K31" s="168">
        <f>IF($C31="","",VLOOKUP($C31,성분!$B$2:$O$10517,9,FALSE))/100*$P31</f>
        <v>88.2</v>
      </c>
      <c r="L31" s="168">
        <f>IF($C31="","",VLOOKUP($C31,성분!$B$2:$O$10517,10,FALSE))/100*$P31</f>
        <v>1.1000000000000001E-2</v>
      </c>
      <c r="M31" s="168">
        <f>IF($C31="","",VLOOKUP($C31,성분!$B$2:$O$10517,11,FALSE))/100*$P31</f>
        <v>0.03</v>
      </c>
      <c r="N31" s="168">
        <f>IF($C31="","",VLOOKUP($C31,성분!$B$2:$O$10517,12,FALSE))/100*$P31</f>
        <v>0.1</v>
      </c>
      <c r="O31" s="167">
        <f>IF($C31="","",VLOOKUP($C31,성분!$B$2:$O$10517,13,FALSE))/100*$P31</f>
        <v>4.3</v>
      </c>
      <c r="P31" s="38">
        <f t="shared" si="4"/>
        <v>10</v>
      </c>
      <c r="Q31" s="17">
        <f t="shared" si="5"/>
        <v>1.0900000000000001</v>
      </c>
      <c r="R31" s="18">
        <f t="shared" si="6"/>
        <v>1</v>
      </c>
    </row>
    <row r="32" spans="1:18" customFormat="1" ht="27.75" customHeight="1">
      <c r="A32" s="42">
        <f t="shared" si="22"/>
        <v>22</v>
      </c>
      <c r="B32" s="171" t="s">
        <v>2289</v>
      </c>
      <c r="C32" s="169" t="s">
        <v>1084</v>
      </c>
      <c r="D32" s="168">
        <v>30</v>
      </c>
      <c r="E32" s="168">
        <f>IF($C32="","",VLOOKUP($C32,성분!$B$2:$O$10517,3,FALSE))/100*P32</f>
        <v>15</v>
      </c>
      <c r="F32" s="168">
        <f>IF($C32="","",VLOOKUP($C32,성분!$B$2:$O$10517,5,FALSE))/100*$P32</f>
        <v>1.32</v>
      </c>
      <c r="G32" s="168">
        <f>IF($C32="","",VLOOKUP($C32,성분!$B$2:$O$10517,4,FALSE))/100*$P32</f>
        <v>0.6</v>
      </c>
      <c r="H32" s="168">
        <f>IF($C32="","",VLOOKUP($C32,성분!$B$2:$O$10517,6,FALSE))/100*$P32</f>
        <v>0.06</v>
      </c>
      <c r="I32" s="168">
        <f>IF($C32="","",VLOOKUP($C32,성분!$B$2:$O$10517,7,FALSE))/100*$P32</f>
        <v>14.1</v>
      </c>
      <c r="J32" s="168">
        <f>IF($C32="","",VLOOKUP($C32,성분!$B$2:$O$10517,8,FALSE))/100*$P32</f>
        <v>0.89999999999999991</v>
      </c>
      <c r="K32" s="168">
        <f>IF($C32="","",VLOOKUP($C32,성분!$B$2:$O$10517,9,FALSE))/100*$P32</f>
        <v>14.399999999999999</v>
      </c>
      <c r="L32" s="168">
        <f>IF($C32="","",VLOOKUP($C32,성분!$B$2:$O$10517,10,FALSE))/100*$P32</f>
        <v>1.7999999999999999E-2</v>
      </c>
      <c r="M32" s="168">
        <f>IF($C32="","",VLOOKUP($C32,성분!$B$2:$O$10517,11,FALSE))/100*$P32</f>
        <v>1.7999999999999999E-2</v>
      </c>
      <c r="N32" s="168">
        <f>IF($C32="","",VLOOKUP($C32,성분!$B$2:$O$10517,12,FALSE))/100*$P32</f>
        <v>0.24</v>
      </c>
      <c r="O32" s="167">
        <f>IF($C32="","",VLOOKUP($C32,성분!$B$2:$O$10517,13,FALSE))/100*$P32</f>
        <v>4.2</v>
      </c>
      <c r="P32" s="38">
        <f t="shared" si="4"/>
        <v>30</v>
      </c>
      <c r="Q32" s="17">
        <f t="shared" si="5"/>
        <v>3.27</v>
      </c>
      <c r="R32" s="18">
        <f t="shared" si="6"/>
        <v>3</v>
      </c>
    </row>
    <row r="33" spans="1:19" customFormat="1" ht="27.75" customHeight="1">
      <c r="A33" s="42">
        <f t="shared" si="22"/>
        <v>23</v>
      </c>
      <c r="B33" s="171" t="s">
        <v>2285</v>
      </c>
      <c r="C33" s="169" t="s">
        <v>2285</v>
      </c>
      <c r="D33" s="168">
        <v>110</v>
      </c>
      <c r="E33" s="168">
        <f>IF($C33="","",VLOOKUP($C33,성분!$B$2:$O$10517,3,FALSE))/100*P33</f>
        <v>50.6</v>
      </c>
      <c r="F33" s="168">
        <f>IF($C33="","",VLOOKUP($C33,성분!$B$2:$O$10517,5,FALSE))/100*$P33</f>
        <v>12.1</v>
      </c>
      <c r="G33" s="168">
        <f>IF($C33="","",VLOOKUP($C33,성분!$B$2:$O$10517,4,FALSE))/100*$P33</f>
        <v>1.1000000000000001</v>
      </c>
      <c r="H33" s="168">
        <f>IF($C33="","",VLOOKUP($C33,성분!$B$2:$O$10517,6,FALSE))/100*$P33</f>
        <v>0</v>
      </c>
      <c r="I33" s="168">
        <f>IF($C33="","",VLOOKUP($C33,성분!$B$2:$O$10517,7,FALSE))/100*$P33</f>
        <v>0</v>
      </c>
      <c r="J33" s="168">
        <f>IF($C33="","",VLOOKUP($C33,성분!$B$2:$O$10517,8,FALSE))/100*$P33</f>
        <v>0</v>
      </c>
      <c r="K33" s="168">
        <f>IF($C33="","",VLOOKUP($C33,성분!$B$2:$O$10517,9,FALSE))/100*$P33</f>
        <v>0</v>
      </c>
      <c r="L33" s="168">
        <f>IF($C33="","",VLOOKUP($C33,성분!$B$2:$O$10517,10,FALSE))/100*$P33</f>
        <v>0</v>
      </c>
      <c r="M33" s="168">
        <f>IF($C33="","",VLOOKUP($C33,성분!$B$2:$O$10517,11,FALSE))/100*$P33</f>
        <v>0</v>
      </c>
      <c r="N33" s="168">
        <f>IF($C33="","",VLOOKUP($C33,성분!$B$2:$O$10517,12,FALSE))/100*$P33</f>
        <v>0</v>
      </c>
      <c r="O33" s="167">
        <f>IF($C33="","",VLOOKUP($C33,성분!$B$2:$O$10517,13,FALSE))/100*$P33</f>
        <v>89.100000000000009</v>
      </c>
      <c r="P33" s="38">
        <f t="shared" si="4"/>
        <v>110</v>
      </c>
      <c r="Q33" s="17">
        <f t="shared" si="5"/>
        <v>11.99</v>
      </c>
      <c r="R33" s="18">
        <f t="shared" si="6"/>
        <v>11</v>
      </c>
    </row>
    <row r="34" spans="1:19" customFormat="1" ht="32.25" customHeight="1">
      <c r="A34" s="235" t="s">
        <v>1628</v>
      </c>
      <c r="B34" s="236"/>
      <c r="C34" s="236"/>
      <c r="D34" s="237"/>
      <c r="E34" s="19">
        <f>SUM(E11:E33)</f>
        <v>899.92</v>
      </c>
      <c r="F34" s="19">
        <f t="shared" ref="F34:O34" si="23">SUM(F11:F33)</f>
        <v>120.87949999999998</v>
      </c>
      <c r="G34" s="19">
        <f t="shared" si="23"/>
        <v>27.364000000000004</v>
      </c>
      <c r="H34" s="19">
        <f t="shared" si="23"/>
        <v>11.836500000000001</v>
      </c>
      <c r="I34" s="44">
        <f t="shared" si="23"/>
        <v>260.47750000000008</v>
      </c>
      <c r="J34" s="19">
        <f t="shared" si="23"/>
        <v>4.82</v>
      </c>
      <c r="K34" s="19">
        <f t="shared" si="23"/>
        <v>506.65499999999997</v>
      </c>
      <c r="L34" s="19">
        <f t="shared" si="23"/>
        <v>0.39280000000000009</v>
      </c>
      <c r="M34" s="19">
        <f t="shared" si="23"/>
        <v>0.34760000000000002</v>
      </c>
      <c r="N34" s="19">
        <f t="shared" si="23"/>
        <v>3.9435000000000002</v>
      </c>
      <c r="O34" s="19">
        <f t="shared" si="23"/>
        <v>116.86000000000001</v>
      </c>
      <c r="P34" s="38">
        <f t="shared" si="0"/>
        <v>0</v>
      </c>
      <c r="Q34" s="17">
        <f t="shared" si="1"/>
        <v>0</v>
      </c>
      <c r="R34" s="18">
        <f t="shared" si="2"/>
        <v>0</v>
      </c>
    </row>
    <row r="35" spans="1:19" s="21" customFormat="1" ht="32.25" customHeight="1">
      <c r="A35" s="238" t="s">
        <v>1790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40"/>
      <c r="P35" s="20"/>
      <c r="Q35"/>
      <c r="R35" s="18">
        <f>INT(Q35)</f>
        <v>0</v>
      </c>
    </row>
    <row r="36" spans="1:19" customFormat="1" ht="19.5" customHeight="1">
      <c r="A36" s="220" t="s">
        <v>1629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2"/>
      <c r="S36" s="18">
        <f>INT(R36)</f>
        <v>0</v>
      </c>
    </row>
    <row r="37" spans="1:19" customFormat="1" ht="20.100000000000001" customHeight="1">
      <c r="A37" s="247" t="s">
        <v>1630</v>
      </c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9"/>
      <c r="P37" s="244" t="s">
        <v>5</v>
      </c>
      <c r="Q37" s="245"/>
      <c r="R37" s="250">
        <v>5000</v>
      </c>
      <c r="S37" s="250"/>
    </row>
    <row r="38" spans="1:19" customFormat="1" ht="20.100000000000001" customHeight="1">
      <c r="A38" s="251" t="s">
        <v>1769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3"/>
      <c r="P38" s="244" t="s">
        <v>6</v>
      </c>
      <c r="Q38" s="245"/>
      <c r="R38" s="250">
        <f>R37*0.72</f>
        <v>3600</v>
      </c>
      <c r="S38" s="250"/>
    </row>
    <row r="39" spans="1:19" customFormat="1" ht="20.100000000000001" customHeight="1">
      <c r="A39" s="241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3"/>
      <c r="P39" s="244" t="s">
        <v>1631</v>
      </c>
      <c r="Q39" s="245"/>
      <c r="R39" s="246">
        <v>0.72</v>
      </c>
      <c r="S39" s="246"/>
    </row>
    <row r="40" spans="1:19" customFormat="1" ht="20.100000000000001" customHeight="1">
      <c r="C40" s="3"/>
      <c r="D40" s="24"/>
      <c r="E40" s="25"/>
      <c r="F40" s="25"/>
      <c r="G40" s="22">
        <v>667</v>
      </c>
      <c r="H40" s="22">
        <v>15</v>
      </c>
      <c r="I40" s="22">
        <v>300</v>
      </c>
      <c r="J40" s="22">
        <v>5.4</v>
      </c>
      <c r="K40" s="22">
        <v>234</v>
      </c>
      <c r="L40" s="22">
        <v>0.34</v>
      </c>
      <c r="M40" s="22">
        <v>0.4</v>
      </c>
      <c r="N40" s="22">
        <v>5.26</v>
      </c>
      <c r="O40" s="22">
        <v>33.4</v>
      </c>
      <c r="P40" s="37"/>
      <c r="Q40" s="37"/>
      <c r="R40" s="23"/>
      <c r="S40" s="23"/>
    </row>
    <row r="41" spans="1:19" customFormat="1" ht="20.100000000000001" customHeight="1">
      <c r="A41" s="2"/>
      <c r="B41" s="2"/>
      <c r="C41" s="3"/>
      <c r="D41" s="4"/>
      <c r="E41" s="5"/>
      <c r="F41" s="5"/>
      <c r="G41" s="5"/>
      <c r="H41" s="5"/>
      <c r="I41" s="5"/>
      <c r="J41" s="2"/>
      <c r="K41" s="5"/>
      <c r="L41" s="5"/>
      <c r="M41" s="5"/>
      <c r="N41" s="5"/>
      <c r="O41" s="6"/>
    </row>
    <row r="42" spans="1:19" customFormat="1" ht="20.100000000000001" customHeight="1">
      <c r="A42" s="2"/>
      <c r="B42" s="2"/>
      <c r="C42" s="2"/>
      <c r="D42" s="4"/>
      <c r="E42" s="2"/>
      <c r="F42" s="2"/>
      <c r="G42" s="5"/>
      <c r="H42" s="5"/>
      <c r="I42" s="5"/>
      <c r="J42" s="5"/>
      <c r="K42" s="5"/>
      <c r="L42" s="5"/>
      <c r="M42" s="5"/>
      <c r="N42" s="5"/>
      <c r="O42" s="6"/>
    </row>
    <row r="43" spans="1:19" ht="12">
      <c r="C43" s="2"/>
    </row>
    <row r="44" spans="1:19" ht="12">
      <c r="C44" s="2"/>
    </row>
    <row r="1350" spans="4:4">
      <c r="D1350" s="2">
        <v>240</v>
      </c>
    </row>
  </sheetData>
  <mergeCells count="41">
    <mergeCell ref="O2:O4"/>
    <mergeCell ref="O6:O7"/>
    <mergeCell ref="P6:R7"/>
    <mergeCell ref="L2:L4"/>
    <mergeCell ref="M2:M4"/>
    <mergeCell ref="M7:N7"/>
    <mergeCell ref="K7:L7"/>
    <mergeCell ref="A3:B3"/>
    <mergeCell ref="C3:D3"/>
    <mergeCell ref="L5:M5"/>
    <mergeCell ref="A7:C7"/>
    <mergeCell ref="A1:B1"/>
    <mergeCell ref="C1:D1"/>
    <mergeCell ref="K1:K4"/>
    <mergeCell ref="D2:E2"/>
    <mergeCell ref="A6:N6"/>
    <mergeCell ref="N2:N4"/>
    <mergeCell ref="H7:J7"/>
    <mergeCell ref="F7:G7"/>
    <mergeCell ref="D7:E7"/>
    <mergeCell ref="A36:O36"/>
    <mergeCell ref="A8:C8"/>
    <mergeCell ref="O8:O9"/>
    <mergeCell ref="A9:C9"/>
    <mergeCell ref="D9:N9"/>
    <mergeCell ref="A35:O35"/>
    <mergeCell ref="A34:D34"/>
    <mergeCell ref="M8:N8"/>
    <mergeCell ref="K8:L8"/>
    <mergeCell ref="H8:J8"/>
    <mergeCell ref="F8:G8"/>
    <mergeCell ref="D8:E8"/>
    <mergeCell ref="A39:O39"/>
    <mergeCell ref="P39:Q39"/>
    <mergeCell ref="R39:S39"/>
    <mergeCell ref="A37:O37"/>
    <mergeCell ref="P37:Q37"/>
    <mergeCell ref="R37:S37"/>
    <mergeCell ref="A38:O38"/>
    <mergeCell ref="P38:Q38"/>
    <mergeCell ref="R38:S38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70AC-FA6A-4052-ABB3-4B347B9E4C91}">
  <sheetPr>
    <pageSetUpPr fitToPage="1"/>
  </sheetPr>
  <dimension ref="A1:S1355"/>
  <sheetViews>
    <sheetView view="pageBreakPreview" zoomScale="85" zoomScaleNormal="85" zoomScaleSheetLayoutView="85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H12" sqref="H12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45751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55" t="s">
        <v>2437</v>
      </c>
      <c r="B8" s="224"/>
      <c r="C8" s="224"/>
      <c r="D8" s="225">
        <v>0</v>
      </c>
      <c r="E8" s="226"/>
      <c r="F8" s="226">
        <v>0</v>
      </c>
      <c r="G8" s="226"/>
      <c r="H8" s="226">
        <v>107</v>
      </c>
      <c r="I8" s="226"/>
      <c r="J8" s="226"/>
      <c r="K8" s="226">
        <f>SUM(D8:J8)</f>
        <v>107</v>
      </c>
      <c r="L8" s="226"/>
      <c r="M8" s="226">
        <v>2</v>
      </c>
      <c r="N8" s="227"/>
      <c r="O8" s="228">
        <f>SUM(K8:N8)</f>
        <v>109</v>
      </c>
    </row>
    <row r="9" spans="1:18" customFormat="1" ht="20.100000000000001" customHeight="1">
      <c r="A9" s="230" t="s">
        <v>0</v>
      </c>
      <c r="B9" s="231"/>
      <c r="C9" s="232"/>
      <c r="D9" s="233" t="s">
        <v>2454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f>ROW()-10</f>
        <v>1</v>
      </c>
      <c r="B11" s="30" t="s">
        <v>2187</v>
      </c>
      <c r="C11" s="22" t="s">
        <v>2188</v>
      </c>
      <c r="D11" s="16">
        <v>4</v>
      </c>
      <c r="E11" s="168">
        <f>IF($C11="","",VLOOKUP($C11,성분!$B$2:$O$51519,3,FALSE))/100*P11</f>
        <v>13.96</v>
      </c>
      <c r="F11" s="168">
        <f>IF($C11="","",VLOOKUP($C11,성분!$B$2:$O$51519,5,FALSE))/100*$P11</f>
        <v>3</v>
      </c>
      <c r="G11" s="168">
        <f>IF($C11="","",VLOOKUP($C11,성분!$B$2:$O$51519,4,FALSE))/100*$P11</f>
        <v>0.39200000000000002</v>
      </c>
      <c r="H11" s="168">
        <f>IF($C11="","",VLOOKUP($C11,성분!$B$2:$O$51519,6,FALSE))/100*$P11</f>
        <v>0.06</v>
      </c>
      <c r="I11" s="168">
        <f>IF($C11="","",VLOOKUP($C11,성분!$B$2:$O$51519,7,FALSE))/100*$P11</f>
        <v>0</v>
      </c>
      <c r="J11" s="168">
        <f>IF($C11="","",VLOOKUP($C11,성분!$B$2:$O$51519,8,FALSE))/100*$P11</f>
        <v>0</v>
      </c>
      <c r="K11" s="168">
        <f>IF($C11="","",VLOOKUP($C11,성분!$B$2:$O$51519,9,FALSE))/100*$P11</f>
        <v>0</v>
      </c>
      <c r="L11" s="168">
        <f>IF($C11="","",VLOOKUP($C11,성분!$B$2:$O$51519,10,FALSE))/100*$P11</f>
        <v>8.8000000000000005E-3</v>
      </c>
      <c r="M11" s="168">
        <f>IF($C11="","",VLOOKUP($C11,성분!$B$2:$O$51519,11,FALSE))/100*$P11</f>
        <v>3.5999999999999999E-3</v>
      </c>
      <c r="N11" s="168">
        <f>IF($C11="","",VLOOKUP($C11,성분!$B$2:$O$51519,12,FALSE))/100*$P11</f>
        <v>0</v>
      </c>
      <c r="O11" s="167">
        <f>IF($C11="","",VLOOKUP($C11,성분!$B$2:$O$51519,13,FALSE))/100*$P11</f>
        <v>0</v>
      </c>
      <c r="P11" s="38">
        <f t="shared" ref="P11" si="0">D11</f>
        <v>4</v>
      </c>
      <c r="Q11" s="17">
        <f t="shared" ref="Q11:Q38" si="1">($O$8*P11)/1000</f>
        <v>0.436</v>
      </c>
      <c r="R11" s="18">
        <f t="shared" ref="R11" si="2">INT(Q11)</f>
        <v>0</v>
      </c>
    </row>
    <row r="12" spans="1:18" customFormat="1" ht="27.75" customHeight="1">
      <c r="A12" s="42">
        <f t="shared" ref="A12:A38" si="3">ROW()-10</f>
        <v>2</v>
      </c>
      <c r="B12" s="30"/>
      <c r="C12" s="22" t="s">
        <v>140</v>
      </c>
      <c r="D12" s="16">
        <v>100</v>
      </c>
      <c r="E12" s="168">
        <f>IF($C12="","",VLOOKUP($C12,성분!$B$2:$O$51519,3,FALSE))/100*P12</f>
        <v>240</v>
      </c>
      <c r="F12" s="168">
        <f>IF($C12="","",VLOOKUP($C12,성분!$B$2:$O$51519,5,FALSE))/100*$P12</f>
        <v>78.5</v>
      </c>
      <c r="G12" s="168">
        <f>IF($C12="","",VLOOKUP($C12,성분!$B$2:$O$51519,4,FALSE))/100*$P12</f>
        <v>6.4</v>
      </c>
      <c r="H12" s="168">
        <f>IF($C12="","",VLOOKUP($C12,성분!$B$2:$O$51519,6,FALSE))/100*$P12</f>
        <v>0.4</v>
      </c>
      <c r="I12" s="168">
        <f>IF($C12="","",VLOOKUP($C12,성분!$B$2:$O$51519,7,FALSE))/100*$P12</f>
        <v>7.0000000000000009</v>
      </c>
      <c r="J12" s="168">
        <f>IF($C12="","",VLOOKUP($C12,성분!$B$2:$O$51519,8,FALSE))/100*$P12</f>
        <v>0.5</v>
      </c>
      <c r="K12" s="168">
        <f>IF($C12="","",VLOOKUP($C12,성분!$B$2:$O$51519,9,FALSE))/100*$P12</f>
        <v>0</v>
      </c>
      <c r="L12" s="168">
        <f>IF($C12="","",VLOOKUP($C12,성분!$B$2:$O$51519,10,FALSE))/100*$P12</f>
        <v>0.12</v>
      </c>
      <c r="M12" s="168">
        <f>IF($C12="","",VLOOKUP($C12,성분!$B$2:$O$51519,11,FALSE))/100*$P12</f>
        <v>0</v>
      </c>
      <c r="N12" s="168">
        <f>IF($C12="","",VLOOKUP($C12,성분!$B$2:$O$51519,12,FALSE))/100*$P12</f>
        <v>1.4</v>
      </c>
      <c r="O12" s="167">
        <f>IF($C12="","",VLOOKUP($C12,성분!$B$2:$O$51519,13,FALSE))/100*$P12</f>
        <v>0</v>
      </c>
      <c r="P12" s="38">
        <f t="shared" ref="P12:P38" si="4">D12</f>
        <v>100</v>
      </c>
      <c r="Q12" s="17">
        <f t="shared" si="1"/>
        <v>10.9</v>
      </c>
      <c r="R12" s="18">
        <f t="shared" ref="R12:R39" si="5">INT(Q12)</f>
        <v>10</v>
      </c>
    </row>
    <row r="13" spans="1:18" customFormat="1" ht="27.75" customHeight="1">
      <c r="A13" s="42">
        <f t="shared" si="3"/>
        <v>3</v>
      </c>
      <c r="B13" s="30" t="s">
        <v>2450</v>
      </c>
      <c r="C13" s="22" t="s">
        <v>620</v>
      </c>
      <c r="D13" s="16">
        <v>20</v>
      </c>
      <c r="E13" s="168">
        <f>IF($C13="","",VLOOKUP($C13,성분!$B$2:$O$51519,3,FALSE))/100*P13</f>
        <v>26</v>
      </c>
      <c r="F13" s="168">
        <f>IF($C13="","",VLOOKUP($C13,성분!$B$2:$O$51519,5,FALSE))/100*$P13</f>
        <v>1.1999999999999999E-2</v>
      </c>
      <c r="G13" s="168">
        <f>IF($C13="","",VLOOKUP($C13,성분!$B$2:$O$51519,4,FALSE))/100*$P13</f>
        <v>1.92</v>
      </c>
      <c r="H13" s="168">
        <f>IF($C13="","",VLOOKUP($C13,성분!$B$2:$O$51519,6,FALSE))/100*$P13</f>
        <v>0.94</v>
      </c>
      <c r="I13" s="168">
        <f>IF($C13="","",VLOOKUP($C13,성분!$B$2:$O$51519,7,FALSE))/100*$P13</f>
        <v>0.6</v>
      </c>
      <c r="J13" s="168">
        <f>IF($C13="","",VLOOKUP($C13,성분!$B$2:$O$51519,8,FALSE))/100*$P13</f>
        <v>0.22000000000000003</v>
      </c>
      <c r="K13" s="168">
        <f>IF($C13="","",VLOOKUP($C13,성분!$B$2:$O$51519,9,FALSE))/100*$P13</f>
        <v>0</v>
      </c>
      <c r="L13" s="168">
        <f>IF($C13="","",VLOOKUP($C13,성분!$B$2:$O$51519,10,FALSE))/100*$P13</f>
        <v>2E-3</v>
      </c>
      <c r="M13" s="168">
        <f>IF($C13="","",VLOOKUP($C13,성분!$B$2:$O$51519,11,FALSE))/100*$P13</f>
        <v>2.3999999999999997E-2</v>
      </c>
      <c r="N13" s="168">
        <f>IF($C13="","",VLOOKUP($C13,성분!$B$2:$O$51519,12,FALSE))/100*$P13</f>
        <v>0.08</v>
      </c>
      <c r="O13" s="167">
        <f>IF($C13="","",VLOOKUP($C13,성분!$B$2:$O$51519,13,FALSE))/100*$P13</f>
        <v>0</v>
      </c>
      <c r="P13" s="38">
        <f t="shared" si="4"/>
        <v>20</v>
      </c>
      <c r="Q13" s="17">
        <f t="shared" si="1"/>
        <v>2.1800000000000002</v>
      </c>
      <c r="R13" s="18">
        <f t="shared" si="5"/>
        <v>2</v>
      </c>
    </row>
    <row r="14" spans="1:18" customFormat="1" ht="27.75" customHeight="1">
      <c r="A14" s="42">
        <f t="shared" si="3"/>
        <v>4</v>
      </c>
      <c r="B14" s="30"/>
      <c r="C14" s="22" t="s">
        <v>2534</v>
      </c>
      <c r="D14" s="16">
        <v>25</v>
      </c>
      <c r="E14" s="168">
        <f>IF($C14="","",VLOOKUP($C14,성분!$B$2:$O$51519,3,FALSE))/100*P14</f>
        <v>3</v>
      </c>
      <c r="F14" s="168">
        <f>IF($C14="","",VLOOKUP($C14,성분!$B$2:$O$51519,5,FALSE))/100*$P14</f>
        <v>0.43499999999999994</v>
      </c>
      <c r="G14" s="168">
        <f>IF($C14="","",VLOOKUP($C14,성분!$B$2:$O$51519,4,FALSE))/100*$P14</f>
        <v>0.35</v>
      </c>
      <c r="H14" s="168">
        <f>IF($C14="","",VLOOKUP($C14,성분!$B$2:$O$51519,6,FALSE))/100*$P14</f>
        <v>0.02</v>
      </c>
      <c r="I14" s="168">
        <f>IF($C14="","",VLOOKUP($C14,성분!$B$2:$O$51519,7,FALSE))/100*$P14</f>
        <v>9.5</v>
      </c>
      <c r="J14" s="168">
        <f>IF($C14="","",VLOOKUP($C14,성분!$B$2:$O$51519,8,FALSE))/100*$P14</f>
        <v>0.1</v>
      </c>
      <c r="K14" s="168">
        <f>IF($C14="","",VLOOKUP($C14,성분!$B$2:$O$51519,9,FALSE))/100*$P14</f>
        <v>1.5</v>
      </c>
      <c r="L14" s="168">
        <f>IF($C14="","",VLOOKUP($C14,성분!$B$2:$O$51519,10,FALSE))/100*$P14</f>
        <v>7.4999999999999997E-3</v>
      </c>
      <c r="M14" s="168">
        <f>IF($C14="","",VLOOKUP($C14,성분!$B$2:$O$51519,11,FALSE))/100*$P14</f>
        <v>7.4999999999999997E-3</v>
      </c>
      <c r="N14" s="168">
        <f>IF($C14="","",VLOOKUP($C14,성분!$B$2:$O$51519,12,FALSE))/100*$P14</f>
        <v>0.15</v>
      </c>
      <c r="O14" s="167">
        <f>IF($C14="","",VLOOKUP($C14,성분!$B$2:$O$51519,13,FALSE))/100*$P14</f>
        <v>7.0000000000000009</v>
      </c>
      <c r="P14" s="38">
        <f t="shared" si="4"/>
        <v>25</v>
      </c>
      <c r="Q14" s="17">
        <f t="shared" si="1"/>
        <v>2.7250000000000001</v>
      </c>
      <c r="R14" s="18">
        <f t="shared" si="5"/>
        <v>2</v>
      </c>
    </row>
    <row r="15" spans="1:18" customFormat="1" ht="27.75" customHeight="1">
      <c r="A15" s="42">
        <f t="shared" si="3"/>
        <v>5</v>
      </c>
      <c r="B15" s="30"/>
      <c r="C15" s="22" t="s">
        <v>2451</v>
      </c>
      <c r="D15" s="16">
        <v>18</v>
      </c>
      <c r="E15" s="168">
        <f>IF($C15="","",VLOOKUP($C15,성분!$B$2:$O$51519,3,FALSE))/100*P15</f>
        <v>1.98</v>
      </c>
      <c r="F15" s="168">
        <f>IF($C15="","",VLOOKUP($C15,성분!$B$2:$O$51519,5,FALSE))/100*$P15</f>
        <v>0.23400000000000001</v>
      </c>
      <c r="G15" s="168">
        <f>IF($C15="","",VLOOKUP($C15,성분!$B$2:$O$51519,4,FALSE))/100*$P15</f>
        <v>0.39600000000000002</v>
      </c>
      <c r="H15" s="168">
        <f>IF($C15="","",VLOOKUP($C15,성분!$B$2:$O$51519,6,FALSE))/100*$P15</f>
        <v>1.8000000000000002E-2</v>
      </c>
      <c r="I15" s="168">
        <f>IF($C15="","",VLOOKUP($C15,성분!$B$2:$O$51519,7,FALSE))/100*$P15</f>
        <v>2.6999999999999997</v>
      </c>
      <c r="J15" s="168">
        <f>IF($C15="","",VLOOKUP($C15,성분!$B$2:$O$51519,8,FALSE))/100*$P15</f>
        <v>0.108</v>
      </c>
      <c r="K15" s="168">
        <f>IF($C15="","",VLOOKUP($C15,성분!$B$2:$O$51519,9,FALSE))/100*$P15</f>
        <v>0.72</v>
      </c>
      <c r="L15" s="168">
        <f>IF($C15="","",VLOOKUP($C15,성분!$B$2:$O$51519,10,FALSE))/100*$P15</f>
        <v>7.2000000000000007E-3</v>
      </c>
      <c r="M15" s="168">
        <f>IF($C15="","",VLOOKUP($C15,성분!$B$2:$O$51519,11,FALSE))/100*$P15</f>
        <v>9.0000000000000011E-3</v>
      </c>
      <c r="N15" s="168">
        <f>IF($C15="","",VLOOKUP($C15,성분!$B$2:$O$51519,12,FALSE))/100*$P15</f>
        <v>0.09</v>
      </c>
      <c r="O15" s="167">
        <f>IF($C15="","",VLOOKUP($C15,성분!$B$2:$O$51519,13,FALSE))/100*$P15</f>
        <v>1.8</v>
      </c>
      <c r="P15" s="38">
        <f t="shared" ref="P15:P22" si="6">D15</f>
        <v>18</v>
      </c>
      <c r="Q15" s="17">
        <f t="shared" si="1"/>
        <v>1.962</v>
      </c>
      <c r="R15" s="18">
        <f t="shared" ref="R15:R22" si="7">INT(Q15)</f>
        <v>1</v>
      </c>
    </row>
    <row r="16" spans="1:18" customFormat="1" ht="27.75" customHeight="1">
      <c r="A16" s="42">
        <f t="shared" si="3"/>
        <v>6</v>
      </c>
      <c r="B16" s="30"/>
      <c r="C16" s="22" t="s">
        <v>1153</v>
      </c>
      <c r="D16" s="16">
        <v>10</v>
      </c>
      <c r="E16" s="168">
        <f>IF($C16="","",VLOOKUP($C16,성분!$B$2:$O$51519,3,FALSE))/100*P16</f>
        <v>3.1</v>
      </c>
      <c r="F16" s="168">
        <f>IF($C16="","",VLOOKUP($C16,성분!$B$2:$O$51519,5,FALSE))/100*$P16</f>
        <v>0.37000000000000005</v>
      </c>
      <c r="G16" s="168">
        <f>IF($C16="","",VLOOKUP($C16,성분!$B$2:$O$51519,4,FALSE))/100*$P16</f>
        <v>0.42999999999999994</v>
      </c>
      <c r="H16" s="168">
        <f>IF($C16="","",VLOOKUP($C16,성분!$B$2:$O$51519,6,FALSE))/100*$P16</f>
        <v>0.04</v>
      </c>
      <c r="I16" s="168">
        <f>IF($C16="","",VLOOKUP($C16,성분!$B$2:$O$51519,7,FALSE))/100*$P16</f>
        <v>3.4000000000000004</v>
      </c>
      <c r="J16" s="168">
        <f>IF($C16="","",VLOOKUP($C16,성분!$B$2:$O$51519,8,FALSE))/100*$P16</f>
        <v>0.28999999999999998</v>
      </c>
      <c r="K16" s="168">
        <f>IF($C16="","",VLOOKUP($C16,성분!$B$2:$O$51519,9,FALSE))/100*$P16</f>
        <v>63.8</v>
      </c>
      <c r="L16" s="168">
        <f>IF($C16="","",VLOOKUP($C16,성분!$B$2:$O$51519,10,FALSE))/100*$P16</f>
        <v>4.0999999999999995E-2</v>
      </c>
      <c r="M16" s="168">
        <f>IF($C16="","",VLOOKUP($C16,성분!$B$2:$O$51519,11,FALSE))/100*$P16</f>
        <v>5.9999999999999993E-3</v>
      </c>
      <c r="N16" s="168">
        <f>IF($C16="","",VLOOKUP($C16,성분!$B$2:$O$51519,12,FALSE))/100*$P16</f>
        <v>0</v>
      </c>
      <c r="O16" s="167">
        <f>IF($C16="","",VLOOKUP($C16,성분!$B$2:$O$51519,13,FALSE))/100*$P16</f>
        <v>4.0999999999999996</v>
      </c>
      <c r="P16" s="38">
        <f t="shared" ref="P16:P19" si="8">D16</f>
        <v>10</v>
      </c>
      <c r="Q16" s="17">
        <f t="shared" ref="Q16:Q19" si="9">($O$8*P16)/1000</f>
        <v>1.0900000000000001</v>
      </c>
      <c r="R16" s="18">
        <f t="shared" ref="R16:R19" si="10">INT(Q16)</f>
        <v>1</v>
      </c>
    </row>
    <row r="17" spans="1:18" customFormat="1" ht="27.75" customHeight="1">
      <c r="A17" s="42">
        <f t="shared" si="3"/>
        <v>7</v>
      </c>
      <c r="B17" s="30"/>
      <c r="C17" s="22" t="s">
        <v>2452</v>
      </c>
      <c r="D17" s="16">
        <v>2</v>
      </c>
      <c r="E17" s="168">
        <f>IF($C17="","",VLOOKUP($C17,성분!$B$2:$O$51519,3,FALSE))/100*P17</f>
        <v>0.38</v>
      </c>
      <c r="F17" s="168">
        <f>IF($C17="","",VLOOKUP($C17,성분!$B$2:$O$51519,5,FALSE))/100*$P17</f>
        <v>0.12</v>
      </c>
      <c r="G17" s="168">
        <f>IF($C17="","",VLOOKUP($C17,성분!$B$2:$O$51519,4,FALSE))/100*$P17</f>
        <v>3.2000000000000001E-2</v>
      </c>
      <c r="H17" s="168">
        <f>IF($C17="","",VLOOKUP($C17,성분!$B$2:$O$51519,6,FALSE))/100*$P17</f>
        <v>4.0000000000000001E-3</v>
      </c>
      <c r="I17" s="168">
        <f>IF($C17="","",VLOOKUP($C17,성분!$B$2:$O$51519,7,FALSE))/100*$P17</f>
        <v>0.26</v>
      </c>
      <c r="J17" s="168">
        <f>IF($C17="","",VLOOKUP($C17,성분!$B$2:$O$51519,8,FALSE))/100*$P17</f>
        <v>0.01</v>
      </c>
      <c r="K17" s="168">
        <f>IF($C17="","",VLOOKUP($C17,성분!$B$2:$O$51519,9,FALSE))/100*$P17</f>
        <v>1.04</v>
      </c>
      <c r="L17" s="168">
        <f>IF($C17="","",VLOOKUP($C17,성분!$B$2:$O$51519,10,FALSE))/100*$P17</f>
        <v>2E-3</v>
      </c>
      <c r="M17" s="168">
        <f>IF($C17="","",VLOOKUP($C17,성분!$B$2:$O$51519,11,FALSE))/100*$P17</f>
        <v>1E-3</v>
      </c>
      <c r="N17" s="168">
        <f>IF($C17="","",VLOOKUP($C17,성분!$B$2:$O$51519,12,FALSE))/100*$P17</f>
        <v>2.2000000000000002E-2</v>
      </c>
      <c r="O17" s="167">
        <f>IF($C17="","",VLOOKUP($C17,성분!$B$2:$O$51519,13,FALSE))/100*$P17</f>
        <v>1.44</v>
      </c>
      <c r="P17" s="38">
        <f t="shared" si="8"/>
        <v>2</v>
      </c>
      <c r="Q17" s="17">
        <f t="shared" si="9"/>
        <v>0.218</v>
      </c>
      <c r="R17" s="18">
        <f t="shared" si="10"/>
        <v>0</v>
      </c>
    </row>
    <row r="18" spans="1:18" s="160" customFormat="1" ht="27.75" customHeight="1">
      <c r="A18" s="166">
        <f t="shared" si="3"/>
        <v>8</v>
      </c>
      <c r="B18" s="171"/>
      <c r="C18" s="169" t="s">
        <v>2535</v>
      </c>
      <c r="D18" s="168">
        <v>3</v>
      </c>
      <c r="E18" s="168">
        <f>IF($C18="","",VLOOKUP($C18,성분!$B$2:$O$51519,3,FALSE))/100*P18</f>
        <v>5.67</v>
      </c>
      <c r="F18" s="168">
        <f>IF($C18="","",VLOOKUP($C18,성분!$B$2:$O$51519,5,FALSE))/100*$P18</f>
        <v>1.3560000000000001</v>
      </c>
      <c r="G18" s="168">
        <f>IF($C18="","",VLOOKUP($C18,성분!$B$2:$O$51519,4,FALSE))/100*$P18</f>
        <v>0.22200000000000003</v>
      </c>
      <c r="H18" s="168">
        <f>IF($C18="","",VLOOKUP($C18,성분!$B$2:$O$51519,6,FALSE))/100*$P18</f>
        <v>3.3000000000000002E-2</v>
      </c>
      <c r="I18" s="168">
        <f>IF($C18="","",VLOOKUP($C18,성분!$B$2:$O$51519,7,FALSE))/100*$P18</f>
        <v>21.240000000000002</v>
      </c>
      <c r="J18" s="168">
        <f>IF($C18="","",VLOOKUP($C18,성분!$B$2:$O$51519,8,FALSE))/100*$P18</f>
        <v>0.189</v>
      </c>
      <c r="K18" s="168">
        <f>IF($C18="","",VLOOKUP($C18,성분!$B$2:$O$51519,9,FALSE))/100*$P18</f>
        <v>2.88</v>
      </c>
      <c r="L18" s="168">
        <f>IF($C18="","",VLOOKUP($C18,성분!$B$2:$O$51519,10,FALSE))/100*$P18</f>
        <v>6.6E-3</v>
      </c>
      <c r="M18" s="168">
        <f>IF($C18="","",VLOOKUP($C18,성분!$B$2:$O$51519,11,FALSE))/100*$P18</f>
        <v>1.3500000000000002E-2</v>
      </c>
      <c r="N18" s="168">
        <f>IF($C18="","",VLOOKUP($C18,성분!$B$2:$O$51519,12,FALSE))/100*$P18</f>
        <v>0.13500000000000001</v>
      </c>
      <c r="O18" s="167">
        <f>IF($C18="","",VLOOKUP($C18,성분!$B$2:$O$51519,13,FALSE))/100*$P18</f>
        <v>0.54</v>
      </c>
      <c r="P18" s="165">
        <f t="shared" si="8"/>
        <v>3</v>
      </c>
      <c r="Q18" s="162">
        <f t="shared" si="9"/>
        <v>0.32700000000000001</v>
      </c>
      <c r="R18" s="18">
        <f t="shared" si="10"/>
        <v>0</v>
      </c>
    </row>
    <row r="19" spans="1:18" s="160" customFormat="1" ht="27.75" customHeight="1">
      <c r="A19" s="166">
        <f t="shared" si="3"/>
        <v>9</v>
      </c>
      <c r="B19" s="171"/>
      <c r="C19" s="169" t="s">
        <v>2536</v>
      </c>
      <c r="D19" s="168">
        <v>3</v>
      </c>
      <c r="E19" s="168">
        <f>IF($C19="","",VLOOKUP($C19,성분!$B$2:$O$51519,3,FALSE))/100*P19</f>
        <v>9.09</v>
      </c>
      <c r="F19" s="168">
        <f>IF($C19="","",VLOOKUP($C19,성분!$B$2:$O$51519,5,FALSE))/100*$P19</f>
        <v>9.0000000000000011E-3</v>
      </c>
      <c r="G19" s="168">
        <f>IF($C19="","",VLOOKUP($C19,성분!$B$2:$O$51519,4,FALSE))/100*$P19</f>
        <v>0.99</v>
      </c>
      <c r="H19" s="168">
        <f>IF($C19="","",VLOOKUP($C19,성분!$B$2:$O$51519,6,FALSE))/100*$P19</f>
        <v>0.21899999999999997</v>
      </c>
      <c r="I19" s="168">
        <f>IF($C19="","",VLOOKUP($C19,성분!$B$2:$O$51519,7,FALSE))/100*$P19</f>
        <v>51</v>
      </c>
      <c r="J19" s="168">
        <f>IF($C19="","",VLOOKUP($C19,성분!$B$2:$O$51519,8,FALSE))/100*$P19</f>
        <v>0.12</v>
      </c>
      <c r="K19" s="168">
        <f>IF($C19="","",VLOOKUP($C19,성분!$B$2:$O$51519,9,FALSE))/100*$P19</f>
        <v>0</v>
      </c>
      <c r="L19" s="168">
        <f>IF($C19="","",VLOOKUP($C19,성분!$B$2:$O$51519,10,FALSE))/100*$P19</f>
        <v>4.2000000000000006E-3</v>
      </c>
      <c r="M19" s="168">
        <f>IF($C19="","",VLOOKUP($C19,성분!$B$2:$O$51519,11,FALSE))/100*$P19</f>
        <v>3.5999999999999999E-3</v>
      </c>
      <c r="N19" s="168">
        <f>IF($C19="","",VLOOKUP($C19,성분!$B$2:$O$51519,12,FALSE))/100*$P19</f>
        <v>0.06</v>
      </c>
      <c r="O19" s="167">
        <f>IF($C19="","",VLOOKUP($C19,성분!$B$2:$O$51519,13,FALSE))/100*$P19</f>
        <v>0</v>
      </c>
      <c r="P19" s="165">
        <f t="shared" si="8"/>
        <v>3</v>
      </c>
      <c r="Q19" s="162">
        <f t="shared" si="9"/>
        <v>0.32700000000000001</v>
      </c>
      <c r="R19" s="18">
        <f t="shared" si="10"/>
        <v>0</v>
      </c>
    </row>
    <row r="20" spans="1:18" customFormat="1" ht="27.75" customHeight="1">
      <c r="A20" s="42">
        <f t="shared" si="3"/>
        <v>10</v>
      </c>
      <c r="B20" s="171" t="s">
        <v>2293</v>
      </c>
      <c r="C20" s="169" t="s">
        <v>2299</v>
      </c>
      <c r="D20" s="168">
        <v>45</v>
      </c>
      <c r="E20" s="168">
        <f>IF($C20="","",VLOOKUP($C20,성분!$B$2:$O$51519,3,FALSE))/100*P20</f>
        <v>81.45</v>
      </c>
      <c r="F20" s="168">
        <f>IF($C20="","",VLOOKUP($C20,성분!$B$2:$O$51519,5,FALSE))/100*$P20</f>
        <v>0</v>
      </c>
      <c r="G20" s="168">
        <f>IF($C20="","",VLOOKUP($C20,성분!$B$2:$O$51519,4,FALSE))/100*$P20</f>
        <v>6.75</v>
      </c>
      <c r="H20" s="168">
        <f>IF($C20="","",VLOOKUP($C20,성분!$B$2:$O$51519,6,FALSE))/100*$P20</f>
        <v>5.5350000000000001</v>
      </c>
      <c r="I20" s="168">
        <f>IF($C20="","",VLOOKUP($C20,성분!$B$2:$O$51519,7,FALSE))/100*$P20</f>
        <v>0.45</v>
      </c>
      <c r="J20" s="168">
        <f>IF($C20="","",VLOOKUP($C20,성분!$B$2:$O$51519,8,FALSE))/100*$P20</f>
        <v>0.9</v>
      </c>
      <c r="K20" s="168">
        <f>IF($C20="","",VLOOKUP($C20,성분!$B$2:$O$51519,9,FALSE))/100*$P20</f>
        <v>0.9</v>
      </c>
      <c r="L20" s="168">
        <f>IF($C20="","",VLOOKUP($C20,성분!$B$2:$O$51519,10,FALSE))/100*$P20</f>
        <v>0.19800000000000001</v>
      </c>
      <c r="M20" s="168">
        <f>IF($C20="","",VLOOKUP($C20,성분!$B$2:$O$51519,11,FALSE))/100*$P20</f>
        <v>7.6500000000000012E-2</v>
      </c>
      <c r="N20" s="168">
        <f>IF($C20="","",VLOOKUP($C20,성분!$B$2:$O$51519,12,FALSE))/100*$P20</f>
        <v>1.53</v>
      </c>
      <c r="O20" s="167">
        <f>IF($C20="","",VLOOKUP($C20,성분!$B$2:$O$51519,13,FALSE))/100*$P20</f>
        <v>0</v>
      </c>
      <c r="P20" s="38">
        <f t="shared" si="6"/>
        <v>45</v>
      </c>
      <c r="Q20" s="17">
        <f t="shared" si="1"/>
        <v>4.9050000000000002</v>
      </c>
      <c r="R20" s="18">
        <f t="shared" si="7"/>
        <v>4</v>
      </c>
    </row>
    <row r="21" spans="1:18" customFormat="1" ht="27.75" customHeight="1">
      <c r="A21" s="42">
        <f t="shared" si="3"/>
        <v>11</v>
      </c>
      <c r="B21" s="171"/>
      <c r="C21" s="169" t="s">
        <v>2300</v>
      </c>
      <c r="D21" s="168">
        <v>80</v>
      </c>
      <c r="E21" s="168">
        <f>IF($C21="","",VLOOKUP($C21,성분!$B$2:$O$51519,3,FALSE))/100*P21</f>
        <v>98.4</v>
      </c>
      <c r="F21" s="168">
        <f>IF($C21="","",VLOOKUP($C21,성분!$B$2:$O$51519,5,FALSE))/100*$P21</f>
        <v>0</v>
      </c>
      <c r="G21" s="168">
        <f>IF($C21="","",VLOOKUP($C21,성분!$B$2:$O$51519,4,FALSE))/100*$P21</f>
        <v>5.7600000000000007</v>
      </c>
      <c r="H21" s="168">
        <f>IF($C21="","",VLOOKUP($C21,성분!$B$2:$O$51519,6,FALSE))/100*$P21</f>
        <v>13.200000000000001</v>
      </c>
      <c r="I21" s="168">
        <f>IF($C21="","",VLOOKUP($C21,성분!$B$2:$O$51519,7,FALSE))/100*$P21</f>
        <v>0.8</v>
      </c>
      <c r="J21" s="168">
        <f>IF($C21="","",VLOOKUP($C21,성분!$B$2:$O$51519,8,FALSE))/100*$P21</f>
        <v>0.8</v>
      </c>
      <c r="K21" s="168">
        <f>IF($C21="","",VLOOKUP($C21,성분!$B$2:$O$51519,9,FALSE))/100*$P21</f>
        <v>12.8</v>
      </c>
      <c r="L21" s="168">
        <f>IF($C21="","",VLOOKUP($C21,성분!$B$2:$O$51519,10,FALSE))/100*$P21</f>
        <v>0.08</v>
      </c>
      <c r="M21" s="168">
        <f>IF($C21="","",VLOOKUP($C21,성분!$B$2:$O$51519,11,FALSE))/100*$P21</f>
        <v>6.4000000000000001E-2</v>
      </c>
      <c r="N21" s="168">
        <f>IF($C21="","",VLOOKUP($C21,성분!$B$2:$O$51519,12,FALSE))/100*$P21</f>
        <v>0.69599999999999995</v>
      </c>
      <c r="O21" s="167">
        <f>IF($C21="","",VLOOKUP($C21,성분!$B$2:$O$51519,13,FALSE))/100*$P21</f>
        <v>0</v>
      </c>
      <c r="P21" s="38">
        <f t="shared" si="6"/>
        <v>80</v>
      </c>
      <c r="Q21" s="17">
        <f t="shared" si="1"/>
        <v>8.7200000000000006</v>
      </c>
      <c r="R21" s="18">
        <f t="shared" si="7"/>
        <v>8</v>
      </c>
    </row>
    <row r="22" spans="1:18" customFormat="1" ht="27.75" customHeight="1">
      <c r="A22" s="42">
        <f t="shared" si="3"/>
        <v>12</v>
      </c>
      <c r="B22" s="171"/>
      <c r="C22" s="169" t="s">
        <v>1186</v>
      </c>
      <c r="D22" s="168">
        <v>10</v>
      </c>
      <c r="E22" s="168">
        <f>IF($C22="","",VLOOKUP($C22,성분!$B$2:$O$51519,3,FALSE))/100*P22</f>
        <v>3.1</v>
      </c>
      <c r="F22" s="168">
        <f>IF($C22="","",VLOOKUP($C22,성분!$B$2:$O$51519,5,FALSE))/100*$P22</f>
        <v>0.62800000000000011</v>
      </c>
      <c r="G22" s="168">
        <f>IF($C22="","",VLOOKUP($C22,성분!$B$2:$O$51519,4,FALSE))/100*$P22</f>
        <v>0.13999999999999999</v>
      </c>
      <c r="H22" s="168">
        <f>IF($C22="","",VLOOKUP($C22,성분!$B$2:$O$51519,6,FALSE))/100*$P22</f>
        <v>0.13400000000000001</v>
      </c>
      <c r="I22" s="168">
        <f>IF($C22="","",VLOOKUP($C22,성분!$B$2:$O$51519,7,FALSE))/100*$P22</f>
        <v>3.8</v>
      </c>
      <c r="J22" s="168">
        <f>IF($C22="","",VLOOKUP($C22,성분!$B$2:$O$51519,8,FALSE))/100*$P22</f>
        <v>0.04</v>
      </c>
      <c r="K22" s="168">
        <f>IF($C22="","",VLOOKUP($C22,성분!$B$2:$O$51519,9,FALSE))/100*$P22</f>
        <v>0.3</v>
      </c>
      <c r="L22" s="168">
        <f>IF($C22="","",VLOOKUP($C22,성분!$B$2:$O$51519,10,FALSE))/100*$P22</f>
        <v>4.0000000000000001E-3</v>
      </c>
      <c r="M22" s="168">
        <f>IF($C22="","",VLOOKUP($C22,성분!$B$2:$O$51519,11,FALSE))/100*$P22</f>
        <v>4.0000000000000001E-3</v>
      </c>
      <c r="N22" s="168">
        <f>IF($C22="","",VLOOKUP($C22,성분!$B$2:$O$51519,12,FALSE))/100*$P22</f>
        <v>0.03</v>
      </c>
      <c r="O22" s="167">
        <f>IF($C22="","",VLOOKUP($C22,성분!$B$2:$O$51519,13,FALSE))/100*$P22</f>
        <v>2.9</v>
      </c>
      <c r="P22" s="38">
        <f t="shared" si="6"/>
        <v>10</v>
      </c>
      <c r="Q22" s="17">
        <f t="shared" si="1"/>
        <v>1.0900000000000001</v>
      </c>
      <c r="R22" s="18">
        <f t="shared" si="7"/>
        <v>1</v>
      </c>
    </row>
    <row r="23" spans="1:18" customFormat="1" ht="27.75" customHeight="1">
      <c r="A23" s="42">
        <f t="shared" si="3"/>
        <v>13</v>
      </c>
      <c r="B23" s="171"/>
      <c r="C23" s="169" t="s">
        <v>1190</v>
      </c>
      <c r="D23" s="168">
        <v>20</v>
      </c>
      <c r="E23" s="168">
        <f>IF($C23="","",VLOOKUP($C23,성분!$B$2:$O$51519,3,FALSE))/100*P23</f>
        <v>7</v>
      </c>
      <c r="F23" s="168">
        <f>IF($C23="","",VLOOKUP($C23,성분!$B$2:$O$51519,5,FALSE))/100*$P23</f>
        <v>1.532</v>
      </c>
      <c r="G23" s="168">
        <f>IF($C23="","",VLOOKUP($C23,성분!$B$2:$O$51519,4,FALSE))/100*$P23</f>
        <v>0.2</v>
      </c>
      <c r="H23" s="168">
        <f>IF($C23="","",VLOOKUP($C23,성분!$B$2:$O$51519,6,FALSE))/100*$P23</f>
        <v>3.7999999999999999E-2</v>
      </c>
      <c r="I23" s="168">
        <f>IF($C23="","",VLOOKUP($C23,성분!$B$2:$O$51519,7,FALSE))/100*$P23</f>
        <v>3</v>
      </c>
      <c r="J23" s="168">
        <f>IF($C23="","",VLOOKUP($C23,성분!$B$2:$O$51519,8,FALSE))/100*$P23</f>
        <v>0.06</v>
      </c>
      <c r="K23" s="168">
        <f>IF($C23="","",VLOOKUP($C23,성분!$B$2:$O$51519,9,FALSE))/100*$P23</f>
        <v>0</v>
      </c>
      <c r="L23" s="168">
        <f>IF($C23="","",VLOOKUP($C23,성분!$B$2:$O$51519,10,FALSE))/100*$P23</f>
        <v>8.0000000000000002E-3</v>
      </c>
      <c r="M23" s="168">
        <f>IF($C23="","",VLOOKUP($C23,성분!$B$2:$O$51519,11,FALSE))/100*$P23</f>
        <v>2E-3</v>
      </c>
      <c r="N23" s="168">
        <f>IF($C23="","",VLOOKUP($C23,성분!$B$2:$O$51519,12,FALSE))/100*$P23</f>
        <v>0.04</v>
      </c>
      <c r="O23" s="167">
        <f>IF($C23="","",VLOOKUP($C23,성분!$B$2:$O$51519,13,FALSE))/100*$P23</f>
        <v>1.6</v>
      </c>
      <c r="P23" s="38">
        <f t="shared" si="4"/>
        <v>20</v>
      </c>
      <c r="Q23" s="17">
        <f t="shared" si="1"/>
        <v>2.1800000000000002</v>
      </c>
      <c r="R23" s="18">
        <f t="shared" si="5"/>
        <v>2</v>
      </c>
    </row>
    <row r="24" spans="1:18" customFormat="1" ht="27.75" customHeight="1">
      <c r="A24" s="42">
        <f t="shared" si="3"/>
        <v>14</v>
      </c>
      <c r="B24" s="171"/>
      <c r="C24" s="169" t="s">
        <v>1980</v>
      </c>
      <c r="D24" s="168">
        <v>15</v>
      </c>
      <c r="E24" s="168">
        <f>IF($C24="","",VLOOKUP($C24,성분!$B$2:$O$51519,3,FALSE))/100*P24</f>
        <v>5.1000000000000005</v>
      </c>
      <c r="F24" s="168">
        <f>IF($C24="","",VLOOKUP($C24,성분!$B$2:$O$51519,5,FALSE))/100*$P24</f>
        <v>1.0545</v>
      </c>
      <c r="G24" s="168">
        <f>IF($C24="","",VLOOKUP($C24,성분!$B$2:$O$51519,4,FALSE))/100*$P24</f>
        <v>0.15</v>
      </c>
      <c r="H24" s="168">
        <f>IF($C24="","",VLOOKUP($C24,성분!$B$2:$O$51519,6,FALSE))/100*$P24</f>
        <v>1.95E-2</v>
      </c>
      <c r="I24" s="168">
        <f>IF($C24="","",VLOOKUP($C24,성분!$B$2:$O$51519,7,FALSE))/100*$P24</f>
        <v>5.7</v>
      </c>
      <c r="J24" s="168">
        <f>IF($C24="","",VLOOKUP($C24,성분!$B$2:$O$51519,8,FALSE))/100*$P24</f>
        <v>0.10499999999999998</v>
      </c>
      <c r="K24" s="168">
        <f>IF($C24="","",VLOOKUP($C24,성분!$B$2:$O$51519,9,FALSE))/100*$P24</f>
        <v>188.55</v>
      </c>
      <c r="L24" s="168">
        <f>IF($C24="","",VLOOKUP($C24,성분!$B$2:$O$51519,10,FALSE))/100*$P24</f>
        <v>8.9999999999999993E-3</v>
      </c>
      <c r="M24" s="168">
        <f>IF($C24="","",VLOOKUP($C24,성분!$B$2:$O$51519,11,FALSE))/100*$P24</f>
        <v>6.0000000000000001E-3</v>
      </c>
      <c r="N24" s="168">
        <f>IF($C24="","",VLOOKUP($C24,성분!$B$2:$O$51519,12,FALSE))/100*$P24</f>
        <v>0.12</v>
      </c>
      <c r="O24" s="167">
        <f>IF($C24="","",VLOOKUP($C24,성분!$B$2:$O$51519,13,FALSE))/100*$P24</f>
        <v>0.89999999999999991</v>
      </c>
      <c r="P24" s="38">
        <f t="shared" si="4"/>
        <v>15</v>
      </c>
      <c r="Q24" s="17">
        <f t="shared" si="1"/>
        <v>1.635</v>
      </c>
      <c r="R24" s="18">
        <f t="shared" si="5"/>
        <v>1</v>
      </c>
    </row>
    <row r="25" spans="1:18" customFormat="1" ht="27.75" customHeight="1">
      <c r="A25" s="42">
        <f t="shared" si="3"/>
        <v>15</v>
      </c>
      <c r="B25" s="171"/>
      <c r="C25" s="169" t="s">
        <v>2197</v>
      </c>
      <c r="D25" s="168">
        <v>10</v>
      </c>
      <c r="E25" s="168">
        <f>IF($C25="","",VLOOKUP($C25,성분!$B$2:$O$51519,3,FALSE))/100*P25</f>
        <v>2.4</v>
      </c>
      <c r="F25" s="168">
        <f>IF($C25="","",VLOOKUP($C25,성분!$B$2:$O$51519,5,FALSE))/100*$P25</f>
        <v>0.7400000000000001</v>
      </c>
      <c r="G25" s="168">
        <f>IF($C25="","",VLOOKUP($C25,성분!$B$2:$O$51519,4,FALSE))/100*$P25</f>
        <v>0.2</v>
      </c>
      <c r="H25" s="168">
        <f>IF($C25="","",VLOOKUP($C25,성분!$B$2:$O$51519,6,FALSE))/100*$P25</f>
        <v>1.9E-2</v>
      </c>
      <c r="I25" s="168">
        <f>IF($C25="","",VLOOKUP($C25,성분!$B$2:$O$51519,7,FALSE))/100*$P25</f>
        <v>1.5</v>
      </c>
      <c r="J25" s="168">
        <f>IF($C25="","",VLOOKUP($C25,성분!$B$2:$O$51519,8,FALSE))/100*$P25</f>
        <v>6.9999999999999993E-2</v>
      </c>
      <c r="K25" s="168">
        <f>IF($C25="","",VLOOKUP($C25,성분!$B$2:$O$51519,9,FALSE))/100*$P25</f>
        <v>3.1</v>
      </c>
      <c r="L25" s="168">
        <f>IF($C25="","",VLOOKUP($C25,성분!$B$2:$O$51519,10,FALSE))/100*$P25</f>
        <v>5.9999999999999993E-3</v>
      </c>
      <c r="M25" s="168">
        <f>IF($C25="","",VLOOKUP($C25,성분!$B$2:$O$51519,11,FALSE))/100*$P25</f>
        <v>1.4999999999999999E-2</v>
      </c>
      <c r="N25" s="168">
        <f>IF($C25="","",VLOOKUP($C25,성분!$B$2:$O$51519,12,FALSE))/100*$P25</f>
        <v>0</v>
      </c>
      <c r="O25" s="167">
        <f>IF($C25="","",VLOOKUP($C25,성분!$B$2:$O$51519,13,FALSE))/100*$P25</f>
        <v>0.8</v>
      </c>
      <c r="P25" s="38">
        <f t="shared" ref="P25:P31" si="11">D25</f>
        <v>10</v>
      </c>
      <c r="Q25" s="17">
        <f t="shared" ref="Q25:Q31" si="12">($O$8*P25)/1000</f>
        <v>1.0900000000000001</v>
      </c>
      <c r="R25" s="18">
        <f t="shared" ref="R25:R31" si="13">INT(Q25)</f>
        <v>1</v>
      </c>
    </row>
    <row r="26" spans="1:18" customFormat="1" ht="27.75" customHeight="1">
      <c r="A26" s="42">
        <f t="shared" si="3"/>
        <v>16</v>
      </c>
      <c r="B26" s="171"/>
      <c r="C26" s="169" t="s">
        <v>1201</v>
      </c>
      <c r="D26" s="168">
        <v>7</v>
      </c>
      <c r="E26" s="168">
        <f>IF($C26="","",VLOOKUP($C26,성분!$B$2:$O$51519,3,FALSE))/100*P26</f>
        <v>5.88</v>
      </c>
      <c r="F26" s="168">
        <f>IF($C26="","",VLOOKUP($C26,성분!$B$2:$O$51519,5,FALSE))/100*$P26</f>
        <v>1.8017999999999996</v>
      </c>
      <c r="G26" s="168">
        <f>IF($C26="","",VLOOKUP($C26,성분!$B$2:$O$51519,4,FALSE))/100*$P26</f>
        <v>0.23100000000000001</v>
      </c>
      <c r="H26" s="168">
        <f>IF($C26="","",VLOOKUP($C26,성분!$B$2:$O$51519,6,FALSE))/100*$P26</f>
        <v>2.1000000000000001E-2</v>
      </c>
      <c r="I26" s="168">
        <f>IF($C26="","",VLOOKUP($C26,성분!$B$2:$O$51519,7,FALSE))/100*$P26</f>
        <v>1.9600000000000002</v>
      </c>
      <c r="J26" s="168">
        <f>IF($C26="","",VLOOKUP($C26,성분!$B$2:$O$51519,8,FALSE))/100*$P26</f>
        <v>0.105</v>
      </c>
      <c r="K26" s="168">
        <f>IF($C26="","",VLOOKUP($C26,성분!$B$2:$O$51519,9,FALSE))/100*$P26</f>
        <v>2.8000000000000003</v>
      </c>
      <c r="L26" s="168">
        <f>IF($C26="","",VLOOKUP($C26,성분!$B$2:$O$51519,10,FALSE))/100*$P26</f>
        <v>2.0999999999999999E-3</v>
      </c>
      <c r="M26" s="168">
        <f>IF($C26="","",VLOOKUP($C26,성분!$B$2:$O$51519,11,FALSE))/100*$P26</f>
        <v>2.0999999999999999E-3</v>
      </c>
      <c r="N26" s="168">
        <f>IF($C26="","",VLOOKUP($C26,성분!$B$2:$O$51519,12,FALSE))/100*$P26</f>
        <v>7.0000000000000007E-2</v>
      </c>
      <c r="O26" s="167">
        <f>IF($C26="","",VLOOKUP($C26,성분!$B$2:$O$51519,13,FALSE))/100*$P26</f>
        <v>0</v>
      </c>
      <c r="P26" s="38">
        <f t="shared" si="11"/>
        <v>7</v>
      </c>
      <c r="Q26" s="17">
        <f t="shared" si="12"/>
        <v>0.76300000000000001</v>
      </c>
      <c r="R26" s="18">
        <f t="shared" si="13"/>
        <v>0</v>
      </c>
    </row>
    <row r="27" spans="1:18" customFormat="1" ht="27.75" customHeight="1">
      <c r="A27" s="42">
        <f t="shared" si="3"/>
        <v>17</v>
      </c>
      <c r="B27" s="171"/>
      <c r="C27" s="169" t="s">
        <v>2294</v>
      </c>
      <c r="D27" s="168">
        <v>10</v>
      </c>
      <c r="E27" s="168">
        <f>IF($C27="","",VLOOKUP($C27,성분!$B$2:$O$51519,3,FALSE))/100*P27</f>
        <v>18.400000000000002</v>
      </c>
      <c r="F27" s="168">
        <f>IF($C27="","",VLOOKUP($C27,성분!$B$2:$O$51519,5,FALSE))/100*$P27</f>
        <v>1.05</v>
      </c>
      <c r="G27" s="168">
        <f>IF($C27="","",VLOOKUP($C27,성분!$B$2:$O$51519,4,FALSE))/100*$P27</f>
        <v>1.32</v>
      </c>
      <c r="H27" s="168">
        <f>IF($C27="","",VLOOKUP($C27,성분!$B$2:$O$51519,6,FALSE))/100*$P27</f>
        <v>0.42999999999999994</v>
      </c>
      <c r="I27" s="168">
        <f>IF($C27="","",VLOOKUP($C27,성분!$B$2:$O$51519,7,FALSE))/100*$P27</f>
        <v>6</v>
      </c>
      <c r="J27" s="168">
        <f>IF($C27="","",VLOOKUP($C27,성분!$B$2:$O$51519,8,FALSE))/100*$P27</f>
        <v>0.25</v>
      </c>
      <c r="K27" s="168">
        <f>IF($C27="","",VLOOKUP($C27,성분!$B$2:$O$51519,9,FALSE))/100*$P27</f>
        <v>0</v>
      </c>
      <c r="L27" s="168">
        <f>IF($C27="","",VLOOKUP($C27,성분!$B$2:$O$51519,10,FALSE))/100*$P27</f>
        <v>5.9999999999999993E-3</v>
      </c>
      <c r="M27" s="168">
        <f>IF($C27="","",VLOOKUP($C27,성분!$B$2:$O$51519,11,FALSE))/100*$P27</f>
        <v>1.1999999999999999E-2</v>
      </c>
      <c r="N27" s="168">
        <f>IF($C27="","",VLOOKUP($C27,성분!$B$2:$O$51519,12,FALSE))/100*$P27</f>
        <v>0.11000000000000001</v>
      </c>
      <c r="O27" s="167">
        <f>IF($C27="","",VLOOKUP($C27,성분!$B$2:$O$51519,13,FALSE))/100*$P27</f>
        <v>0</v>
      </c>
      <c r="P27" s="38">
        <f t="shared" si="11"/>
        <v>10</v>
      </c>
      <c r="Q27" s="17">
        <f t="shared" si="12"/>
        <v>1.0900000000000001</v>
      </c>
      <c r="R27" s="18">
        <f t="shared" si="13"/>
        <v>1</v>
      </c>
    </row>
    <row r="28" spans="1:18" customFormat="1" ht="27.75" customHeight="1">
      <c r="A28" s="42">
        <f t="shared" si="3"/>
        <v>18</v>
      </c>
      <c r="B28" s="171" t="s">
        <v>2453</v>
      </c>
      <c r="C28" s="48" t="s">
        <v>2254</v>
      </c>
      <c r="D28" s="168">
        <v>83</v>
      </c>
      <c r="E28" s="168">
        <f>IF($C28="","",VLOOKUP($C28,성분!$B$2:$O$51519,3,FALSE))/100*P28</f>
        <v>83</v>
      </c>
      <c r="F28" s="168">
        <f>IF($C28="","",VLOOKUP($C28,성분!$B$2:$O$51519,5,FALSE))/100*$P28</f>
        <v>16.600000000000001</v>
      </c>
      <c r="G28" s="168">
        <f>IF($C28="","",VLOOKUP($C28,성분!$B$2:$O$51519,4,FALSE))/100*$P28</f>
        <v>16.600000000000001</v>
      </c>
      <c r="H28" s="168">
        <f>IF($C28="","",VLOOKUP($C28,성분!$B$2:$O$51519,6,FALSE))/100*$P28</f>
        <v>24.9</v>
      </c>
      <c r="I28" s="168">
        <f>IF($C28="","",VLOOKUP($C28,성분!$B$2:$O$51519,7,FALSE))/100*$P28</f>
        <v>0</v>
      </c>
      <c r="J28" s="168">
        <f>IF($C28="","",VLOOKUP($C28,성분!$B$2:$O$51519,8,FALSE))/100*$P28</f>
        <v>0</v>
      </c>
      <c r="K28" s="168">
        <f>IF($C28="","",VLOOKUP($C28,성분!$B$2:$O$51519,9,FALSE))/100*$P28</f>
        <v>0</v>
      </c>
      <c r="L28" s="168">
        <f>IF($C28="","",VLOOKUP($C28,성분!$B$2:$O$51519,10,FALSE))/100*$P28</f>
        <v>0</v>
      </c>
      <c r="M28" s="168">
        <f>IF($C28="","",VLOOKUP($C28,성분!$B$2:$O$51519,11,FALSE))/100*$P28</f>
        <v>0</v>
      </c>
      <c r="N28" s="168">
        <f>IF($C28="","",VLOOKUP($C28,성분!$B$2:$O$51519,12,FALSE))/100*$P28</f>
        <v>0</v>
      </c>
      <c r="O28" s="167">
        <f>IF($C28="","",VLOOKUP($C28,성분!$B$2:$O$51519,13,FALSE))/100*$P28</f>
        <v>0</v>
      </c>
      <c r="P28" s="38">
        <f t="shared" si="11"/>
        <v>83</v>
      </c>
      <c r="Q28" s="17">
        <f t="shared" si="12"/>
        <v>9.0470000000000006</v>
      </c>
      <c r="R28" s="18">
        <f t="shared" si="13"/>
        <v>9</v>
      </c>
    </row>
    <row r="29" spans="1:18" customFormat="1" ht="27.75" customHeight="1">
      <c r="A29" s="42">
        <f t="shared" si="3"/>
        <v>19</v>
      </c>
      <c r="B29" s="171"/>
      <c r="C29" s="169" t="s">
        <v>2448</v>
      </c>
      <c r="D29" s="168">
        <v>12</v>
      </c>
      <c r="E29" s="168">
        <f>IF($C29="","",VLOOKUP($C29,성분!$B$2:$O$51519,3,FALSE))/100*P29</f>
        <v>43.8</v>
      </c>
      <c r="F29" s="168">
        <f>IF($C29="","",VLOOKUP($C29,성분!$B$2:$O$51519,5,FALSE))/100*$P29</f>
        <v>0</v>
      </c>
      <c r="G29" s="168">
        <f>IF($C29="","",VLOOKUP($C29,성분!$B$2:$O$51519,4,FALSE))/100*$P29</f>
        <v>0.75600000000000001</v>
      </c>
      <c r="H29" s="168">
        <f>IF($C29="","",VLOOKUP($C29,성분!$B$2:$O$51519,6,FALSE))/100*$P29</f>
        <v>2.3159999999999998</v>
      </c>
      <c r="I29" s="168">
        <f>IF($C29="","",VLOOKUP($C29,성분!$B$2:$O$51519,7,FALSE))/100*$P29</f>
        <v>7.1999999999999993</v>
      </c>
      <c r="J29" s="168">
        <f>IF($C29="","",VLOOKUP($C29,성분!$B$2:$O$51519,8,FALSE))/100*$P29</f>
        <v>0.252</v>
      </c>
      <c r="K29" s="168">
        <f>IF($C29="","",VLOOKUP($C29,성분!$B$2:$O$51519,9,FALSE))/100*$P29</f>
        <v>0</v>
      </c>
      <c r="L29" s="168">
        <f>IF($C29="","",VLOOKUP($C29,성분!$B$2:$O$51519,10,FALSE))/100*$P29</f>
        <v>0</v>
      </c>
      <c r="M29" s="168">
        <f>IF($C29="","",VLOOKUP($C29,성분!$B$2:$O$51519,11,FALSE))/100*$P29</f>
        <v>2.64E-2</v>
      </c>
      <c r="N29" s="168">
        <f>IF($C29="","",VLOOKUP($C29,성분!$B$2:$O$51519,12,FALSE))/100*$P29</f>
        <v>0</v>
      </c>
      <c r="O29" s="167">
        <f>IF($C29="","",VLOOKUP($C29,성분!$B$2:$O$51519,13,FALSE))/100*$P29</f>
        <v>0.12</v>
      </c>
      <c r="P29" s="38">
        <f t="shared" si="11"/>
        <v>12</v>
      </c>
      <c r="Q29" s="17">
        <f t="shared" si="12"/>
        <v>1.3080000000000001</v>
      </c>
      <c r="R29" s="18">
        <f t="shared" si="13"/>
        <v>1</v>
      </c>
    </row>
    <row r="30" spans="1:18" customFormat="1" ht="27.75" customHeight="1">
      <c r="A30" s="42">
        <f t="shared" si="3"/>
        <v>20</v>
      </c>
      <c r="B30" s="171" t="s">
        <v>2295</v>
      </c>
      <c r="C30" s="169" t="s">
        <v>1394</v>
      </c>
      <c r="D30" s="168">
        <v>35</v>
      </c>
      <c r="E30" s="168">
        <f>IF($C30="","",VLOOKUP($C30,성분!$B$2:$O$51519,3,FALSE))/100*P30</f>
        <v>33.6</v>
      </c>
      <c r="F30" s="168">
        <f>IF($C30="","",VLOOKUP($C30,성분!$B$2:$O$51519,5,FALSE))/100*$P30</f>
        <v>6.4050000000000002</v>
      </c>
      <c r="G30" s="168">
        <f>IF($C30="","",VLOOKUP($C30,성분!$B$2:$O$51519,4,FALSE))/100*$P30</f>
        <v>0.94500000000000006</v>
      </c>
      <c r="H30" s="168">
        <f>IF($C30="","",VLOOKUP($C30,성분!$B$2:$O$51519,6,FALSE))/100*$P30</f>
        <v>0.77000000000000013</v>
      </c>
      <c r="I30" s="168">
        <f>IF($C30="","",VLOOKUP($C30,성분!$B$2:$O$51519,7,FALSE))/100*$P30</f>
        <v>0.70000000000000007</v>
      </c>
      <c r="J30" s="168">
        <f>IF($C30="","",VLOOKUP($C30,성분!$B$2:$O$51519,8,FALSE))/100*$P30</f>
        <v>0.14000000000000001</v>
      </c>
      <c r="K30" s="168">
        <f>IF($C30="","",VLOOKUP($C30,성분!$B$2:$O$51519,9,FALSE))/100*$P30</f>
        <v>4.55</v>
      </c>
      <c r="L30" s="168">
        <f>IF($C30="","",VLOOKUP($C30,성분!$B$2:$O$51519,10,FALSE))/100*$P30</f>
        <v>1.0499999999999999E-2</v>
      </c>
      <c r="M30" s="168">
        <f>IF($C30="","",VLOOKUP($C30,성분!$B$2:$O$51519,11,FALSE))/100*$P30</f>
        <v>2.0999999999999998E-2</v>
      </c>
      <c r="N30" s="168">
        <f>IF($C30="","",VLOOKUP($C30,성분!$B$2:$O$51519,12,FALSE))/100*$P30</f>
        <v>0.31500000000000006</v>
      </c>
      <c r="O30" s="167">
        <f>IF($C30="","",VLOOKUP($C30,성분!$B$2:$O$51519,13,FALSE))/100*$P30</f>
        <v>1.4000000000000001</v>
      </c>
      <c r="P30" s="38">
        <f t="shared" si="11"/>
        <v>35</v>
      </c>
      <c r="Q30" s="17">
        <f t="shared" si="12"/>
        <v>3.8149999999999999</v>
      </c>
      <c r="R30" s="18">
        <f t="shared" si="13"/>
        <v>3</v>
      </c>
    </row>
    <row r="31" spans="1:18" customFormat="1" ht="27.75" customHeight="1">
      <c r="A31" s="42">
        <f t="shared" si="3"/>
        <v>21</v>
      </c>
      <c r="B31" s="171"/>
      <c r="C31" s="169" t="s">
        <v>451</v>
      </c>
      <c r="D31" s="168">
        <v>8</v>
      </c>
      <c r="E31" s="168">
        <f>IF($C31="","",VLOOKUP($C31,성분!$B$2:$O$51519,3,FALSE))/100*P31</f>
        <v>8</v>
      </c>
      <c r="F31" s="168">
        <f>IF($C31="","",VLOOKUP($C31,성분!$B$2:$O$51519,5,FALSE))/100*$P31</f>
        <v>0.10400000000000001</v>
      </c>
      <c r="G31" s="168">
        <f>IF($C31="","",VLOOKUP($C31,성분!$B$2:$O$51519,4,FALSE))/100*$P31</f>
        <v>1.6</v>
      </c>
      <c r="H31" s="168">
        <f>IF($C31="","",VLOOKUP($C31,성분!$B$2:$O$51519,6,FALSE))/100*$P31</f>
        <v>6.4000000000000001E-2</v>
      </c>
      <c r="I31" s="168">
        <f>IF($C31="","",VLOOKUP($C31,성분!$B$2:$O$51519,7,FALSE))/100*$P31</f>
        <v>10.24</v>
      </c>
      <c r="J31" s="168">
        <f>IF($C31="","",VLOOKUP($C31,성분!$B$2:$O$51519,8,FALSE))/100*$P31</f>
        <v>0.24</v>
      </c>
      <c r="K31" s="168">
        <f>IF($C31="","",VLOOKUP($C31,성분!$B$2:$O$51519,9,FALSE))/100*$P31</f>
        <v>0</v>
      </c>
      <c r="L31" s="168">
        <f>IF($C31="","",VLOOKUP($C31,성분!$B$2:$O$51519,10,FALSE))/100*$P31</f>
        <v>2.3999999999999998E-3</v>
      </c>
      <c r="M31" s="168">
        <f>IF($C31="","",VLOOKUP($C31,성분!$B$2:$O$51519,11,FALSE))/100*$P31</f>
        <v>4.0000000000000001E-3</v>
      </c>
      <c r="N31" s="168">
        <f>IF($C31="","",VLOOKUP($C31,성분!$B$2:$O$51519,12,FALSE))/100*$P31</f>
        <v>2.3999999999999998E-3</v>
      </c>
      <c r="O31" s="167">
        <f>IF($C31="","",VLOOKUP($C31,성분!$B$2:$O$51519,13,FALSE))/100*$P31</f>
        <v>0</v>
      </c>
      <c r="P31" s="38">
        <f t="shared" si="11"/>
        <v>8</v>
      </c>
      <c r="Q31" s="17">
        <f t="shared" si="12"/>
        <v>0.872</v>
      </c>
      <c r="R31" s="18">
        <f t="shared" si="13"/>
        <v>0</v>
      </c>
    </row>
    <row r="32" spans="1:18" customFormat="1" ht="27.75" customHeight="1">
      <c r="A32" s="42">
        <f t="shared" si="3"/>
        <v>22</v>
      </c>
      <c r="B32" s="171"/>
      <c r="C32" s="169" t="s">
        <v>346</v>
      </c>
      <c r="D32" s="168">
        <v>5</v>
      </c>
      <c r="E32" s="168">
        <f>IF($C32="","",VLOOKUP($C32,성분!$B$2:$O$51519,3,FALSE))/100*P32</f>
        <v>13.700000000000001</v>
      </c>
      <c r="F32" s="168">
        <f>IF($C32="","",VLOOKUP($C32,성분!$B$2:$O$51519,5,FALSE))/100*$P32</f>
        <v>3.69</v>
      </c>
      <c r="G32" s="168">
        <f>IF($C32="","",VLOOKUP($C32,성분!$B$2:$O$51519,4,FALSE))/100*$P32</f>
        <v>0.15</v>
      </c>
      <c r="H32" s="168">
        <f>IF($C32="","",VLOOKUP($C32,성분!$B$2:$O$51519,6,FALSE))/100*$P32</f>
        <v>0.01</v>
      </c>
      <c r="I32" s="168">
        <f>IF($C32="","",VLOOKUP($C32,성분!$B$2:$O$51519,7,FALSE))/100*$P32</f>
        <v>2.9</v>
      </c>
      <c r="J32" s="168">
        <f>IF($C32="","",VLOOKUP($C32,성분!$B$2:$O$51519,8,FALSE))/100*$P32</f>
        <v>0.10500000000000001</v>
      </c>
      <c r="K32" s="168">
        <f>IF($C32="","",VLOOKUP($C32,성분!$B$2:$O$51519,9,FALSE))/100*$P32</f>
        <v>0</v>
      </c>
      <c r="L32" s="168">
        <f>IF($C32="","",VLOOKUP($C32,성분!$B$2:$O$51519,10,FALSE))/100*$P32</f>
        <v>7.000000000000001E-3</v>
      </c>
      <c r="M32" s="168">
        <f>IF($C32="","",VLOOKUP($C32,성분!$B$2:$O$51519,11,FALSE))/100*$P32</f>
        <v>1.4999999999999998E-3</v>
      </c>
      <c r="N32" s="168">
        <f>IF($C32="","",VLOOKUP($C32,성분!$B$2:$O$51519,12,FALSE))/100*$P32</f>
        <v>0.03</v>
      </c>
      <c r="O32" s="167">
        <f>IF($C32="","",VLOOKUP($C32,성분!$B$2:$O$51519,13,FALSE))/100*$P32</f>
        <v>0</v>
      </c>
      <c r="P32" s="38">
        <f t="shared" si="4"/>
        <v>5</v>
      </c>
      <c r="Q32" s="17">
        <f t="shared" si="1"/>
        <v>0.54500000000000004</v>
      </c>
      <c r="R32" s="18">
        <f t="shared" si="5"/>
        <v>0</v>
      </c>
    </row>
    <row r="33" spans="1:19" customFormat="1" ht="27.75" customHeight="1">
      <c r="A33" s="42">
        <f t="shared" si="3"/>
        <v>23</v>
      </c>
      <c r="B33" s="171"/>
      <c r="C33" s="169" t="s">
        <v>1186</v>
      </c>
      <c r="D33" s="168">
        <v>10</v>
      </c>
      <c r="E33" s="168">
        <f>IF($C33="","",VLOOKUP($C33,성분!$B$2:$O$51519,3,FALSE))/100*P33</f>
        <v>3.1</v>
      </c>
      <c r="F33" s="168">
        <f>IF($C33="","",VLOOKUP($C33,성분!$B$2:$O$51519,5,FALSE))/100*$P33</f>
        <v>0.62800000000000011</v>
      </c>
      <c r="G33" s="168">
        <f>IF($C33="","",VLOOKUP($C33,성분!$B$2:$O$51519,4,FALSE))/100*$P33</f>
        <v>0.13999999999999999</v>
      </c>
      <c r="H33" s="168">
        <f>IF($C33="","",VLOOKUP($C33,성분!$B$2:$O$51519,6,FALSE))/100*$P33</f>
        <v>0.13400000000000001</v>
      </c>
      <c r="I33" s="168">
        <f>IF($C33="","",VLOOKUP($C33,성분!$B$2:$O$51519,7,FALSE))/100*$P33</f>
        <v>3.8</v>
      </c>
      <c r="J33" s="168">
        <f>IF($C33="","",VLOOKUP($C33,성분!$B$2:$O$51519,8,FALSE))/100*$P33</f>
        <v>0.04</v>
      </c>
      <c r="K33" s="168">
        <f>IF($C33="","",VLOOKUP($C33,성분!$B$2:$O$51519,9,FALSE))/100*$P33</f>
        <v>0.3</v>
      </c>
      <c r="L33" s="168">
        <f>IF($C33="","",VLOOKUP($C33,성분!$B$2:$O$51519,10,FALSE))/100*$P33</f>
        <v>4.0000000000000001E-3</v>
      </c>
      <c r="M33" s="168">
        <f>IF($C33="","",VLOOKUP($C33,성분!$B$2:$O$51519,11,FALSE))/100*$P33</f>
        <v>4.0000000000000001E-3</v>
      </c>
      <c r="N33" s="168">
        <f>IF($C33="","",VLOOKUP($C33,성분!$B$2:$O$51519,12,FALSE))/100*$P33</f>
        <v>0.03</v>
      </c>
      <c r="O33" s="167">
        <f>IF($C33="","",VLOOKUP($C33,성분!$B$2:$O$51519,13,FALSE))/100*$P33</f>
        <v>2.9</v>
      </c>
      <c r="P33" s="38">
        <f t="shared" si="4"/>
        <v>10</v>
      </c>
      <c r="Q33" s="17">
        <f t="shared" si="1"/>
        <v>1.0900000000000001</v>
      </c>
      <c r="R33" s="18">
        <f t="shared" si="5"/>
        <v>1</v>
      </c>
    </row>
    <row r="34" spans="1:19" customFormat="1" ht="27.75" customHeight="1">
      <c r="A34" s="42">
        <f t="shared" si="3"/>
        <v>24</v>
      </c>
      <c r="B34" s="171"/>
      <c r="C34" s="46" t="s">
        <v>353</v>
      </c>
      <c r="D34" s="168">
        <v>10</v>
      </c>
      <c r="E34" s="168">
        <f>IF($C34="","",VLOOKUP($C34,성분!$B$2:$O$51519,3,FALSE))/100*P34</f>
        <v>7.9</v>
      </c>
      <c r="F34" s="168">
        <f>IF($C34="","",VLOOKUP($C34,성분!$B$2:$O$51519,5,FALSE))/100*$P34</f>
        <v>2.34</v>
      </c>
      <c r="G34" s="168">
        <f>IF($C34="","",VLOOKUP($C34,성분!$B$2:$O$51519,4,FALSE))/100*$P34</f>
        <v>0.04</v>
      </c>
      <c r="H34" s="168">
        <f>IF($C34="","",VLOOKUP($C34,성분!$B$2:$O$51519,6,FALSE))/100*$P34</f>
        <v>0.01</v>
      </c>
      <c r="I34" s="168">
        <f>IF($C34="","",VLOOKUP($C34,성분!$B$2:$O$51519,7,FALSE))/100*$P34</f>
        <v>0.6</v>
      </c>
      <c r="J34" s="168">
        <f>IF($C34="","",VLOOKUP($C34,성분!$B$2:$O$51519,8,FALSE))/100*$P34</f>
        <v>0.03</v>
      </c>
      <c r="K34" s="168">
        <f>IF($C34="","",VLOOKUP($C34,성분!$B$2:$O$51519,9,FALSE))/100*$P34</f>
        <v>0.2</v>
      </c>
      <c r="L34" s="168">
        <f>IF($C34="","",VLOOKUP($C34,성분!$B$2:$O$51519,10,FALSE))/100*$P34</f>
        <v>2E-3</v>
      </c>
      <c r="M34" s="168">
        <f>IF($C34="","",VLOOKUP($C34,성분!$B$2:$O$51519,11,FALSE))/100*$P34</f>
        <v>2E-3</v>
      </c>
      <c r="N34" s="168">
        <f>IF($C34="","",VLOOKUP($C34,성분!$B$2:$O$51519,12,FALSE))/100*$P34</f>
        <v>0.04</v>
      </c>
      <c r="O34" s="167">
        <f>IF($C34="","",VLOOKUP($C34,성분!$B$2:$O$51519,13,FALSE))/100*$P34</f>
        <v>0.2</v>
      </c>
      <c r="P34" s="38">
        <f t="shared" si="4"/>
        <v>10</v>
      </c>
      <c r="Q34" s="17">
        <f t="shared" si="1"/>
        <v>1.0900000000000001</v>
      </c>
      <c r="R34" s="18">
        <f t="shared" si="5"/>
        <v>1</v>
      </c>
    </row>
    <row r="35" spans="1:19" customFormat="1" ht="27.75" customHeight="1">
      <c r="A35" s="42">
        <f t="shared" si="3"/>
        <v>25</v>
      </c>
      <c r="B35" s="171"/>
      <c r="C35" s="46" t="s">
        <v>2301</v>
      </c>
      <c r="D35" s="168">
        <v>5</v>
      </c>
      <c r="E35" s="168">
        <f>IF($C35="","",VLOOKUP($C35,성분!$B$2:$O$51519,3,FALSE))/100*P35</f>
        <v>35.35</v>
      </c>
      <c r="F35" s="168">
        <f>IF($C35="","",VLOOKUP($C35,성분!$B$2:$O$51519,5,FALSE))/100*$P35</f>
        <v>0.21000000000000002</v>
      </c>
      <c r="G35" s="168">
        <f>IF($C35="","",VLOOKUP($C35,성분!$B$2:$O$51519,4,FALSE))/100*$P35</f>
        <v>0.03</v>
      </c>
      <c r="H35" s="168">
        <f>IF($C35="","",VLOOKUP($C35,성분!$B$2:$O$51519,6,FALSE))/100*$P35</f>
        <v>3.5450000000000004</v>
      </c>
      <c r="I35" s="168">
        <f>IF($C35="","",VLOOKUP($C35,성분!$B$2:$O$51519,7,FALSE))/100*$P35</f>
        <v>1.05</v>
      </c>
      <c r="J35" s="168">
        <f>IF($C35="","",VLOOKUP($C35,성분!$B$2:$O$51519,8,FALSE))/100*$P35</f>
        <v>4.0000000000000001E-3</v>
      </c>
      <c r="K35" s="168">
        <f>IF($C35="","",VLOOKUP($C35,성분!$B$2:$O$51519,9,FALSE))/100*$P35</f>
        <v>0.75</v>
      </c>
      <c r="L35" s="168">
        <f>IF($C35="","",VLOOKUP($C35,성분!$B$2:$O$51519,10,FALSE))/100*$P35</f>
        <v>1E-3</v>
      </c>
      <c r="M35" s="168">
        <f>IF($C35="","",VLOOKUP($C35,성분!$B$2:$O$51519,11,FALSE))/100*$P35</f>
        <v>1.4999999999999998E-3</v>
      </c>
      <c r="N35" s="168">
        <f>IF($C35="","",VLOOKUP($C35,성분!$B$2:$O$51519,12,FALSE))/100*$P35</f>
        <v>5.0000000000000001E-3</v>
      </c>
      <c r="O35" s="167">
        <f>IF($C35="","",VLOOKUP($C35,성분!$B$2:$O$51519,13,FALSE))/100*$P35</f>
        <v>0</v>
      </c>
      <c r="P35" s="38">
        <f t="shared" si="4"/>
        <v>5</v>
      </c>
      <c r="Q35" s="17">
        <f t="shared" si="1"/>
        <v>0.54500000000000004</v>
      </c>
      <c r="R35" s="18">
        <f t="shared" si="5"/>
        <v>0</v>
      </c>
    </row>
    <row r="36" spans="1:19" customFormat="1" ht="27.75" customHeight="1">
      <c r="A36" s="42">
        <f t="shared" si="3"/>
        <v>26</v>
      </c>
      <c r="B36" s="45"/>
      <c r="C36" s="172" t="s">
        <v>2302</v>
      </c>
      <c r="D36" s="165">
        <v>3</v>
      </c>
      <c r="E36" s="168">
        <f>IF($C36="","",VLOOKUP($C36,성분!$B$2:$O$51519,3,FALSE))/100*P36</f>
        <v>10.95</v>
      </c>
      <c r="F36" s="168">
        <f>IF($C36="","",VLOOKUP($C36,성분!$B$2:$O$51519,5,FALSE))/100*$P36</f>
        <v>0</v>
      </c>
      <c r="G36" s="168">
        <f>IF($C36="","",VLOOKUP($C36,성분!$B$2:$O$51519,4,FALSE))/100*$P36</f>
        <v>0.189</v>
      </c>
      <c r="H36" s="168">
        <f>IF($C36="","",VLOOKUP($C36,성분!$B$2:$O$51519,6,FALSE))/100*$P36</f>
        <v>0.57899999999999996</v>
      </c>
      <c r="I36" s="168">
        <f>IF($C36="","",VLOOKUP($C36,성분!$B$2:$O$51519,7,FALSE))/100*$P36</f>
        <v>1.7999999999999998</v>
      </c>
      <c r="J36" s="168">
        <f>IF($C36="","",VLOOKUP($C36,성분!$B$2:$O$51519,8,FALSE))/100*$P36</f>
        <v>6.3E-2</v>
      </c>
      <c r="K36" s="168">
        <f>IF($C36="","",VLOOKUP($C36,성분!$B$2:$O$51519,9,FALSE))/100*$P36</f>
        <v>0</v>
      </c>
      <c r="L36" s="168">
        <f>IF($C36="","",VLOOKUP($C36,성분!$B$2:$O$51519,10,FALSE))/100*$P36</f>
        <v>0</v>
      </c>
      <c r="M36" s="168">
        <f>IF($C36="","",VLOOKUP($C36,성분!$B$2:$O$51519,11,FALSE))/100*$P36</f>
        <v>6.6E-3</v>
      </c>
      <c r="N36" s="168">
        <f>IF($C36="","",VLOOKUP($C36,성분!$B$2:$O$51519,12,FALSE))/100*$P36</f>
        <v>0</v>
      </c>
      <c r="O36" s="167">
        <f>IF($C36="","",VLOOKUP($C36,성분!$B$2:$O$51519,13,FALSE))/100*$P36</f>
        <v>0.03</v>
      </c>
      <c r="P36" s="38">
        <f t="shared" ref="P36" si="14">D36</f>
        <v>3</v>
      </c>
      <c r="Q36" s="17">
        <f t="shared" ref="Q36" si="15">($O$8*P36)/1000</f>
        <v>0.32700000000000001</v>
      </c>
      <c r="R36" s="18">
        <f t="shared" ref="R36" si="16">INT(Q36)</f>
        <v>0</v>
      </c>
    </row>
    <row r="37" spans="1:19" customFormat="1" ht="27.75" customHeight="1">
      <c r="A37" s="42">
        <f t="shared" si="3"/>
        <v>27</v>
      </c>
      <c r="B37" s="45" t="s">
        <v>1084</v>
      </c>
      <c r="C37" s="172" t="s">
        <v>1084</v>
      </c>
      <c r="D37" s="165">
        <v>30</v>
      </c>
      <c r="E37" s="168">
        <f>IF($C37="","",VLOOKUP($C37,성분!$B$2:$O$51519,3,FALSE))/100*P37</f>
        <v>15</v>
      </c>
      <c r="F37" s="168">
        <f>IF($C37="","",VLOOKUP($C37,성분!$B$2:$O$51519,5,FALSE))/100*$P37</f>
        <v>1.32</v>
      </c>
      <c r="G37" s="168">
        <f>IF($C37="","",VLOOKUP($C37,성분!$B$2:$O$51519,4,FALSE))/100*$P37</f>
        <v>0.6</v>
      </c>
      <c r="H37" s="168">
        <f>IF($C37="","",VLOOKUP($C37,성분!$B$2:$O$51519,6,FALSE))/100*$P37</f>
        <v>0.06</v>
      </c>
      <c r="I37" s="168">
        <f>IF($C37="","",VLOOKUP($C37,성분!$B$2:$O$51519,7,FALSE))/100*$P37</f>
        <v>14.1</v>
      </c>
      <c r="J37" s="168">
        <f>IF($C37="","",VLOOKUP($C37,성분!$B$2:$O$51519,8,FALSE))/100*$P37</f>
        <v>0.89999999999999991</v>
      </c>
      <c r="K37" s="168">
        <f>IF($C37="","",VLOOKUP($C37,성분!$B$2:$O$51519,9,FALSE))/100*$P37</f>
        <v>14.399999999999999</v>
      </c>
      <c r="L37" s="168">
        <f>IF($C37="","",VLOOKUP($C37,성분!$B$2:$O$51519,10,FALSE))/100*$P37</f>
        <v>1.7999999999999999E-2</v>
      </c>
      <c r="M37" s="168">
        <f>IF($C37="","",VLOOKUP($C37,성분!$B$2:$O$51519,11,FALSE))/100*$P37</f>
        <v>1.7999999999999999E-2</v>
      </c>
      <c r="N37" s="168">
        <f>IF($C37="","",VLOOKUP($C37,성분!$B$2:$O$51519,12,FALSE))/100*$P37</f>
        <v>0.24</v>
      </c>
      <c r="O37" s="167">
        <f>IF($C37="","",VLOOKUP($C37,성분!$B$2:$O$51519,13,FALSE))/100*$P37</f>
        <v>4.2</v>
      </c>
      <c r="P37" s="38">
        <f t="shared" si="4"/>
        <v>30</v>
      </c>
      <c r="Q37" s="17">
        <f t="shared" si="1"/>
        <v>3.27</v>
      </c>
      <c r="R37" s="18">
        <f t="shared" si="5"/>
        <v>3</v>
      </c>
    </row>
    <row r="38" spans="1:19" customFormat="1" ht="27.75" customHeight="1">
      <c r="A38" s="42">
        <f t="shared" si="3"/>
        <v>28</v>
      </c>
      <c r="B38" s="171" t="s">
        <v>2296</v>
      </c>
      <c r="C38" s="169" t="s">
        <v>2296</v>
      </c>
      <c r="D38" s="168">
        <v>30</v>
      </c>
      <c r="E38" s="168">
        <f>IF($C38="","",VLOOKUP($C38,성분!$B$2:$O$51519,3,FALSE))/100*P38</f>
        <v>60</v>
      </c>
      <c r="F38" s="168">
        <f>IF($C38="","",VLOOKUP($C38,성분!$B$2:$O$51519,5,FALSE))/100*$P38</f>
        <v>17.130000000000003</v>
      </c>
      <c r="G38" s="168">
        <f>IF($C38="","",VLOOKUP($C38,성분!$B$2:$O$51519,4,FALSE))/100*$P38</f>
        <v>2.7989999999999999</v>
      </c>
      <c r="H38" s="168">
        <f>IF($C38="","",VLOOKUP($C38,성분!$B$2:$O$51519,6,FALSE))/100*$P38</f>
        <v>6.8699999999999992</v>
      </c>
      <c r="I38" s="168">
        <f>IF($C38="","",VLOOKUP($C38,성분!$B$2:$O$51519,7,FALSE))/100*$P38</f>
        <v>12.855</v>
      </c>
      <c r="J38" s="168">
        <f>IF($C38="","",VLOOKUP($C38,성분!$B$2:$O$51519,8,FALSE))/100*$P38</f>
        <v>0.80099999999999993</v>
      </c>
      <c r="K38" s="168">
        <f>IF($C38="","",VLOOKUP($C38,성분!$B$2:$O$51519,9,FALSE))/100*$P38</f>
        <v>0</v>
      </c>
      <c r="L38" s="168">
        <f>IF($C38="","",VLOOKUP($C38,성분!$B$2:$O$51519,10,FALSE))/100*$P38</f>
        <v>4.4999999999999998E-2</v>
      </c>
      <c r="M38" s="168">
        <f>IF($C38="","",VLOOKUP($C38,성분!$B$2:$O$51519,11,FALSE))/100*$P38</f>
        <v>1.7999999999999999E-2</v>
      </c>
      <c r="N38" s="168">
        <f>IF($C38="","",VLOOKUP($C38,성분!$B$2:$O$51519,12,FALSE))/100*$P38</f>
        <v>5.3999999999999999E-2</v>
      </c>
      <c r="O38" s="167">
        <f>IF($C38="","",VLOOKUP($C38,성분!$B$2:$O$51519,13,FALSE))/100*$P38</f>
        <v>0</v>
      </c>
      <c r="P38" s="38">
        <f t="shared" si="4"/>
        <v>30</v>
      </c>
      <c r="Q38" s="17">
        <f t="shared" si="1"/>
        <v>3.27</v>
      </c>
      <c r="R38" s="18">
        <f t="shared" si="5"/>
        <v>3</v>
      </c>
    </row>
    <row r="39" spans="1:19" customFormat="1" ht="32.25" customHeight="1">
      <c r="A39" s="235" t="s">
        <v>1628</v>
      </c>
      <c r="B39" s="236"/>
      <c r="C39" s="236"/>
      <c r="D39" s="237"/>
      <c r="E39" s="19">
        <f t="shared" ref="E39:O39" si="17">SUM(E11:E38)</f>
        <v>839.31000000000017</v>
      </c>
      <c r="F39" s="19">
        <f t="shared" si="17"/>
        <v>139.26929999999999</v>
      </c>
      <c r="G39" s="19">
        <f t="shared" si="17"/>
        <v>49.732000000000006</v>
      </c>
      <c r="H39" s="19">
        <f t="shared" si="17"/>
        <v>60.388500000000008</v>
      </c>
      <c r="I39" s="44">
        <f t="shared" si="17"/>
        <v>174.15500000000003</v>
      </c>
      <c r="J39" s="19">
        <f t="shared" si="17"/>
        <v>6.4420000000000002</v>
      </c>
      <c r="K39" s="19">
        <f t="shared" si="17"/>
        <v>298.59000000000003</v>
      </c>
      <c r="L39" s="19">
        <f t="shared" si="17"/>
        <v>0.60229999999999995</v>
      </c>
      <c r="M39" s="19">
        <f t="shared" si="17"/>
        <v>0.35280000000000006</v>
      </c>
      <c r="N39" s="19">
        <f t="shared" si="17"/>
        <v>5.2494000000000023</v>
      </c>
      <c r="O39" s="19">
        <f t="shared" si="17"/>
        <v>29.929999999999996</v>
      </c>
      <c r="P39" s="38">
        <f>D39</f>
        <v>0</v>
      </c>
      <c r="Q39" s="17">
        <f t="shared" ref="Q39" si="18">($O$8*P39)/1000</f>
        <v>0</v>
      </c>
      <c r="R39" s="18">
        <f t="shared" si="5"/>
        <v>0</v>
      </c>
    </row>
    <row r="40" spans="1:19" s="21" customFormat="1" ht="32.25" customHeight="1">
      <c r="A40" s="238" t="s">
        <v>1790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40"/>
      <c r="P40" s="20"/>
      <c r="Q40"/>
      <c r="R40" s="18">
        <f>INT(Q40)</f>
        <v>0</v>
      </c>
    </row>
    <row r="41" spans="1:19" customFormat="1" ht="19.5" customHeight="1">
      <c r="A41" s="220" t="s">
        <v>1629</v>
      </c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2"/>
      <c r="S41" s="18">
        <f>INT(R41)</f>
        <v>0</v>
      </c>
    </row>
    <row r="42" spans="1:19" customFormat="1" ht="20.100000000000001" customHeight="1">
      <c r="A42" s="247" t="s">
        <v>1630</v>
      </c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9"/>
      <c r="P42" s="244" t="s">
        <v>5</v>
      </c>
      <c r="Q42" s="245"/>
      <c r="R42" s="250">
        <v>5000</v>
      </c>
      <c r="S42" s="250"/>
    </row>
    <row r="43" spans="1:19" customFormat="1" ht="20.100000000000001" customHeight="1">
      <c r="A43" s="251" t="s">
        <v>1769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3"/>
      <c r="P43" s="244" t="s">
        <v>6</v>
      </c>
      <c r="Q43" s="245"/>
      <c r="R43" s="250">
        <f>R42*0.72</f>
        <v>3600</v>
      </c>
      <c r="S43" s="250"/>
    </row>
    <row r="44" spans="1:19" customFormat="1" ht="20.100000000000001" customHeight="1">
      <c r="A44" s="241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244" t="s">
        <v>1631</v>
      </c>
      <c r="Q44" s="245"/>
      <c r="R44" s="246">
        <v>0.72</v>
      </c>
      <c r="S44" s="246"/>
    </row>
    <row r="45" spans="1:19" customFormat="1" ht="20.100000000000001" customHeight="1">
      <c r="C45" s="3"/>
      <c r="D45" s="24"/>
      <c r="E45" s="25"/>
      <c r="F45" s="25"/>
      <c r="G45" s="22">
        <v>667</v>
      </c>
      <c r="H45" s="22">
        <v>15</v>
      </c>
      <c r="I45" s="22">
        <v>300</v>
      </c>
      <c r="J45" s="22">
        <v>5.4</v>
      </c>
      <c r="K45" s="22">
        <v>234</v>
      </c>
      <c r="L45" s="22">
        <v>0.34</v>
      </c>
      <c r="M45" s="22">
        <v>0.4</v>
      </c>
      <c r="N45" s="22">
        <v>5.26</v>
      </c>
      <c r="O45" s="22">
        <v>33.4</v>
      </c>
      <c r="P45" s="37"/>
      <c r="Q45" s="37"/>
      <c r="R45" s="23"/>
      <c r="S45" s="23"/>
    </row>
    <row r="46" spans="1:19" customFormat="1" ht="20.100000000000001" customHeight="1">
      <c r="A46" s="2"/>
      <c r="B46" s="2"/>
      <c r="C46" s="3"/>
      <c r="D46" s="4"/>
      <c r="E46" s="5"/>
      <c r="F46" s="5"/>
      <c r="G46" s="5"/>
      <c r="H46" s="5"/>
      <c r="I46" s="5"/>
      <c r="J46" s="2"/>
      <c r="K46" s="5"/>
      <c r="L46" s="5"/>
      <c r="M46" s="5"/>
      <c r="N46" s="5"/>
      <c r="O46" s="6"/>
    </row>
    <row r="47" spans="1:19" customFormat="1" ht="20.100000000000001" customHeight="1">
      <c r="A47" s="2"/>
      <c r="B47" s="2"/>
      <c r="C47" s="2"/>
      <c r="D47" s="4"/>
      <c r="E47" s="2"/>
      <c r="F47" s="2"/>
      <c r="G47" s="5"/>
      <c r="H47" s="5"/>
      <c r="I47" s="5"/>
      <c r="J47" s="5"/>
      <c r="K47" s="5"/>
      <c r="L47" s="5"/>
      <c r="M47" s="5"/>
      <c r="N47" s="5"/>
      <c r="O47" s="6"/>
    </row>
    <row r="48" spans="1:19" ht="12">
      <c r="C48" s="2"/>
    </row>
    <row r="49" spans="3:3" ht="12">
      <c r="C49" s="2"/>
    </row>
    <row r="1355" spans="4:4">
      <c r="D1355" s="2">
        <v>240</v>
      </c>
    </row>
  </sheetData>
  <mergeCells count="41">
    <mergeCell ref="K7:L7"/>
    <mergeCell ref="H7:J7"/>
    <mergeCell ref="F7:G7"/>
    <mergeCell ref="D7:E7"/>
    <mergeCell ref="M8:N8"/>
    <mergeCell ref="K8:L8"/>
    <mergeCell ref="H8:J8"/>
    <mergeCell ref="F8:G8"/>
    <mergeCell ref="D8:E8"/>
    <mergeCell ref="P6:R7"/>
    <mergeCell ref="A44:O44"/>
    <mergeCell ref="P44:Q44"/>
    <mergeCell ref="R44:S44"/>
    <mergeCell ref="A42:O42"/>
    <mergeCell ref="P42:Q42"/>
    <mergeCell ref="R42:S42"/>
    <mergeCell ref="A43:O43"/>
    <mergeCell ref="P43:Q43"/>
    <mergeCell ref="R43:S43"/>
    <mergeCell ref="A7:C7"/>
    <mergeCell ref="A41:O41"/>
    <mergeCell ref="A8:C8"/>
    <mergeCell ref="O8:O9"/>
    <mergeCell ref="A9:C9"/>
    <mergeCell ref="D9:N9"/>
    <mergeCell ref="A40:O40"/>
    <mergeCell ref="A39:D39"/>
    <mergeCell ref="A1:B1"/>
    <mergeCell ref="C1:D1"/>
    <mergeCell ref="K1:K4"/>
    <mergeCell ref="D2:E2"/>
    <mergeCell ref="L2:L4"/>
    <mergeCell ref="A3:B3"/>
    <mergeCell ref="C3:D3"/>
    <mergeCell ref="N2:N4"/>
    <mergeCell ref="O2:O4"/>
    <mergeCell ref="L5:M5"/>
    <mergeCell ref="A6:N6"/>
    <mergeCell ref="O6:O7"/>
    <mergeCell ref="M2:M4"/>
    <mergeCell ref="M7:N7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4" orientation="portrait" r:id="rId1"/>
  <headerFooter alignWithMargins="0">
    <oddHeader>&amp;C&amp;"굴림체,굵게"&amp;18
학    교    급    식    일    지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6E99-A5AA-407D-9AE0-FBD371D44146}">
  <sheetPr>
    <tabColor rgb="FFFFFF00"/>
    <pageSetUpPr fitToPage="1"/>
  </sheetPr>
  <dimension ref="A1:S1348"/>
  <sheetViews>
    <sheetView view="pageBreakPreview" zoomScale="85" zoomScaleNormal="85" zoomScaleSheetLayoutView="85" workbookViewId="0">
      <pane xSplit="3" ySplit="10" topLeftCell="D17" activePane="bottomRight" state="frozen"/>
      <selection activeCell="K24" sqref="K24"/>
      <selection pane="topRight" activeCell="K24" sqref="K24"/>
      <selection pane="bottomLeft" activeCell="K24" sqref="K24"/>
      <selection pane="bottomRight" activeCell="D9" sqref="D9:N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9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8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45754</v>
      </c>
      <c r="D3" s="201"/>
      <c r="E3" s="26" t="s">
        <v>2253</v>
      </c>
      <c r="F3" s="31"/>
      <c r="G3" s="31"/>
      <c r="H3" s="31"/>
      <c r="I3" s="13"/>
      <c r="J3" s="13"/>
      <c r="K3" s="202"/>
      <c r="L3" s="208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8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181</v>
      </c>
      <c r="E8" s="226"/>
      <c r="F8" s="226">
        <v>88</v>
      </c>
      <c r="G8" s="226"/>
      <c r="H8" s="226">
        <v>107</v>
      </c>
      <c r="I8" s="226"/>
      <c r="J8" s="226"/>
      <c r="K8" s="226">
        <f>SUM(D8:J8)</f>
        <v>376</v>
      </c>
      <c r="L8" s="226"/>
      <c r="M8" s="226">
        <v>2</v>
      </c>
      <c r="N8" s="227"/>
      <c r="O8" s="228">
        <f>SUM(K8:N8)</f>
        <v>378</v>
      </c>
    </row>
    <row r="9" spans="1:18" customFormat="1" ht="20.100000000000001" customHeight="1">
      <c r="A9" s="230" t="s">
        <v>0</v>
      </c>
      <c r="B9" s="231"/>
      <c r="C9" s="232"/>
      <c r="D9" s="233" t="s">
        <v>2455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f>ROW()-10</f>
        <v>1</v>
      </c>
      <c r="B11" s="30" t="s">
        <v>2377</v>
      </c>
      <c r="C11" s="22" t="s">
        <v>140</v>
      </c>
      <c r="D11" s="16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38">
        <f t="shared" ref="P11:P32" si="0">D11</f>
        <v>100</v>
      </c>
      <c r="Q11" s="17">
        <f t="shared" ref="Q11:Q32" si="1">($O$8*P11)/1000</f>
        <v>37.799999999999997</v>
      </c>
      <c r="R11" s="18">
        <f t="shared" ref="R11:R32" si="2">INT(Q11)</f>
        <v>37</v>
      </c>
    </row>
    <row r="12" spans="1:18" customFormat="1" ht="27.75" customHeight="1">
      <c r="A12" s="42">
        <f t="shared" ref="A12:A31" si="3">ROW()-10</f>
        <v>2</v>
      </c>
      <c r="B12" s="30" t="s">
        <v>2378</v>
      </c>
      <c r="C12" s="22" t="s">
        <v>992</v>
      </c>
      <c r="D12" s="16">
        <v>1</v>
      </c>
      <c r="E12" s="168">
        <f>IF($C12="","",VLOOKUP($C12,성분!$B$2:$O$51519,3,FALSE))/100*P12</f>
        <v>5.4</v>
      </c>
      <c r="F12" s="168">
        <f>IF($C12="","",VLOOKUP($C12,성분!$B$2:$O$51519,5,FALSE))/100*$P12</f>
        <v>3.7699999999999997E-2</v>
      </c>
      <c r="G12" s="168">
        <f>IF($C12="","",VLOOKUP($C12,성분!$B$2:$O$51519,4,FALSE))/100*$P12</f>
        <v>0.16</v>
      </c>
      <c r="H12" s="168">
        <f>IF($C12="","",VLOOKUP($C12,성분!$B$2:$O$51519,6,FALSE))/100*$P12</f>
        <v>0.39500000000000002</v>
      </c>
      <c r="I12" s="168">
        <f>IF($C12="","",VLOOKUP($C12,성분!$B$2:$O$51519,7,FALSE))/100*$P12</f>
        <v>2.76</v>
      </c>
      <c r="J12" s="168">
        <f>IF($C12="","",VLOOKUP($C12,성분!$B$2:$O$51519,8,FALSE))/100*$P12</f>
        <v>7.4999999999999997E-2</v>
      </c>
      <c r="K12" s="168">
        <f>IF($C12="","",VLOOKUP($C12,성분!$B$2:$O$51519,9,FALSE))/100*$P12</f>
        <v>0.02</v>
      </c>
      <c r="L12" s="168">
        <f>IF($C12="","",VLOOKUP($C12,성분!$B$2:$O$51519,10,FALSE))/100*$P12</f>
        <v>2E-3</v>
      </c>
      <c r="M12" s="168">
        <f>IF($C12="","",VLOOKUP($C12,성분!$B$2:$O$51519,11,FALSE))/100*$P12</f>
        <v>5.0000000000000001E-3</v>
      </c>
      <c r="N12" s="168">
        <f>IF($C12="","",VLOOKUP($C12,성분!$B$2:$O$51519,12,FALSE))/100*$P12</f>
        <v>0.06</v>
      </c>
      <c r="O12" s="167">
        <f>IF($C12="","",VLOOKUP($C12,성분!$B$2:$O$51519,13,FALSE))/100*$P12</f>
        <v>0</v>
      </c>
      <c r="P12" s="38">
        <f t="shared" si="0"/>
        <v>1</v>
      </c>
      <c r="Q12" s="17">
        <f t="shared" si="1"/>
        <v>0.378</v>
      </c>
      <c r="R12" s="18">
        <f t="shared" si="2"/>
        <v>0</v>
      </c>
    </row>
    <row r="13" spans="1:18" customFormat="1" ht="27.75" customHeight="1">
      <c r="A13" s="42">
        <f t="shared" si="3"/>
        <v>3</v>
      </c>
      <c r="B13" s="30"/>
      <c r="C13" s="22" t="s">
        <v>1335</v>
      </c>
      <c r="D13" s="16">
        <v>3.5</v>
      </c>
      <c r="E13" s="168">
        <f>IF($C13="","",VLOOKUP($C13,성분!$B$2:$O$51519,3,FALSE))/100*P13</f>
        <v>6.6499999999999995</v>
      </c>
      <c r="F13" s="168">
        <f>IF($C13="","",VLOOKUP($C13,성분!$B$2:$O$51519,5,FALSE))/100*$P13</f>
        <v>1.2705</v>
      </c>
      <c r="G13" s="168">
        <f>IF($C13="","",VLOOKUP($C13,성분!$B$2:$O$51519,4,FALSE))/100*$P13</f>
        <v>0.47250000000000003</v>
      </c>
      <c r="H13" s="168">
        <f>IF($C13="","",VLOOKUP($C13,성분!$B$2:$O$51519,6,FALSE))/100*$P13</f>
        <v>3.15E-2</v>
      </c>
      <c r="I13" s="168">
        <f>IF($C13="","",VLOOKUP($C13,성분!$B$2:$O$51519,7,FALSE))/100*$P13</f>
        <v>32.199999999999996</v>
      </c>
      <c r="J13" s="168">
        <f>IF($C13="","",VLOOKUP($C13,성분!$B$2:$O$51519,8,FALSE))/100*$P13</f>
        <v>0.26600000000000001</v>
      </c>
      <c r="K13" s="168">
        <f>IF($C13="","",VLOOKUP($C13,성분!$B$2:$O$51519,9,FALSE))/100*$P13</f>
        <v>2.1</v>
      </c>
      <c r="L13" s="168">
        <f>IF($C13="","",VLOOKUP($C13,성분!$B$2:$O$51519,10,FALSE))/100*$P13</f>
        <v>8.7500000000000008E-3</v>
      </c>
      <c r="M13" s="168">
        <f>IF($C13="","",VLOOKUP($C13,성분!$B$2:$O$51519,11,FALSE))/100*$P13</f>
        <v>3.6750000000000005E-2</v>
      </c>
      <c r="N13" s="168">
        <f>IF($C13="","",VLOOKUP($C13,성분!$B$2:$O$51519,12,FALSE))/100*$P13</f>
        <v>0.28000000000000003</v>
      </c>
      <c r="O13" s="167">
        <f>IF($C13="","",VLOOKUP($C13,성분!$B$2:$O$51519,13,FALSE))/100*$P13</f>
        <v>0.49000000000000005</v>
      </c>
      <c r="P13" s="38">
        <f t="shared" si="0"/>
        <v>3.5</v>
      </c>
      <c r="Q13" s="17">
        <f t="shared" si="1"/>
        <v>1.323</v>
      </c>
      <c r="R13" s="18">
        <f t="shared" si="2"/>
        <v>1</v>
      </c>
    </row>
    <row r="14" spans="1:18" customFormat="1" ht="27.75" customHeight="1">
      <c r="A14" s="42">
        <f t="shared" si="3"/>
        <v>4</v>
      </c>
      <c r="B14" s="30"/>
      <c r="C14" s="22" t="s">
        <v>2379</v>
      </c>
      <c r="D14" s="16">
        <v>2</v>
      </c>
      <c r="E14" s="168">
        <f>IF($C14="","",VLOOKUP($C14,성분!$B$2:$O$51519,3,FALSE))/100*P14</f>
        <v>6.06</v>
      </c>
      <c r="F14" s="168">
        <f>IF($C14="","",VLOOKUP($C14,성분!$B$2:$O$51519,5,FALSE))/100*$P14</f>
        <v>6.0000000000000001E-3</v>
      </c>
      <c r="G14" s="168">
        <f>IF($C14="","",VLOOKUP($C14,성분!$B$2:$O$51519,4,FALSE))/100*$P14</f>
        <v>0.66</v>
      </c>
      <c r="H14" s="168">
        <f>IF($C14="","",VLOOKUP($C14,성분!$B$2:$O$51519,6,FALSE))/100*$P14</f>
        <v>0.14599999999999999</v>
      </c>
      <c r="I14" s="168">
        <f>IF($C14="","",VLOOKUP($C14,성분!$B$2:$O$51519,7,FALSE))/100*$P14</f>
        <v>34</v>
      </c>
      <c r="J14" s="168">
        <f>IF($C14="","",VLOOKUP($C14,성분!$B$2:$O$51519,8,FALSE))/100*$P14</f>
        <v>0.08</v>
      </c>
      <c r="K14" s="168">
        <f>IF($C14="","",VLOOKUP($C14,성분!$B$2:$O$51519,9,FALSE))/100*$P14</f>
        <v>0</v>
      </c>
      <c r="L14" s="168">
        <f>IF($C14="","",VLOOKUP($C14,성분!$B$2:$O$51519,10,FALSE))/100*$P14</f>
        <v>2.8000000000000004E-3</v>
      </c>
      <c r="M14" s="168">
        <f>IF($C14="","",VLOOKUP($C14,성분!$B$2:$O$51519,11,FALSE))/100*$P14</f>
        <v>2.3999999999999998E-3</v>
      </c>
      <c r="N14" s="168">
        <f>IF($C14="","",VLOOKUP($C14,성분!$B$2:$O$51519,12,FALSE))/100*$P14</f>
        <v>0.04</v>
      </c>
      <c r="O14" s="167">
        <f>IF($C14="","",VLOOKUP($C14,성분!$B$2:$O$51519,13,FALSE))/100*$P14</f>
        <v>0</v>
      </c>
      <c r="P14" s="38">
        <f t="shared" si="0"/>
        <v>2</v>
      </c>
      <c r="Q14" s="17">
        <f t="shared" si="1"/>
        <v>0.75600000000000001</v>
      </c>
      <c r="R14" s="18">
        <f t="shared" si="2"/>
        <v>0</v>
      </c>
    </row>
    <row r="15" spans="1:18" customFormat="1" ht="27.75" customHeight="1">
      <c r="A15" s="42">
        <f t="shared" si="3"/>
        <v>5</v>
      </c>
      <c r="B15" s="30"/>
      <c r="C15" s="22" t="s">
        <v>2380</v>
      </c>
      <c r="D15" s="16">
        <v>2</v>
      </c>
      <c r="E15" s="168">
        <f>IF($C15="","",VLOOKUP($C15,성분!$B$2:$O$51519,3,FALSE))/100*P15</f>
        <v>3.78</v>
      </c>
      <c r="F15" s="168">
        <f>IF($C15="","",VLOOKUP($C15,성분!$B$2:$O$51519,5,FALSE))/100*$P15</f>
        <v>0.90400000000000003</v>
      </c>
      <c r="G15" s="168">
        <f>IF($C15="","",VLOOKUP($C15,성분!$B$2:$O$51519,4,FALSE))/100*$P15</f>
        <v>0.14800000000000002</v>
      </c>
      <c r="H15" s="168">
        <f>IF($C15="","",VLOOKUP($C15,성분!$B$2:$O$51519,6,FALSE))/100*$P15</f>
        <v>2.2000000000000002E-2</v>
      </c>
      <c r="I15" s="168">
        <f>IF($C15="","",VLOOKUP($C15,성분!$B$2:$O$51519,7,FALSE))/100*$P15</f>
        <v>14.16</v>
      </c>
      <c r="J15" s="168">
        <f>IF($C15="","",VLOOKUP($C15,성분!$B$2:$O$51519,8,FALSE))/100*$P15</f>
        <v>0.126</v>
      </c>
      <c r="K15" s="168">
        <f>IF($C15="","",VLOOKUP($C15,성분!$B$2:$O$51519,9,FALSE))/100*$P15</f>
        <v>1.92</v>
      </c>
      <c r="L15" s="168">
        <f>IF($C15="","",VLOOKUP($C15,성분!$B$2:$O$51519,10,FALSE))/100*$P15</f>
        <v>4.4000000000000003E-3</v>
      </c>
      <c r="M15" s="168">
        <f>IF($C15="","",VLOOKUP($C15,성분!$B$2:$O$51519,11,FALSE))/100*$P15</f>
        <v>9.0000000000000011E-3</v>
      </c>
      <c r="N15" s="168">
        <f>IF($C15="","",VLOOKUP($C15,성분!$B$2:$O$51519,12,FALSE))/100*$P15</f>
        <v>0.09</v>
      </c>
      <c r="O15" s="167">
        <f>IF($C15="","",VLOOKUP($C15,성분!$B$2:$O$51519,13,FALSE))/100*$P15</f>
        <v>0.36</v>
      </c>
      <c r="P15" s="38">
        <f t="shared" si="0"/>
        <v>2</v>
      </c>
      <c r="Q15" s="17">
        <f t="shared" si="1"/>
        <v>0.75600000000000001</v>
      </c>
      <c r="R15" s="18">
        <f t="shared" si="2"/>
        <v>0</v>
      </c>
    </row>
    <row r="16" spans="1:18" customFormat="1" ht="27.75" customHeight="1">
      <c r="A16" s="42">
        <f t="shared" si="3"/>
        <v>6</v>
      </c>
      <c r="B16" s="164" t="s">
        <v>2456</v>
      </c>
      <c r="C16" s="163" t="s">
        <v>2460</v>
      </c>
      <c r="D16" s="161">
        <v>70</v>
      </c>
      <c r="E16" s="168">
        <f>IF($C16="","",VLOOKUP($C16,성분!$B$2:$O$51519,3,FALSE))/100*P16</f>
        <v>71.400000000000006</v>
      </c>
      <c r="F16" s="168">
        <f>IF($C16="","",VLOOKUP($C16,성분!$B$2:$O$51519,5,FALSE))/100*$P16</f>
        <v>0</v>
      </c>
      <c r="G16" s="168">
        <f>IF($C16="","",VLOOKUP($C16,성분!$B$2:$O$51519,4,FALSE))/100*$P16</f>
        <v>8.0220000000000002</v>
      </c>
      <c r="H16" s="168">
        <f>IF($C16="","",VLOOKUP($C16,성분!$B$2:$O$51519,6,FALSE))/100*$P16</f>
        <v>8.9529999999999994</v>
      </c>
      <c r="I16" s="168">
        <f>IF($C16="","",VLOOKUP($C16,성분!$B$2:$O$51519,7,FALSE))/100*$P16</f>
        <v>4.3889999999999993</v>
      </c>
      <c r="J16" s="168">
        <f>IF($C16="","",VLOOKUP($C16,성분!$B$2:$O$51519,8,FALSE))/100*$P16</f>
        <v>0.39899999999999997</v>
      </c>
      <c r="K16" s="168">
        <f>IF($C16="","",VLOOKUP($C16,성분!$B$2:$O$51519,9,FALSE))/100*$P16</f>
        <v>5.9850000000000003</v>
      </c>
      <c r="L16" s="168">
        <f>IF($C16="","",VLOOKUP($C16,성분!$B$2:$O$51519,10,FALSE))/100*$P16</f>
        <v>3.5000000000000003E-2</v>
      </c>
      <c r="M16" s="168">
        <f>IF($C16="","",VLOOKUP($C16,성분!$B$2:$O$51519,11,FALSE))/100*$P16</f>
        <v>7.6999999999999999E-2</v>
      </c>
      <c r="N16" s="168">
        <f>IF($C16="","",VLOOKUP($C16,성분!$B$2:$O$51519,12,FALSE))/100*$P16</f>
        <v>0</v>
      </c>
      <c r="O16" s="167">
        <f>IF($C16="","",VLOOKUP($C16,성분!$B$2:$O$51519,13,FALSE))/100*$P16</f>
        <v>0.49699999999999994</v>
      </c>
      <c r="P16" s="38">
        <f t="shared" si="0"/>
        <v>70</v>
      </c>
      <c r="Q16" s="17">
        <f t="shared" si="1"/>
        <v>26.46</v>
      </c>
      <c r="R16" s="18">
        <f t="shared" si="2"/>
        <v>26</v>
      </c>
    </row>
    <row r="17" spans="1:18" s="160" customFormat="1" ht="27.75" customHeight="1">
      <c r="A17" s="166">
        <f t="shared" si="3"/>
        <v>7</v>
      </c>
      <c r="B17" s="171"/>
      <c r="C17" s="169" t="s">
        <v>2461</v>
      </c>
      <c r="D17" s="168">
        <v>50</v>
      </c>
      <c r="E17" s="168">
        <f>IF($C17="","",VLOOKUP($C17,성분!$B$2:$O$51519,3,FALSE))/100*P17</f>
        <v>57.499999999999993</v>
      </c>
      <c r="F17" s="168">
        <f>IF($C17="","",VLOOKUP($C17,성분!$B$2:$O$51519,5,FALSE))/100*$P17</f>
        <v>0.05</v>
      </c>
      <c r="G17" s="168">
        <f>IF($C17="","",VLOOKUP($C17,성분!$B$2:$O$51519,4,FALSE))/100*$P17</f>
        <v>12</v>
      </c>
      <c r="H17" s="168">
        <f>IF($C17="","",VLOOKUP($C17,성분!$B$2:$O$51519,6,FALSE))/100*$P17</f>
        <v>0.7</v>
      </c>
      <c r="I17" s="168">
        <f>IF($C17="","",VLOOKUP($C17,성분!$B$2:$O$51519,7,FALSE))/100*$P17</f>
        <v>5.5</v>
      </c>
      <c r="J17" s="168">
        <f>IF($C17="","",VLOOKUP($C17,성분!$B$2:$O$51519,8,FALSE))/100*$P17</f>
        <v>0.55000000000000004</v>
      </c>
      <c r="K17" s="168">
        <f>IF($C17="","",VLOOKUP($C17,성분!$B$2:$O$51519,9,FALSE))/100*$P17</f>
        <v>0</v>
      </c>
      <c r="L17" s="168">
        <f>IF($C17="","",VLOOKUP($C17,성분!$B$2:$O$51519,10,FALSE))/100*$P17</f>
        <v>0.1</v>
      </c>
      <c r="M17" s="168">
        <f>IF($C17="","",VLOOKUP($C17,성분!$B$2:$O$51519,11,FALSE))/100*$P17</f>
        <v>0.105</v>
      </c>
      <c r="N17" s="168">
        <f>IF($C17="","",VLOOKUP($C17,성분!$B$2:$O$51519,12,FALSE))/100*$P17</f>
        <v>1.45</v>
      </c>
      <c r="O17" s="167">
        <f>IF($C17="","",VLOOKUP($C17,성분!$B$2:$O$51519,13,FALSE))/100*$P17</f>
        <v>0</v>
      </c>
      <c r="P17" s="165">
        <f t="shared" ref="P17" si="4">D17</f>
        <v>50</v>
      </c>
      <c r="Q17" s="162">
        <f t="shared" ref="Q17" si="5">($O$8*P17)/1000</f>
        <v>18.899999999999999</v>
      </c>
      <c r="R17" s="18">
        <f t="shared" ref="R17" si="6">INT(Q17)</f>
        <v>18</v>
      </c>
    </row>
    <row r="18" spans="1:18" s="160" customFormat="1" ht="27.75" customHeight="1">
      <c r="A18" s="166">
        <f t="shared" si="3"/>
        <v>8</v>
      </c>
      <c r="B18" s="171"/>
      <c r="C18" s="169" t="s">
        <v>2198</v>
      </c>
      <c r="D18" s="168">
        <v>15</v>
      </c>
      <c r="E18" s="168">
        <f>IF($C18="","",VLOOKUP($C18,성분!$B$2:$O$51519,3,FALSE))/100*P18</f>
        <v>19.5</v>
      </c>
      <c r="F18" s="168">
        <f>IF($C18="","",VLOOKUP($C18,성분!$B$2:$O$51519,5,FALSE))/100*$P18</f>
        <v>2.1</v>
      </c>
      <c r="G18" s="168">
        <f>IF($C18="","",VLOOKUP($C18,성분!$B$2:$O$51519,4,FALSE))/100*$P18</f>
        <v>0.375</v>
      </c>
      <c r="H18" s="168">
        <f>IF($C18="","",VLOOKUP($C18,성분!$B$2:$O$51519,6,FALSE))/100*$P18</f>
        <v>1.35E-2</v>
      </c>
      <c r="I18" s="168">
        <f>IF($C18="","",VLOOKUP($C18,성분!$B$2:$O$51519,7,FALSE))/100*$P18</f>
        <v>0.89999999999999991</v>
      </c>
      <c r="J18" s="168">
        <f>IF($C18="","",VLOOKUP($C18,성분!$B$2:$O$51519,8,FALSE))/100*$P18</f>
        <v>0.12</v>
      </c>
      <c r="K18" s="168">
        <f>IF($C18="","",VLOOKUP($C18,성분!$B$2:$O$51519,9,FALSE))/100*$P18</f>
        <v>0</v>
      </c>
      <c r="L18" s="168">
        <f>IF($C18="","",VLOOKUP($C18,성분!$B$2:$O$51519,10,FALSE))/100*$P18</f>
        <v>1.2E-2</v>
      </c>
      <c r="M18" s="168">
        <f>IF($C18="","",VLOOKUP($C18,성분!$B$2:$O$51519,11,FALSE))/100*$P18</f>
        <v>4.4999999999999997E-3</v>
      </c>
      <c r="N18" s="168">
        <f>IF($C18="","",VLOOKUP($C18,성분!$B$2:$O$51519,12,FALSE))/100*$P18</f>
        <v>0.19500000000000001</v>
      </c>
      <c r="O18" s="167">
        <f>IF($C18="","",VLOOKUP($C18,성분!$B$2:$O$51519,13,FALSE))/100*$P18</f>
        <v>3.15</v>
      </c>
      <c r="P18" s="165">
        <f t="shared" si="0"/>
        <v>15</v>
      </c>
      <c r="Q18" s="162">
        <f t="shared" si="1"/>
        <v>5.67</v>
      </c>
      <c r="R18" s="18">
        <f t="shared" si="2"/>
        <v>5</v>
      </c>
    </row>
    <row r="19" spans="1:18" s="160" customFormat="1" ht="27.75" customHeight="1">
      <c r="A19" s="166">
        <f t="shared" si="3"/>
        <v>9</v>
      </c>
      <c r="B19" s="171"/>
      <c r="C19" s="169" t="s">
        <v>1190</v>
      </c>
      <c r="D19" s="168">
        <v>15</v>
      </c>
      <c r="E19" s="168">
        <f>IF($C19="","",VLOOKUP($C19,성분!$B$2:$O$51519,3,FALSE))/100*P19</f>
        <v>5.25</v>
      </c>
      <c r="F19" s="168">
        <f>IF($C19="","",VLOOKUP($C19,성분!$B$2:$O$51519,5,FALSE))/100*$P19</f>
        <v>1.149</v>
      </c>
      <c r="G19" s="168">
        <f>IF($C19="","",VLOOKUP($C19,성분!$B$2:$O$51519,4,FALSE))/100*$P19</f>
        <v>0.15</v>
      </c>
      <c r="H19" s="168">
        <f>IF($C19="","",VLOOKUP($C19,성분!$B$2:$O$51519,6,FALSE))/100*$P19</f>
        <v>2.8500000000000001E-2</v>
      </c>
      <c r="I19" s="168">
        <f>IF($C19="","",VLOOKUP($C19,성분!$B$2:$O$51519,7,FALSE))/100*$P19</f>
        <v>2.25</v>
      </c>
      <c r="J19" s="168">
        <f>IF($C19="","",VLOOKUP($C19,성분!$B$2:$O$51519,8,FALSE))/100*$P19</f>
        <v>4.4999999999999998E-2</v>
      </c>
      <c r="K19" s="168">
        <f>IF($C19="","",VLOOKUP($C19,성분!$B$2:$O$51519,9,FALSE))/100*$P19</f>
        <v>0</v>
      </c>
      <c r="L19" s="168">
        <f>IF($C19="","",VLOOKUP($C19,성분!$B$2:$O$51519,10,FALSE))/100*$P19</f>
        <v>6.0000000000000001E-3</v>
      </c>
      <c r="M19" s="168">
        <f>IF($C19="","",VLOOKUP($C19,성분!$B$2:$O$51519,11,FALSE))/100*$P19</f>
        <v>1.5E-3</v>
      </c>
      <c r="N19" s="168">
        <f>IF($C19="","",VLOOKUP($C19,성분!$B$2:$O$51519,12,FALSE))/100*$P19</f>
        <v>0.03</v>
      </c>
      <c r="O19" s="167">
        <f>IF($C19="","",VLOOKUP($C19,성분!$B$2:$O$51519,13,FALSE))/100*$P19</f>
        <v>1.2</v>
      </c>
      <c r="P19" s="165">
        <f t="shared" ref="P19:P22" si="7">D19</f>
        <v>15</v>
      </c>
      <c r="Q19" s="162">
        <f t="shared" ref="Q19:Q22" si="8">($O$8*P19)/1000</f>
        <v>5.67</v>
      </c>
      <c r="R19" s="18">
        <f t="shared" ref="R19:R22" si="9">INT(Q19)</f>
        <v>5</v>
      </c>
    </row>
    <row r="20" spans="1:18" s="160" customFormat="1" ht="27.75" customHeight="1">
      <c r="A20" s="166">
        <f t="shared" si="3"/>
        <v>10</v>
      </c>
      <c r="B20" s="171"/>
      <c r="C20" s="169" t="s">
        <v>1980</v>
      </c>
      <c r="D20" s="168">
        <v>10</v>
      </c>
      <c r="E20" s="168">
        <f>IF($C20="","",VLOOKUP($C20,성분!$B$2:$O$51519,3,FALSE))/100*P20</f>
        <v>3.4000000000000004</v>
      </c>
      <c r="F20" s="168">
        <f>IF($C20="","",VLOOKUP($C20,성분!$B$2:$O$51519,5,FALSE))/100*$P20</f>
        <v>0.70300000000000007</v>
      </c>
      <c r="G20" s="168">
        <f>IF($C20="","",VLOOKUP($C20,성분!$B$2:$O$51519,4,FALSE))/100*$P20</f>
        <v>0.1</v>
      </c>
      <c r="H20" s="168">
        <f>IF($C20="","",VLOOKUP($C20,성분!$B$2:$O$51519,6,FALSE))/100*$P20</f>
        <v>1.2999999999999999E-2</v>
      </c>
      <c r="I20" s="168">
        <f>IF($C20="","",VLOOKUP($C20,성분!$B$2:$O$51519,7,FALSE))/100*$P20</f>
        <v>3.8</v>
      </c>
      <c r="J20" s="168">
        <f>IF($C20="","",VLOOKUP($C20,성분!$B$2:$O$51519,8,FALSE))/100*$P20</f>
        <v>6.9999999999999993E-2</v>
      </c>
      <c r="K20" s="168">
        <f>IF($C20="","",VLOOKUP($C20,성분!$B$2:$O$51519,9,FALSE))/100*$P20</f>
        <v>125.7</v>
      </c>
      <c r="L20" s="168">
        <f>IF($C20="","",VLOOKUP($C20,성분!$B$2:$O$51519,10,FALSE))/100*$P20</f>
        <v>5.9999999999999993E-3</v>
      </c>
      <c r="M20" s="168">
        <f>IF($C20="","",VLOOKUP($C20,성분!$B$2:$O$51519,11,FALSE))/100*$P20</f>
        <v>4.0000000000000001E-3</v>
      </c>
      <c r="N20" s="168">
        <f>IF($C20="","",VLOOKUP($C20,성분!$B$2:$O$51519,12,FALSE))/100*$P20</f>
        <v>0.08</v>
      </c>
      <c r="O20" s="167">
        <f>IF($C20="","",VLOOKUP($C20,성분!$B$2:$O$51519,13,FALSE))/100*$P20</f>
        <v>0.6</v>
      </c>
      <c r="P20" s="165">
        <f t="shared" si="7"/>
        <v>10</v>
      </c>
      <c r="Q20" s="162">
        <f t="shared" si="8"/>
        <v>3.78</v>
      </c>
      <c r="R20" s="18">
        <f t="shared" si="9"/>
        <v>3</v>
      </c>
    </row>
    <row r="21" spans="1:18" s="160" customFormat="1" ht="27.75" customHeight="1">
      <c r="A21" s="166">
        <f t="shared" si="3"/>
        <v>11</v>
      </c>
      <c r="B21" s="171"/>
      <c r="C21" s="169" t="s">
        <v>2457</v>
      </c>
      <c r="D21" s="168">
        <v>20</v>
      </c>
      <c r="E21" s="168">
        <f>IF($C21="","",VLOOKUP($C21,성분!$B$2:$O$51519,3,FALSE))/100*P21</f>
        <v>22</v>
      </c>
      <c r="F21" s="168">
        <f>IF($C21="","",VLOOKUP($C21,성분!$B$2:$O$51519,5,FALSE))/100*$P21</f>
        <v>9.5</v>
      </c>
      <c r="G21" s="168">
        <f>IF($C21="","",VLOOKUP($C21,성분!$B$2:$O$51519,4,FALSE))/100*$P21</f>
        <v>0.70000000000000007</v>
      </c>
      <c r="H21" s="168">
        <f>IF($C21="","",VLOOKUP($C21,성분!$B$2:$O$51519,6,FALSE))/100*$P21</f>
        <v>0.1</v>
      </c>
      <c r="I21" s="168">
        <f>IF($C21="","",VLOOKUP($C21,성분!$B$2:$O$51519,7,FALSE))/100*$P21</f>
        <v>0.8</v>
      </c>
      <c r="J21" s="168">
        <f>IF($C21="","",VLOOKUP($C21,성분!$B$2:$O$51519,8,FALSE))/100*$P21</f>
        <v>0.2</v>
      </c>
      <c r="K21" s="168">
        <f>IF($C21="","",VLOOKUP($C21,성분!$B$2:$O$51519,9,FALSE))/100*$P21</f>
        <v>0</v>
      </c>
      <c r="L21" s="168">
        <f>IF($C21="","",VLOOKUP($C21,성분!$B$2:$O$51519,10,FALSE))/100*$P21</f>
        <v>4.0000000000000001E-3</v>
      </c>
      <c r="M21" s="168">
        <f>IF($C21="","",VLOOKUP($C21,성분!$B$2:$O$51519,11,FALSE))/100*$P21</f>
        <v>2E-3</v>
      </c>
      <c r="N21" s="168">
        <f>IF($C21="","",VLOOKUP($C21,성분!$B$2:$O$51519,12,FALSE))/100*$P21</f>
        <v>0.13999999999999999</v>
      </c>
      <c r="O21" s="167">
        <f>IF($C21="","",VLOOKUP($C21,성분!$B$2:$O$51519,13,FALSE))/100*$P21</f>
        <v>0</v>
      </c>
      <c r="P21" s="165">
        <f t="shared" si="7"/>
        <v>20</v>
      </c>
      <c r="Q21" s="162">
        <f t="shared" si="8"/>
        <v>7.56</v>
      </c>
      <c r="R21" s="18">
        <f t="shared" si="9"/>
        <v>7</v>
      </c>
    </row>
    <row r="22" spans="1:18" s="160" customFormat="1" ht="27.75" customHeight="1">
      <c r="A22" s="166">
        <f t="shared" si="3"/>
        <v>12</v>
      </c>
      <c r="B22" s="171"/>
      <c r="C22" s="169" t="s">
        <v>2458</v>
      </c>
      <c r="D22" s="168">
        <v>20</v>
      </c>
      <c r="E22" s="168">
        <f>IF($C22="","",VLOOKUP($C22,성분!$B$2:$O$51519,3,FALSE))/100*P22</f>
        <v>20</v>
      </c>
      <c r="F22" s="168">
        <f>IF($C22="","",VLOOKUP($C22,성분!$B$2:$O$51519,5,FALSE))/100*$P22</f>
        <v>2</v>
      </c>
      <c r="G22" s="168">
        <f>IF($C22="","",VLOOKUP($C22,성분!$B$2:$O$51519,4,FALSE))/100*$P22</f>
        <v>0.2</v>
      </c>
      <c r="H22" s="168">
        <f>IF($C22="","",VLOOKUP($C22,성분!$B$2:$O$51519,6,FALSE))/100*$P22</f>
        <v>1.2</v>
      </c>
      <c r="I22" s="168">
        <f>IF($C22="","",VLOOKUP($C22,성분!$B$2:$O$51519,7,FALSE))/100*$P22</f>
        <v>0</v>
      </c>
      <c r="J22" s="168">
        <f>IF($C22="","",VLOOKUP($C22,성분!$B$2:$O$51519,8,FALSE))/100*$P22</f>
        <v>0</v>
      </c>
      <c r="K22" s="168">
        <f>IF($C22="","",VLOOKUP($C22,성분!$B$2:$O$51519,9,FALSE))/100*$P22</f>
        <v>0</v>
      </c>
      <c r="L22" s="168">
        <f>IF($C22="","",VLOOKUP($C22,성분!$B$2:$O$51519,10,FALSE))/100*$P22</f>
        <v>0</v>
      </c>
      <c r="M22" s="168">
        <f>IF($C22="","",VLOOKUP($C22,성분!$B$2:$O$51519,11,FALSE))/100*$P22</f>
        <v>0</v>
      </c>
      <c r="N22" s="168">
        <f>IF($C22="","",VLOOKUP($C22,성분!$B$2:$O$51519,12,FALSE))/100*$P22</f>
        <v>0</v>
      </c>
      <c r="O22" s="167">
        <f>IF($C22="","",VLOOKUP($C22,성분!$B$2:$O$51519,13,FALSE))/100*$P22</f>
        <v>0</v>
      </c>
      <c r="P22" s="165">
        <f t="shared" si="7"/>
        <v>20</v>
      </c>
      <c r="Q22" s="162">
        <f t="shared" si="8"/>
        <v>7.56</v>
      </c>
      <c r="R22" s="18">
        <f t="shared" si="9"/>
        <v>7</v>
      </c>
    </row>
    <row r="23" spans="1:18" customFormat="1" ht="27.75" customHeight="1">
      <c r="A23" s="42">
        <f t="shared" si="3"/>
        <v>13</v>
      </c>
      <c r="B23" s="171"/>
      <c r="C23" s="169" t="s">
        <v>693</v>
      </c>
      <c r="D23" s="168">
        <v>10</v>
      </c>
      <c r="E23" s="168">
        <f>IF($C23="","",VLOOKUP($C23,성분!$B$2:$O$51519,3,FALSE))/100*P23</f>
        <v>6</v>
      </c>
      <c r="F23" s="168">
        <f>IF($C23="","",VLOOKUP($C23,성분!$B$2:$O$51519,5,FALSE))/100*$P23</f>
        <v>0.47</v>
      </c>
      <c r="G23" s="168">
        <f>IF($C23="","",VLOOKUP($C23,성분!$B$2:$O$51519,4,FALSE))/100*$P23</f>
        <v>0.32</v>
      </c>
      <c r="H23" s="168">
        <f>IF($C23="","",VLOOKUP($C23,성분!$B$2:$O$51519,6,FALSE))/100*$P23</f>
        <v>0.32</v>
      </c>
      <c r="I23" s="168">
        <f>IF($C23="","",VLOOKUP($C23,성분!$B$2:$O$51519,7,FALSE))/100*$P23</f>
        <v>10.5</v>
      </c>
      <c r="J23" s="168">
        <f>IF($C23="","",VLOOKUP($C23,성분!$B$2:$O$51519,8,FALSE))/100*$P23</f>
        <v>0.01</v>
      </c>
      <c r="K23" s="168">
        <f>IF($C23="","",VLOOKUP($C23,성분!$B$2:$O$51519,9,FALSE))/100*$P23</f>
        <v>2.8000000000000003</v>
      </c>
      <c r="L23" s="168">
        <f>IF($C23="","",VLOOKUP($C23,성분!$B$2:$O$51519,10,FALSE))/100*$P23</f>
        <v>4.0000000000000001E-3</v>
      </c>
      <c r="M23" s="168">
        <f>IF($C23="","",VLOOKUP($C23,성분!$B$2:$O$51519,11,FALSE))/100*$P23</f>
        <v>1.4000000000000002E-2</v>
      </c>
      <c r="N23" s="168">
        <f>IF($C23="","",VLOOKUP($C23,성분!$B$2:$O$51519,12,FALSE))/100*$P23</f>
        <v>0.01</v>
      </c>
      <c r="O23" s="167">
        <f>IF($C23="","",VLOOKUP($C23,성분!$B$2:$O$51519,13,FALSE))/100*$P23</f>
        <v>0.1</v>
      </c>
      <c r="P23" s="38">
        <f t="shared" ref="P23" si="10">D23</f>
        <v>10</v>
      </c>
      <c r="Q23" s="17">
        <f t="shared" ref="Q23" si="11">($O$8*P23)/1000</f>
        <v>3.78</v>
      </c>
      <c r="R23" s="18">
        <f t="shared" ref="R23" si="12">INT(Q23)</f>
        <v>3</v>
      </c>
    </row>
    <row r="24" spans="1:18" customFormat="1" ht="27.75" customHeight="1">
      <c r="A24" s="42">
        <f t="shared" si="3"/>
        <v>14</v>
      </c>
      <c r="B24" s="171"/>
      <c r="C24" s="169" t="s">
        <v>2459</v>
      </c>
      <c r="D24" s="168">
        <v>7</v>
      </c>
      <c r="E24" s="168">
        <f>IF($C24="","",VLOOKUP($C24,성분!$B$2:$O$51519,3,FALSE))/100*P24</f>
        <v>14.069999999999999</v>
      </c>
      <c r="F24" s="168">
        <f>IF($C24="","",VLOOKUP($C24,성분!$B$2:$O$51519,5,FALSE))/100*$P24</f>
        <v>0.28699999999999998</v>
      </c>
      <c r="G24" s="168">
        <f>IF($C24="","",VLOOKUP($C24,성분!$B$2:$O$51519,4,FALSE))/100*$P24</f>
        <v>1.7989999999999999</v>
      </c>
      <c r="H24" s="168">
        <f>IF($C24="","",VLOOKUP($C24,성분!$B$2:$O$51519,6,FALSE))/100*$P24</f>
        <v>1.05</v>
      </c>
      <c r="I24" s="168">
        <f>IF($C24="","",VLOOKUP($C24,성분!$B$2:$O$51519,7,FALSE))/100*$P24</f>
        <v>60.480000000000004</v>
      </c>
      <c r="J24" s="168">
        <f>IF($C24="","",VLOOKUP($C24,성분!$B$2:$O$51519,8,FALSE))/100*$P24</f>
        <v>2.1000000000000001E-2</v>
      </c>
      <c r="K24" s="168">
        <f>IF($C24="","",VLOOKUP($C24,성분!$B$2:$O$51519,9,FALSE))/100*$P24</f>
        <v>24.150000000000002</v>
      </c>
      <c r="L24" s="168">
        <f>IF($C24="","",VLOOKUP($C24,성분!$B$2:$O$51519,10,FALSE))/100*$P24</f>
        <v>2.8E-3</v>
      </c>
      <c r="M24" s="168">
        <f>IF($C24="","",VLOOKUP($C24,성분!$B$2:$O$51519,11,FALSE))/100*$P24</f>
        <v>3.15E-2</v>
      </c>
      <c r="N24" s="168">
        <f>IF($C24="","",VLOOKUP($C24,성분!$B$2:$O$51519,12,FALSE))/100*$P24</f>
        <v>7.0000000000000001E-3</v>
      </c>
      <c r="O24" s="167">
        <f>IF($C24="","",VLOOKUP($C24,성분!$B$2:$O$51519,13,FALSE))/100*$P24</f>
        <v>0</v>
      </c>
      <c r="P24" s="38">
        <f t="shared" si="0"/>
        <v>7</v>
      </c>
      <c r="Q24" s="17">
        <f t="shared" si="1"/>
        <v>2.6459999999999999</v>
      </c>
      <c r="R24" s="18">
        <f t="shared" si="2"/>
        <v>2</v>
      </c>
    </row>
    <row r="25" spans="1:18" customFormat="1" ht="27.75" customHeight="1">
      <c r="A25" s="42">
        <f t="shared" si="3"/>
        <v>15</v>
      </c>
      <c r="B25" s="171" t="s">
        <v>2369</v>
      </c>
      <c r="C25" s="169" t="s">
        <v>2370</v>
      </c>
      <c r="D25" s="168">
        <v>75</v>
      </c>
      <c r="E25" s="168">
        <f>IF($C25="","",VLOOKUP($C25,성분!$B$2:$O$51519,3,FALSE))/100*P25</f>
        <v>172.5</v>
      </c>
      <c r="F25" s="168">
        <f>IF($C25="","",VLOOKUP($C25,성분!$B$2:$O$51519,5,FALSE))/100*$P25</f>
        <v>38.25</v>
      </c>
      <c r="G25" s="168">
        <f>IF($C25="","",VLOOKUP($C25,성분!$B$2:$O$51519,4,FALSE))/100*$P25</f>
        <v>4.5</v>
      </c>
      <c r="H25" s="168">
        <f>IF($C25="","",VLOOKUP($C25,성분!$B$2:$O$51519,6,FALSE))/100*$P25</f>
        <v>9</v>
      </c>
      <c r="I25" s="168">
        <f>IF($C25="","",VLOOKUP($C25,성분!$B$2:$O$51519,7,FALSE))/100*$P25</f>
        <v>81.75</v>
      </c>
      <c r="J25" s="168">
        <f>IF($C25="","",VLOOKUP($C25,성분!$B$2:$O$51519,8,FALSE))/100*$P25</f>
        <v>0.22500000000000001</v>
      </c>
      <c r="K25" s="168">
        <f>IF($C25="","",VLOOKUP($C25,성분!$B$2:$O$51519,9,FALSE))/100*$P25</f>
        <v>0</v>
      </c>
      <c r="L25" s="168">
        <f>IF($C25="","",VLOOKUP($C25,성분!$B$2:$O$51519,10,FALSE))/100*$P25</f>
        <v>0</v>
      </c>
      <c r="M25" s="168">
        <f>IF($C25="","",VLOOKUP($C25,성분!$B$2:$O$51519,11,FALSE))/100*$P25</f>
        <v>0</v>
      </c>
      <c r="N25" s="168">
        <f>IF($C25="","",VLOOKUP($C25,성분!$B$2:$O$51519,12,FALSE))/100*$P25</f>
        <v>0</v>
      </c>
      <c r="O25" s="167">
        <f>IF($C25="","",VLOOKUP($C25,성분!$B$2:$O$51519,13,FALSE))/100*$P25</f>
        <v>0</v>
      </c>
      <c r="P25" s="38">
        <f t="shared" ref="P25:P29" si="13">D25</f>
        <v>75</v>
      </c>
      <c r="Q25" s="17">
        <f t="shared" ref="Q25" si="14">($O$8*P25)/1000</f>
        <v>28.35</v>
      </c>
      <c r="R25" s="18"/>
    </row>
    <row r="26" spans="1:18" customFormat="1" ht="27.75" customHeight="1">
      <c r="A26" s="42">
        <f t="shared" si="3"/>
        <v>16</v>
      </c>
      <c r="B26" s="171"/>
      <c r="C26" s="169" t="s">
        <v>2350</v>
      </c>
      <c r="D26" s="168">
        <v>2</v>
      </c>
      <c r="E26" s="168">
        <f>IF($C26="","",VLOOKUP($C26,성분!$B$2:$O$51519,3,FALSE))/100*P26</f>
        <v>1</v>
      </c>
      <c r="F26" s="168">
        <f>IF($C26="","",VLOOKUP($C26,성분!$B$2:$O$51519,5,FALSE))/100*$P26</f>
        <v>0.88</v>
      </c>
      <c r="G26" s="168">
        <f>IF($C26="","",VLOOKUP($C26,성분!$B$2:$O$51519,4,FALSE))/100*$P26</f>
        <v>0.04</v>
      </c>
      <c r="H26" s="168">
        <f>IF($C26="","",VLOOKUP($C26,성분!$B$2:$O$51519,6,FALSE))/100*$P26</f>
        <v>0</v>
      </c>
      <c r="I26" s="168">
        <f>IF($C26="","",VLOOKUP($C26,성분!$B$2:$O$51519,7,FALSE))/100*$P26</f>
        <v>0.36</v>
      </c>
      <c r="J26" s="168">
        <f>IF($C26="","",VLOOKUP($C26,성분!$B$2:$O$51519,8,FALSE))/100*$P26</f>
        <v>1.8000000000000002E-2</v>
      </c>
      <c r="K26" s="168">
        <f>IF($C26="","",VLOOKUP($C26,성분!$B$2:$O$51519,9,FALSE))/100*$P26</f>
        <v>3.16</v>
      </c>
      <c r="L26" s="168">
        <f>IF($C26="","",VLOOKUP($C26,성분!$B$2:$O$51519,10,FALSE))/100*$P26</f>
        <v>1.8E-3</v>
      </c>
      <c r="M26" s="168">
        <f>IF($C26="","",VLOOKUP($C26,성분!$B$2:$O$51519,11,FALSE))/100*$P26</f>
        <v>1.6000000000000001E-3</v>
      </c>
      <c r="N26" s="168">
        <f>IF($C26="","",VLOOKUP($C26,성분!$B$2:$O$51519,12,FALSE))/100*$P26</f>
        <v>2.6000000000000002E-2</v>
      </c>
      <c r="O26" s="167">
        <f>IF($C26="","",VLOOKUP($C26,성분!$B$2:$O$51519,13,FALSE))/100*$P26</f>
        <v>0.2</v>
      </c>
      <c r="P26" s="38">
        <f t="shared" si="13"/>
        <v>2</v>
      </c>
      <c r="Q26" s="17">
        <f t="shared" ref="Q26:Q29" si="15">($O$8*P26)/1000</f>
        <v>0.75600000000000001</v>
      </c>
      <c r="R26" s="18">
        <f t="shared" ref="R26:R29" si="16">INT(Q26)</f>
        <v>0</v>
      </c>
    </row>
    <row r="27" spans="1:18" s="160" customFormat="1" ht="27.75" customHeight="1">
      <c r="A27" s="166">
        <f t="shared" si="3"/>
        <v>17</v>
      </c>
      <c r="B27" s="171"/>
      <c r="C27" s="169" t="s">
        <v>2381</v>
      </c>
      <c r="D27" s="168">
        <v>10</v>
      </c>
      <c r="E27" s="168">
        <f>IF($C27="","",VLOOKUP($C27,성분!$B$2:$O$51519,3,FALSE))/100*P27</f>
        <v>88.4</v>
      </c>
      <c r="F27" s="168">
        <f>IF($C27="","",VLOOKUP($C27,성분!$B$2:$O$51519,5,FALSE))/100*$P27</f>
        <v>0</v>
      </c>
      <c r="G27" s="168">
        <f>IF($C27="","",VLOOKUP($C27,성분!$B$2:$O$51519,4,FALSE))/100*$P27</f>
        <v>0</v>
      </c>
      <c r="H27" s="168">
        <f>IF($C27="","",VLOOKUP($C27,성분!$B$2:$O$51519,6,FALSE))/100*$P27</f>
        <v>10</v>
      </c>
      <c r="I27" s="168">
        <f>IF($C27="","",VLOOKUP($C27,성분!$B$2:$O$51519,7,FALSE))/100*$P27</f>
        <v>0</v>
      </c>
      <c r="J27" s="168">
        <f>IF($C27="","",VLOOKUP($C27,성분!$B$2:$O$51519,8,FALSE))/100*$P27</f>
        <v>0</v>
      </c>
      <c r="K27" s="168">
        <f>IF($C27="","",VLOOKUP($C27,성분!$B$2:$O$51519,9,FALSE))/100*$P27</f>
        <v>0</v>
      </c>
      <c r="L27" s="168">
        <f>IF($C27="","",VLOOKUP($C27,성분!$B$2:$O$51519,10,FALSE))/100*$P27</f>
        <v>0</v>
      </c>
      <c r="M27" s="168">
        <f>IF($C27="","",VLOOKUP($C27,성분!$B$2:$O$51519,11,FALSE))/100*$P27</f>
        <v>0</v>
      </c>
      <c r="N27" s="168">
        <f>IF($C27="","",VLOOKUP($C27,성분!$B$2:$O$51519,12,FALSE))/100*$P27</f>
        <v>0</v>
      </c>
      <c r="O27" s="167">
        <f>IF($C27="","",VLOOKUP($C27,성분!$B$2:$O$51519,13,FALSE))/100*$P27</f>
        <v>0</v>
      </c>
      <c r="P27" s="165">
        <f t="shared" ref="P27" si="17">D27</f>
        <v>10</v>
      </c>
      <c r="Q27" s="162">
        <f t="shared" ref="Q27" si="18">($O$8*P27)/1000</f>
        <v>3.78</v>
      </c>
      <c r="R27" s="18">
        <f t="shared" ref="R27" si="19">INT(Q27)</f>
        <v>3</v>
      </c>
    </row>
    <row r="28" spans="1:18" customFormat="1" ht="27.75" customHeight="1">
      <c r="A28" s="42">
        <f t="shared" si="3"/>
        <v>18</v>
      </c>
      <c r="B28" s="171" t="s">
        <v>2303</v>
      </c>
      <c r="C28" s="169" t="s">
        <v>1210</v>
      </c>
      <c r="D28" s="168">
        <v>35</v>
      </c>
      <c r="E28" s="168">
        <f>IF($C28="","",VLOOKUP($C28,성분!$B$2:$O$51519,3,FALSE))/100*P28</f>
        <v>10.149999999999999</v>
      </c>
      <c r="F28" s="168">
        <f>IF($C28="","",VLOOKUP($C28,성분!$B$2:$O$51519,5,FALSE))/100*$P28</f>
        <v>1.9950000000000001</v>
      </c>
      <c r="G28" s="168">
        <f>IF($C28="","",VLOOKUP($C28,성분!$B$2:$O$51519,4,FALSE))/100*$P28</f>
        <v>1.085</v>
      </c>
      <c r="H28" s="168">
        <f>IF($C28="","",VLOOKUP($C28,성분!$B$2:$O$51519,6,FALSE))/100*$P28</f>
        <v>3.5000000000000003E-2</v>
      </c>
      <c r="I28" s="168">
        <f>IF($C28="","",VLOOKUP($C28,성분!$B$2:$O$51519,7,FALSE))/100*$P28</f>
        <v>16.100000000000001</v>
      </c>
      <c r="J28" s="168">
        <f>IF($C28="","",VLOOKUP($C28,성분!$B$2:$O$51519,8,FALSE))/100*$P28</f>
        <v>0.31500000000000006</v>
      </c>
      <c r="K28" s="168">
        <f>IF($C28="","",VLOOKUP($C28,성분!$B$2:$O$51519,9,FALSE))/100*$P28</f>
        <v>81.899999999999991</v>
      </c>
      <c r="L28" s="168">
        <f>IF($C28="","",VLOOKUP($C28,성분!$B$2:$O$51519,10,FALSE))/100*$P28</f>
        <v>1.4E-2</v>
      </c>
      <c r="M28" s="168">
        <f>IF($C28="","",VLOOKUP($C28,성분!$B$2:$O$51519,11,FALSE))/100*$P28</f>
        <v>1.0499999999999999E-2</v>
      </c>
      <c r="N28" s="168">
        <f>IF($C28="","",VLOOKUP($C28,성분!$B$2:$O$51519,12,FALSE))/100*$P28</f>
        <v>7.0000000000000007E-2</v>
      </c>
      <c r="O28" s="167">
        <f>IF($C28="","",VLOOKUP($C28,성분!$B$2:$O$51519,13,FALSE))/100*$P28</f>
        <v>2.1</v>
      </c>
      <c r="P28" s="38">
        <f t="shared" si="13"/>
        <v>35</v>
      </c>
      <c r="Q28" s="17">
        <f t="shared" si="15"/>
        <v>13.23</v>
      </c>
      <c r="R28" s="18">
        <f t="shared" si="16"/>
        <v>13</v>
      </c>
    </row>
    <row r="29" spans="1:18" customFormat="1" ht="27.75" customHeight="1">
      <c r="A29" s="42">
        <f t="shared" si="3"/>
        <v>19</v>
      </c>
      <c r="B29" s="171"/>
      <c r="C29" s="169" t="s">
        <v>1980</v>
      </c>
      <c r="D29" s="168">
        <v>5</v>
      </c>
      <c r="E29" s="168">
        <f>IF($C29="","",VLOOKUP($C29,성분!$B$2:$O$51519,3,FALSE))/100*P29</f>
        <v>1.7000000000000002</v>
      </c>
      <c r="F29" s="168">
        <f>IF($C29="","",VLOOKUP($C29,성분!$B$2:$O$51519,5,FALSE))/100*$P29</f>
        <v>0.35150000000000003</v>
      </c>
      <c r="G29" s="168">
        <f>IF($C29="","",VLOOKUP($C29,성분!$B$2:$O$51519,4,FALSE))/100*$P29</f>
        <v>0.05</v>
      </c>
      <c r="H29" s="168">
        <f>IF($C29="","",VLOOKUP($C29,성분!$B$2:$O$51519,6,FALSE))/100*$P29</f>
        <v>6.4999999999999997E-3</v>
      </c>
      <c r="I29" s="168">
        <f>IF($C29="","",VLOOKUP($C29,성분!$B$2:$O$51519,7,FALSE))/100*$P29</f>
        <v>1.9</v>
      </c>
      <c r="J29" s="168">
        <f>IF($C29="","",VLOOKUP($C29,성분!$B$2:$O$51519,8,FALSE))/100*$P29</f>
        <v>3.4999999999999996E-2</v>
      </c>
      <c r="K29" s="168">
        <f>IF($C29="","",VLOOKUP($C29,성분!$B$2:$O$51519,9,FALSE))/100*$P29</f>
        <v>62.85</v>
      </c>
      <c r="L29" s="168">
        <f>IF($C29="","",VLOOKUP($C29,성분!$B$2:$O$51519,10,FALSE))/100*$P29</f>
        <v>2.9999999999999996E-3</v>
      </c>
      <c r="M29" s="168">
        <f>IF($C29="","",VLOOKUP($C29,성분!$B$2:$O$51519,11,FALSE))/100*$P29</f>
        <v>2E-3</v>
      </c>
      <c r="N29" s="168">
        <f>IF($C29="","",VLOOKUP($C29,성분!$B$2:$O$51519,12,FALSE))/100*$P29</f>
        <v>0.04</v>
      </c>
      <c r="O29" s="167">
        <f>IF($C29="","",VLOOKUP($C29,성분!$B$2:$O$51519,13,FALSE))/100*$P29</f>
        <v>0.3</v>
      </c>
      <c r="P29" s="38">
        <f t="shared" si="13"/>
        <v>5</v>
      </c>
      <c r="Q29" s="17">
        <f t="shared" si="15"/>
        <v>1.89</v>
      </c>
      <c r="R29" s="18">
        <f t="shared" si="16"/>
        <v>1</v>
      </c>
    </row>
    <row r="30" spans="1:18" s="160" customFormat="1" ht="27.75" customHeight="1">
      <c r="A30" s="166"/>
      <c r="B30" s="171" t="s">
        <v>2203</v>
      </c>
      <c r="C30" s="169" t="s">
        <v>2203</v>
      </c>
      <c r="D30" s="168">
        <v>30</v>
      </c>
      <c r="E30" s="168">
        <f>IF($C30="","",VLOOKUP($C30,성분!$B$2:$O$51519,3,FALSE))/100*P30</f>
        <v>9.9</v>
      </c>
      <c r="F30" s="168">
        <f>IF($C30="","",VLOOKUP($C30,성분!$B$2:$O$51519,5,FALSE))/100*$P30</f>
        <v>2.2200000000000002</v>
      </c>
      <c r="G30" s="168">
        <f>IF($C30="","",VLOOKUP($C30,성분!$B$2:$O$51519,4,FALSE))/100*$P30</f>
        <v>0.48</v>
      </c>
      <c r="H30" s="168">
        <f>IF($C30="","",VLOOKUP($C30,성분!$B$2:$O$51519,6,FALSE))/100*$P30</f>
        <v>0.09</v>
      </c>
      <c r="I30" s="168">
        <f>IF($C30="","",VLOOKUP($C30,성분!$B$2:$O$51519,7,FALSE))/100*$P30</f>
        <v>11.1</v>
      </c>
      <c r="J30" s="168">
        <f>IF($C30="","",VLOOKUP($C30,성분!$B$2:$O$51519,8,FALSE))/100*$P30</f>
        <v>0.83999999999999986</v>
      </c>
      <c r="K30" s="168">
        <f>IF($C30="","",VLOOKUP($C30,성분!$B$2:$O$51519,9,FALSE))/100*$P30</f>
        <v>11.4</v>
      </c>
      <c r="L30" s="168">
        <f>IF($C30="","",VLOOKUP($C30,성분!$B$2:$O$51519,10,FALSE))/100*$P30</f>
        <v>4.200000000000001E-2</v>
      </c>
      <c r="M30" s="168">
        <f>IF($C30="","",VLOOKUP($C30,성분!$B$2:$O$51519,11,FALSE))/100*$P30</f>
        <v>1.4999999999999999E-2</v>
      </c>
      <c r="N30" s="168">
        <f>IF($C30="","",VLOOKUP($C30,성분!$B$2:$O$51519,12,FALSE))/100*$P30</f>
        <v>0.15</v>
      </c>
      <c r="O30" s="167">
        <f>IF($C30="","",VLOOKUP($C30,성분!$B$2:$O$51519,13,FALSE))/100*$P30</f>
        <v>5.7</v>
      </c>
      <c r="P30" s="165">
        <f t="shared" ref="P30:P31" si="20">D30</f>
        <v>30</v>
      </c>
      <c r="Q30" s="162">
        <f t="shared" ref="Q30:Q31" si="21">($O$8*P30)/1000</f>
        <v>11.34</v>
      </c>
      <c r="R30" s="18">
        <f t="shared" ref="R30:R31" si="22">INT(Q30)</f>
        <v>11</v>
      </c>
    </row>
    <row r="31" spans="1:18" customFormat="1" ht="27.75" customHeight="1">
      <c r="A31" s="42">
        <f t="shared" si="3"/>
        <v>21</v>
      </c>
      <c r="B31" s="30" t="s">
        <v>2304</v>
      </c>
      <c r="C31" s="22" t="s">
        <v>2304</v>
      </c>
      <c r="D31" s="16">
        <v>118</v>
      </c>
      <c r="E31" s="168">
        <f>IF($C31="","",VLOOKUP($C31,성분!$B$2:$O$51519,3,FALSE))/100*P31</f>
        <v>87.91</v>
      </c>
      <c r="F31" s="168">
        <f>IF($C31="","",VLOOKUP($C31,성분!$B$2:$O$51519,5,FALSE))/100*$P31</f>
        <v>21.948000000000004</v>
      </c>
      <c r="G31" s="168">
        <f>IF($C31="","",VLOOKUP($C31,성분!$B$2:$O$51519,4,FALSE))/100*$P31</f>
        <v>0</v>
      </c>
      <c r="H31" s="168">
        <f>IF($C31="","",VLOOKUP($C31,성분!$B$2:$O$51519,6,FALSE))/100*$P31</f>
        <v>0</v>
      </c>
      <c r="I31" s="168">
        <f>IF($C31="","",VLOOKUP($C31,성분!$B$2:$O$51519,7,FALSE))/100*$P31</f>
        <v>0</v>
      </c>
      <c r="J31" s="168">
        <f>IF($C31="","",VLOOKUP($C31,성분!$B$2:$O$51519,8,FALSE))/100*$P31</f>
        <v>0</v>
      </c>
      <c r="K31" s="168">
        <f>IF($C31="","",VLOOKUP($C31,성분!$B$2:$O$51519,9,FALSE))/100*$P31</f>
        <v>0</v>
      </c>
      <c r="L31" s="168">
        <f>IF($C31="","",VLOOKUP($C31,성분!$B$2:$O$51519,10,FALSE))/100*$P31</f>
        <v>0</v>
      </c>
      <c r="M31" s="168">
        <f>IF($C31="","",VLOOKUP($C31,성분!$B$2:$O$51519,11,FALSE))/100*$P31</f>
        <v>0</v>
      </c>
      <c r="N31" s="168">
        <f>IF($C31="","",VLOOKUP($C31,성분!$B$2:$O$51519,12,FALSE))/100*$P31</f>
        <v>0</v>
      </c>
      <c r="O31" s="167">
        <f>IF($C31="","",VLOOKUP($C31,성분!$B$2:$O$51519,13,FALSE))/100*$P31</f>
        <v>0</v>
      </c>
      <c r="P31" s="165">
        <f t="shared" si="20"/>
        <v>118</v>
      </c>
      <c r="Q31" s="162">
        <f t="shared" si="21"/>
        <v>44.603999999999999</v>
      </c>
      <c r="R31" s="18">
        <f t="shared" si="22"/>
        <v>44</v>
      </c>
    </row>
    <row r="32" spans="1:18" customFormat="1" ht="32.25" customHeight="1">
      <c r="A32" s="235" t="s">
        <v>1628</v>
      </c>
      <c r="B32" s="236"/>
      <c r="C32" s="236"/>
      <c r="D32" s="237"/>
      <c r="E32" s="19">
        <f t="shared" ref="E32:O32" si="23">SUM(E11:E31)</f>
        <v>852.56999999999994</v>
      </c>
      <c r="F32" s="19">
        <f t="shared" si="23"/>
        <v>162.62169999999998</v>
      </c>
      <c r="G32" s="19">
        <f t="shared" si="23"/>
        <v>37.661499999999997</v>
      </c>
      <c r="H32" s="19">
        <f t="shared" si="23"/>
        <v>32.504000000000005</v>
      </c>
      <c r="I32" s="44">
        <f t="shared" si="23"/>
        <v>289.94900000000001</v>
      </c>
      <c r="J32" s="19">
        <f t="shared" si="23"/>
        <v>3.8949999999999996</v>
      </c>
      <c r="K32" s="19">
        <f t="shared" si="23"/>
        <v>321.98500000000001</v>
      </c>
      <c r="L32" s="19">
        <f t="shared" si="23"/>
        <v>0.36855000000000016</v>
      </c>
      <c r="M32" s="19">
        <f t="shared" si="23"/>
        <v>0.32174999999999998</v>
      </c>
      <c r="N32" s="19">
        <f t="shared" si="23"/>
        <v>4.0679999999999996</v>
      </c>
      <c r="O32" s="19">
        <f t="shared" si="23"/>
        <v>14.696999999999999</v>
      </c>
      <c r="P32" s="38">
        <f t="shared" si="0"/>
        <v>0</v>
      </c>
      <c r="Q32" s="17">
        <f t="shared" si="1"/>
        <v>0</v>
      </c>
      <c r="R32" s="18">
        <f t="shared" si="2"/>
        <v>0</v>
      </c>
    </row>
    <row r="33" spans="1:19" s="21" customFormat="1" ht="32.25" customHeight="1">
      <c r="A33" s="238" t="s">
        <v>1790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40"/>
      <c r="P33" s="20"/>
      <c r="Q33"/>
      <c r="R33" s="18">
        <f>INT(Q33)</f>
        <v>0</v>
      </c>
    </row>
    <row r="34" spans="1:19" customFormat="1" ht="19.5" customHeight="1">
      <c r="A34" s="220" t="s">
        <v>1629</v>
      </c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2"/>
      <c r="S34" s="18">
        <f>INT(R34)</f>
        <v>0</v>
      </c>
    </row>
    <row r="35" spans="1:19" customFormat="1" ht="20.100000000000001" customHeight="1">
      <c r="A35" s="247" t="s">
        <v>1630</v>
      </c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9"/>
      <c r="P35" s="244" t="s">
        <v>5</v>
      </c>
      <c r="Q35" s="245"/>
      <c r="R35" s="250">
        <v>5000</v>
      </c>
      <c r="S35" s="250"/>
    </row>
    <row r="36" spans="1:19" customFormat="1" ht="20.100000000000001" customHeight="1">
      <c r="A36" s="251" t="s">
        <v>1769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3"/>
      <c r="P36" s="244" t="s">
        <v>6</v>
      </c>
      <c r="Q36" s="245"/>
      <c r="R36" s="250">
        <f>R35*0.72</f>
        <v>3600</v>
      </c>
      <c r="S36" s="250"/>
    </row>
    <row r="37" spans="1:19" customFormat="1" ht="20.100000000000001" customHeight="1">
      <c r="A37" s="241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3"/>
      <c r="P37" s="244" t="s">
        <v>1631</v>
      </c>
      <c r="Q37" s="245"/>
      <c r="R37" s="246">
        <v>0.72</v>
      </c>
      <c r="S37" s="246"/>
    </row>
    <row r="38" spans="1:19" customFormat="1" ht="20.100000000000001" customHeight="1">
      <c r="C38" s="3"/>
      <c r="D38" s="24"/>
      <c r="E38" s="25"/>
      <c r="F38" s="25"/>
      <c r="G38" s="22">
        <v>667</v>
      </c>
      <c r="H38" s="22">
        <v>15</v>
      </c>
      <c r="I38" s="22">
        <v>300</v>
      </c>
      <c r="J38" s="22">
        <v>5.4</v>
      </c>
      <c r="K38" s="22">
        <v>234</v>
      </c>
      <c r="L38" s="22">
        <v>0.34</v>
      </c>
      <c r="M38" s="22">
        <v>0.4</v>
      </c>
      <c r="N38" s="22">
        <v>5.26</v>
      </c>
      <c r="O38" s="22">
        <v>33.4</v>
      </c>
      <c r="P38" s="37"/>
      <c r="Q38" s="37"/>
      <c r="R38" s="23"/>
      <c r="S38" s="23"/>
    </row>
    <row r="39" spans="1:19" customFormat="1" ht="20.100000000000001" customHeight="1">
      <c r="A39" s="2"/>
      <c r="B39" s="2"/>
      <c r="C39" s="3"/>
      <c r="D39" s="4"/>
      <c r="E39" s="5"/>
      <c r="F39" s="5"/>
      <c r="G39" s="5"/>
      <c r="H39" s="5"/>
      <c r="I39" s="5"/>
      <c r="J39" s="2"/>
      <c r="K39" s="5"/>
      <c r="L39" s="5"/>
      <c r="M39" s="5"/>
      <c r="N39" s="5"/>
      <c r="O39" s="6"/>
    </row>
    <row r="40" spans="1:19" customFormat="1" ht="20.100000000000001" customHeight="1">
      <c r="A40" s="2"/>
      <c r="B40" s="2"/>
      <c r="C40" s="2"/>
      <c r="D40" s="4"/>
      <c r="E40" s="2"/>
      <c r="F40" s="2"/>
      <c r="G40" s="5"/>
      <c r="H40" s="5"/>
      <c r="I40" s="5"/>
      <c r="J40" s="5"/>
      <c r="K40" s="5"/>
      <c r="L40" s="5"/>
      <c r="M40" s="5"/>
      <c r="N40" s="5"/>
      <c r="O40" s="6"/>
    </row>
    <row r="41" spans="1:19" ht="12">
      <c r="C41" s="2"/>
    </row>
    <row r="42" spans="1:19" ht="12">
      <c r="C42" s="2"/>
    </row>
    <row r="1348" spans="4:4">
      <c r="D1348" s="2">
        <v>240</v>
      </c>
    </row>
  </sheetData>
  <mergeCells count="41">
    <mergeCell ref="O2:O4"/>
    <mergeCell ref="O6:O7"/>
    <mergeCell ref="P6:R7"/>
    <mergeCell ref="L2:L4"/>
    <mergeCell ref="M2:M4"/>
    <mergeCell ref="M7:N7"/>
    <mergeCell ref="K7:L7"/>
    <mergeCell ref="A3:B3"/>
    <mergeCell ref="C3:D3"/>
    <mergeCell ref="L5:M5"/>
    <mergeCell ref="A7:C7"/>
    <mergeCell ref="A1:B1"/>
    <mergeCell ref="C1:D1"/>
    <mergeCell ref="K1:K4"/>
    <mergeCell ref="D2:E2"/>
    <mergeCell ref="A6:N6"/>
    <mergeCell ref="N2:N4"/>
    <mergeCell ref="H7:J7"/>
    <mergeCell ref="F7:G7"/>
    <mergeCell ref="D7:E7"/>
    <mergeCell ref="A34:O34"/>
    <mergeCell ref="A8:C8"/>
    <mergeCell ref="O8:O9"/>
    <mergeCell ref="A9:C9"/>
    <mergeCell ref="D9:N9"/>
    <mergeCell ref="A33:O33"/>
    <mergeCell ref="A32:D32"/>
    <mergeCell ref="M8:N8"/>
    <mergeCell ref="K8:L8"/>
    <mergeCell ref="H8:J8"/>
    <mergeCell ref="F8:G8"/>
    <mergeCell ref="D8:E8"/>
    <mergeCell ref="A37:O37"/>
    <mergeCell ref="P37:Q37"/>
    <mergeCell ref="R37:S37"/>
    <mergeCell ref="A35:O35"/>
    <mergeCell ref="P35:Q35"/>
    <mergeCell ref="R35:S35"/>
    <mergeCell ref="A36:O36"/>
    <mergeCell ref="P36:Q36"/>
    <mergeCell ref="R36:S36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56C8-CE0D-4729-A2BD-46A62EF8324A}">
  <sheetPr>
    <pageSetUpPr fitToPage="1"/>
  </sheetPr>
  <dimension ref="A1:S1352"/>
  <sheetViews>
    <sheetView view="pageBreakPreview" zoomScale="85" zoomScaleNormal="85" zoomScaleSheetLayoutView="85" workbookViewId="0">
      <pane xSplit="3" ySplit="10" topLeftCell="E26" activePane="bottomRight" state="frozen"/>
      <selection activeCell="K24" sqref="K24"/>
      <selection pane="topRight" activeCell="K24" sqref="K24"/>
      <selection pane="bottomLeft" activeCell="K24" sqref="K24"/>
      <selection pane="bottomRight" activeCell="O8" sqref="O8:O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45755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181</v>
      </c>
      <c r="E8" s="226"/>
      <c r="F8" s="226">
        <v>104</v>
      </c>
      <c r="G8" s="226"/>
      <c r="H8" s="226">
        <v>107</v>
      </c>
      <c r="I8" s="226"/>
      <c r="J8" s="226"/>
      <c r="K8" s="226">
        <f>SUM(D8:J8)</f>
        <v>392</v>
      </c>
      <c r="L8" s="226"/>
      <c r="M8" s="226">
        <v>2</v>
      </c>
      <c r="N8" s="227"/>
      <c r="O8" s="228">
        <f>SUM(K8:N8)</f>
        <v>394</v>
      </c>
    </row>
    <row r="9" spans="1:18" customFormat="1" ht="20.100000000000001" customHeight="1">
      <c r="A9" s="230" t="s">
        <v>0</v>
      </c>
      <c r="B9" s="231"/>
      <c r="C9" s="232"/>
      <c r="D9" s="233" t="s">
        <v>2550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v>1</v>
      </c>
      <c r="B11" s="30"/>
      <c r="C11" s="22" t="s">
        <v>140</v>
      </c>
      <c r="D11" s="16">
        <v>85</v>
      </c>
      <c r="E11" s="168">
        <f>IF($C11="","",VLOOKUP($C11,성분!$B$2:$O$51519,3,FALSE))/100*P11</f>
        <v>204</v>
      </c>
      <c r="F11" s="168">
        <f>IF($C11="","",VLOOKUP($C11,성분!$B$2:$O$51519,5,FALSE))/100*$P11</f>
        <v>66.725000000000009</v>
      </c>
      <c r="G11" s="168">
        <f>IF($C11="","",VLOOKUP($C11,성분!$B$2:$O$51519,4,FALSE))/100*$P11</f>
        <v>5.44</v>
      </c>
      <c r="H11" s="168">
        <f>IF($C11="","",VLOOKUP($C11,성분!$B$2:$O$51519,6,FALSE))/100*$P11</f>
        <v>0.34</v>
      </c>
      <c r="I11" s="168">
        <f>IF($C11="","",VLOOKUP($C11,성분!$B$2:$O$51519,7,FALSE))/100*$P11</f>
        <v>5.95</v>
      </c>
      <c r="J11" s="168">
        <f>IF($C11="","",VLOOKUP($C11,성분!$B$2:$O$51519,8,FALSE))/100*$P11</f>
        <v>0.42499999999999999</v>
      </c>
      <c r="K11" s="168">
        <f>IF($C11="","",VLOOKUP($C11,성분!$B$2:$O$51519,9,FALSE))/100*$P11</f>
        <v>0</v>
      </c>
      <c r="L11" s="168">
        <f>IF($C11="","",VLOOKUP($C11,성분!$B$2:$O$51519,10,FALSE))/100*$P11</f>
        <v>0.10199999999999999</v>
      </c>
      <c r="M11" s="168">
        <f>IF($C11="","",VLOOKUP($C11,성분!$B$2:$O$51519,11,FALSE))/100*$P11</f>
        <v>0</v>
      </c>
      <c r="N11" s="168">
        <f>IF($C11="","",VLOOKUP($C11,성분!$B$2:$O$51519,12,FALSE))/100*$P11</f>
        <v>1.19</v>
      </c>
      <c r="O11" s="167">
        <f>IF($C11="","",VLOOKUP($C11,성분!$B$2:$O$51519,13,FALSE))/100*$P11</f>
        <v>0</v>
      </c>
      <c r="P11" s="38">
        <f t="shared" ref="P11" si="0">D11</f>
        <v>85</v>
      </c>
      <c r="Q11" s="17">
        <f>($O$8*P11)/1000</f>
        <v>33.49</v>
      </c>
      <c r="R11" s="18">
        <f t="shared" ref="R11" si="1">INT(Q11)</f>
        <v>33</v>
      </c>
    </row>
    <row r="12" spans="1:18" customFormat="1" ht="27.75" customHeight="1">
      <c r="A12" s="42">
        <v>2</v>
      </c>
      <c r="B12" s="171" t="s">
        <v>2533</v>
      </c>
      <c r="C12" s="22" t="s">
        <v>1222</v>
      </c>
      <c r="D12" s="16">
        <v>45</v>
      </c>
      <c r="E12" s="168">
        <f>IF($C12="","",VLOOKUP($C12,성분!$B$2:$O$51519,3,FALSE))/100*P12</f>
        <v>13.5</v>
      </c>
      <c r="F12" s="168">
        <f>IF($C12="","",VLOOKUP($C12,성분!$B$2:$O$51519,5,FALSE))/100*$P12</f>
        <v>0.72</v>
      </c>
      <c r="G12" s="168">
        <f>IF($C12="","",VLOOKUP($C12,성분!$B$2:$O$51519,4,FALSE))/100*$P12</f>
        <v>2.25</v>
      </c>
      <c r="H12" s="168">
        <f>IF($C12="","",VLOOKUP($C12,성분!$B$2:$O$51519,6,FALSE))/100*$P12</f>
        <v>0.13500000000000001</v>
      </c>
      <c r="I12" s="168">
        <f>IF($C12="","",VLOOKUP($C12,성분!$B$2:$O$51519,7,FALSE))/100*$P12</f>
        <v>13.95</v>
      </c>
      <c r="J12" s="168">
        <f>IF($C12="","",VLOOKUP($C12,성분!$B$2:$O$51519,8,FALSE))/100*$P12</f>
        <v>0.27</v>
      </c>
      <c r="K12" s="168">
        <f>IF($C12="","",VLOOKUP($C12,성분!$B$2:$O$51519,9,FALSE))/100*$P12</f>
        <v>0</v>
      </c>
      <c r="L12" s="168">
        <f>IF($C12="","",VLOOKUP($C12,성분!$B$2:$O$51519,10,FALSE))/100*$P12</f>
        <v>4.0500000000000001E-2</v>
      </c>
      <c r="M12" s="168">
        <f>IF($C12="","",VLOOKUP($C12,성분!$B$2:$O$51519,11,FALSE))/100*$P12</f>
        <v>4.4999999999999998E-2</v>
      </c>
      <c r="N12" s="168">
        <f>IF($C12="","",VLOOKUP($C12,성분!$B$2:$O$51519,12,FALSE))/100*$P12</f>
        <v>0.31499999999999995</v>
      </c>
      <c r="O12" s="167">
        <f>IF($C12="","",VLOOKUP($C12,성분!$B$2:$O$51519,13,FALSE))/100*$P12</f>
        <v>3.6</v>
      </c>
      <c r="P12" s="38">
        <f t="shared" ref="P12:P36" si="2">D12</f>
        <v>45</v>
      </c>
      <c r="Q12" s="17">
        <f t="shared" ref="Q12:Q36" si="3">($O$8*P12)/1000</f>
        <v>17.73</v>
      </c>
      <c r="R12" s="18">
        <f t="shared" ref="R12:R36" si="4">INT(Q12)</f>
        <v>17</v>
      </c>
    </row>
    <row r="13" spans="1:18" customFormat="1" ht="27.75" customHeight="1">
      <c r="A13" s="42">
        <v>3</v>
      </c>
      <c r="B13" s="30"/>
      <c r="C13" s="22" t="s">
        <v>1980</v>
      </c>
      <c r="D13" s="16">
        <v>10</v>
      </c>
      <c r="E13" s="168">
        <f>IF($C13="","",VLOOKUP($C13,성분!$B$2:$O$51519,3,FALSE))/100*P13</f>
        <v>3.4000000000000004</v>
      </c>
      <c r="F13" s="168">
        <f>IF($C13="","",VLOOKUP($C13,성분!$B$2:$O$51519,5,FALSE))/100*$P13</f>
        <v>0.70300000000000007</v>
      </c>
      <c r="G13" s="168">
        <f>IF($C13="","",VLOOKUP($C13,성분!$B$2:$O$51519,4,FALSE))/100*$P13</f>
        <v>0.1</v>
      </c>
      <c r="H13" s="168">
        <f>IF($C13="","",VLOOKUP($C13,성분!$B$2:$O$51519,6,FALSE))/100*$P13</f>
        <v>1.2999999999999999E-2</v>
      </c>
      <c r="I13" s="168">
        <f>IF($C13="","",VLOOKUP($C13,성분!$B$2:$O$51519,7,FALSE))/100*$P13</f>
        <v>3.8</v>
      </c>
      <c r="J13" s="168">
        <f>IF($C13="","",VLOOKUP($C13,성분!$B$2:$O$51519,8,FALSE))/100*$P13</f>
        <v>6.9999999999999993E-2</v>
      </c>
      <c r="K13" s="168">
        <f>IF($C13="","",VLOOKUP($C13,성분!$B$2:$O$51519,9,FALSE))/100*$P13</f>
        <v>125.7</v>
      </c>
      <c r="L13" s="168">
        <f>IF($C13="","",VLOOKUP($C13,성분!$B$2:$O$51519,10,FALSE))/100*$P13</f>
        <v>5.9999999999999993E-3</v>
      </c>
      <c r="M13" s="168">
        <f>IF($C13="","",VLOOKUP($C13,성분!$B$2:$O$51519,11,FALSE))/100*$P13</f>
        <v>4.0000000000000001E-3</v>
      </c>
      <c r="N13" s="168">
        <f>IF($C13="","",VLOOKUP($C13,성분!$B$2:$O$51519,12,FALSE))/100*$P13</f>
        <v>0.08</v>
      </c>
      <c r="O13" s="167">
        <f>IF($C13="","",VLOOKUP($C13,성분!$B$2:$O$51519,13,FALSE))/100*$P13</f>
        <v>0.6</v>
      </c>
      <c r="P13" s="38">
        <f t="shared" ref="P13:P35" si="5">D13</f>
        <v>10</v>
      </c>
      <c r="Q13" s="17">
        <f t="shared" si="3"/>
        <v>3.94</v>
      </c>
      <c r="R13" s="18"/>
    </row>
    <row r="14" spans="1:18" customFormat="1" ht="27.75" customHeight="1">
      <c r="A14" s="42">
        <v>4</v>
      </c>
      <c r="B14" s="30"/>
      <c r="C14" s="22" t="s">
        <v>2242</v>
      </c>
      <c r="D14" s="16">
        <v>10</v>
      </c>
      <c r="E14" s="168">
        <f>IF($C14="","",VLOOKUP($C14,성분!$B$2:$O$51519,3,FALSE))/100*P14</f>
        <v>3.8</v>
      </c>
      <c r="F14" s="168">
        <f>IF($C14="","",VLOOKUP($C14,성분!$B$2:$O$51519,5,FALSE))/100*$P14</f>
        <v>0.55000000000000004</v>
      </c>
      <c r="G14" s="168">
        <f>IF($C14="","",VLOOKUP($C14,성분!$B$2:$O$51519,4,FALSE))/100*$P14</f>
        <v>0.2</v>
      </c>
      <c r="H14" s="168">
        <f>IF($C14="","",VLOOKUP($C14,성분!$B$2:$O$51519,6,FALSE))/100*$P14</f>
        <v>0.03</v>
      </c>
      <c r="I14" s="168">
        <f>IF($C14="","",VLOOKUP($C14,성분!$B$2:$O$51519,7,FALSE))/100*$P14</f>
        <v>0.4</v>
      </c>
      <c r="J14" s="168">
        <f>IF($C14="","",VLOOKUP($C14,성분!$B$2:$O$51519,8,FALSE))/100*$P14</f>
        <v>0.12</v>
      </c>
      <c r="K14" s="168">
        <f>IF($C14="","",VLOOKUP($C14,성분!$B$2:$O$51519,9,FALSE))/100*$P14</f>
        <v>0</v>
      </c>
      <c r="L14" s="168">
        <f>IF($C14="","",VLOOKUP($C14,성분!$B$2:$O$51519,10,FALSE))/100*$P14</f>
        <v>5.0000000000000001E-3</v>
      </c>
      <c r="M14" s="168">
        <f>IF($C14="","",VLOOKUP($C14,성분!$B$2:$O$51519,11,FALSE))/100*$P14</f>
        <v>2.0999999999999998E-2</v>
      </c>
      <c r="N14" s="168">
        <f>IF($C14="","",VLOOKUP($C14,성분!$B$2:$O$51519,12,FALSE))/100*$P14</f>
        <v>0.38</v>
      </c>
      <c r="O14" s="167">
        <f>IF($C14="","",VLOOKUP($C14,성분!$B$2:$O$51519,13,FALSE))/100*$P14</f>
        <v>0.5</v>
      </c>
      <c r="P14" s="38">
        <f t="shared" si="5"/>
        <v>10</v>
      </c>
      <c r="Q14" s="17">
        <f t="shared" si="3"/>
        <v>3.94</v>
      </c>
      <c r="R14" s="18">
        <f t="shared" si="4"/>
        <v>3</v>
      </c>
    </row>
    <row r="15" spans="1:18" customFormat="1" ht="27.6" customHeight="1">
      <c r="A15" s="42">
        <v>5</v>
      </c>
      <c r="B15" s="30"/>
      <c r="C15" s="22" t="s">
        <v>1158</v>
      </c>
      <c r="D15" s="16">
        <v>5</v>
      </c>
      <c r="E15" s="168">
        <f>IF($C15="","",VLOOKUP($C15,성분!$B$2:$O$51519,3,FALSE))/100*P15</f>
        <v>0.89999999999999991</v>
      </c>
      <c r="F15" s="168">
        <f>IF($C15="","",VLOOKUP($C15,성분!$B$2:$O$51519,5,FALSE))/100*$P15</f>
        <v>0.17500000000000002</v>
      </c>
      <c r="G15" s="168">
        <f>IF($C15="","",VLOOKUP($C15,성분!$B$2:$O$51519,4,FALSE))/100*$P15</f>
        <v>0.06</v>
      </c>
      <c r="H15" s="168">
        <f>IF($C15="","",VLOOKUP($C15,성분!$B$2:$O$51519,6,FALSE))/100*$P15</f>
        <v>1.4999999999999999E-2</v>
      </c>
      <c r="I15" s="168">
        <f>IF($C15="","",VLOOKUP($C15,성분!$B$2:$O$51519,7,FALSE))/100*$P15</f>
        <v>2.8000000000000003</v>
      </c>
      <c r="J15" s="168">
        <f>IF($C15="","",VLOOKUP($C15,성분!$B$2:$O$51519,8,FALSE))/100*$P15</f>
        <v>3.4999999999999996E-2</v>
      </c>
      <c r="K15" s="168">
        <f>IF($C15="","",VLOOKUP($C15,성분!$B$2:$O$51519,9,FALSE))/100*$P15</f>
        <v>7.75</v>
      </c>
      <c r="L15" s="168">
        <f>IF($C15="","",VLOOKUP($C15,성분!$B$2:$O$51519,10,FALSE))/100*$P15</f>
        <v>2.9999999999999996E-3</v>
      </c>
      <c r="M15" s="168">
        <f>IF($C15="","",VLOOKUP($C15,성분!$B$2:$O$51519,11,FALSE))/100*$P15</f>
        <v>3.5000000000000005E-3</v>
      </c>
      <c r="N15" s="168">
        <f>IF($C15="","",VLOOKUP($C15,성분!$B$2:$O$51519,12,FALSE))/100*$P15</f>
        <v>1.8500000000000003E-2</v>
      </c>
      <c r="O15" s="167">
        <f>IF($C15="","",VLOOKUP($C15,성분!$B$2:$O$51519,13,FALSE))/100*$P15</f>
        <v>0.5</v>
      </c>
      <c r="P15" s="38">
        <f t="shared" ref="P15:P19" si="6">D15</f>
        <v>5</v>
      </c>
      <c r="Q15" s="17">
        <f t="shared" si="3"/>
        <v>1.97</v>
      </c>
      <c r="R15" s="18">
        <f t="shared" ref="R15" si="7">INT(Q15)</f>
        <v>1</v>
      </c>
    </row>
    <row r="16" spans="1:18" customFormat="1" ht="27.75" customHeight="1">
      <c r="A16" s="42">
        <v>6</v>
      </c>
      <c r="B16" s="30"/>
      <c r="C16" s="22" t="s">
        <v>1239</v>
      </c>
      <c r="D16" s="16">
        <v>3</v>
      </c>
      <c r="E16" s="168">
        <f>IF($C16="","",VLOOKUP($C16,성분!$B$2:$O$51519,3,FALSE))/100*P16</f>
        <v>0.78</v>
      </c>
      <c r="F16" s="168">
        <f>IF($C16="","",VLOOKUP($C16,성분!$B$2:$O$51519,5,FALSE))/100*$P16</f>
        <v>0.1338</v>
      </c>
      <c r="G16" s="168">
        <f>IF($C16="","",VLOOKUP($C16,성분!$B$2:$O$51519,4,FALSE))/100*$P16</f>
        <v>0</v>
      </c>
      <c r="H16" s="168">
        <f>IF($C16="","",VLOOKUP($C16,성분!$B$2:$O$51519,6,FALSE))/100*$P16</f>
        <v>7.7999999999999996E-3</v>
      </c>
      <c r="I16" s="168">
        <f>IF($C16="","",VLOOKUP($C16,성분!$B$2:$O$51519,7,FALSE))/100*$P16</f>
        <v>2.4300000000000002</v>
      </c>
      <c r="J16" s="168">
        <f>IF($C16="","",VLOOKUP($C16,성분!$B$2:$O$51519,8,FALSE))/100*$P16</f>
        <v>0.03</v>
      </c>
      <c r="K16" s="168">
        <f>IF($C16="","",VLOOKUP($C16,성분!$B$2:$O$51519,9,FALSE))/100*$P16</f>
        <v>3.87</v>
      </c>
      <c r="L16" s="168">
        <f>IF($C16="","",VLOOKUP($C16,성분!$B$2:$O$51519,10,FALSE))/100*$P16</f>
        <v>1.8E-3</v>
      </c>
      <c r="M16" s="168">
        <f>IF($C16="","",VLOOKUP($C16,성분!$B$2:$O$51519,11,FALSE))/100*$P16</f>
        <v>2.7000000000000001E-3</v>
      </c>
      <c r="N16" s="168">
        <f>IF($C16="","",VLOOKUP($C16,성분!$B$2:$O$51519,12,FALSE))/100*$P16</f>
        <v>1.8000000000000002E-2</v>
      </c>
      <c r="O16" s="167">
        <f>IF($C16="","",VLOOKUP($C16,성분!$B$2:$O$51519,13,FALSE))/100*$P16</f>
        <v>0.63</v>
      </c>
      <c r="P16" s="38">
        <f t="shared" si="6"/>
        <v>3</v>
      </c>
      <c r="Q16" s="17">
        <f t="shared" si="3"/>
        <v>1.1819999999999999</v>
      </c>
      <c r="R16" s="18"/>
    </row>
    <row r="17" spans="1:18" customFormat="1" ht="27.75" customHeight="1">
      <c r="A17" s="42">
        <v>7</v>
      </c>
      <c r="B17" s="30"/>
      <c r="C17" s="22" t="s">
        <v>2298</v>
      </c>
      <c r="D17" s="16">
        <v>2</v>
      </c>
      <c r="E17" s="168">
        <f>IF($C17="","",VLOOKUP($C17,성분!$B$2:$O$51519,3,FALSE))/100*P17</f>
        <v>0.38</v>
      </c>
      <c r="F17" s="168">
        <f>IF($C17="","",VLOOKUP($C17,성분!$B$2:$O$51519,5,FALSE))/100*$P17</f>
        <v>0.12</v>
      </c>
      <c r="G17" s="168">
        <f>IF($C17="","",VLOOKUP($C17,성분!$B$2:$O$51519,4,FALSE))/100*$P17</f>
        <v>3.2000000000000001E-2</v>
      </c>
      <c r="H17" s="168">
        <f>IF($C17="","",VLOOKUP($C17,성분!$B$2:$O$51519,6,FALSE))/100*$P17</f>
        <v>4.0000000000000001E-3</v>
      </c>
      <c r="I17" s="168">
        <f>IF($C17="","",VLOOKUP($C17,성분!$B$2:$O$51519,7,FALSE))/100*$P17</f>
        <v>0.26</v>
      </c>
      <c r="J17" s="168">
        <f>IF($C17="","",VLOOKUP($C17,성분!$B$2:$O$51519,8,FALSE))/100*$P17</f>
        <v>0.01</v>
      </c>
      <c r="K17" s="168">
        <f>IF($C17="","",VLOOKUP($C17,성분!$B$2:$O$51519,9,FALSE))/100*$P17</f>
        <v>1.04</v>
      </c>
      <c r="L17" s="168">
        <f>IF($C17="","",VLOOKUP($C17,성분!$B$2:$O$51519,10,FALSE))/100*$P17</f>
        <v>2E-3</v>
      </c>
      <c r="M17" s="168">
        <f>IF($C17="","",VLOOKUP($C17,성분!$B$2:$O$51519,11,FALSE))/100*$P17</f>
        <v>1E-3</v>
      </c>
      <c r="N17" s="168">
        <f>IF($C17="","",VLOOKUP($C17,성분!$B$2:$O$51519,12,FALSE))/100*$P17</f>
        <v>2.2000000000000002E-2</v>
      </c>
      <c r="O17" s="167">
        <f>IF($C17="","",VLOOKUP($C17,성분!$B$2:$O$51519,13,FALSE))/100*$P17</f>
        <v>1.44</v>
      </c>
      <c r="P17" s="38">
        <f t="shared" si="6"/>
        <v>2</v>
      </c>
      <c r="Q17" s="17">
        <f t="shared" si="3"/>
        <v>0.78800000000000003</v>
      </c>
      <c r="R17" s="18"/>
    </row>
    <row r="18" spans="1:18" customFormat="1" ht="27.75" customHeight="1">
      <c r="A18" s="42">
        <v>8</v>
      </c>
      <c r="B18" s="30"/>
      <c r="C18" s="169" t="s">
        <v>2305</v>
      </c>
      <c r="D18" s="16">
        <v>1</v>
      </c>
      <c r="E18" s="168">
        <f>IF($C18="","",VLOOKUP($C18,성분!$B$2:$O$51519,3,FALSE))/100*P18</f>
        <v>0.39</v>
      </c>
      <c r="F18" s="168">
        <f>IF($C18="","",VLOOKUP($C18,성분!$B$2:$O$51519,5,FALSE))/100*$P18</f>
        <v>0.10300000000000001</v>
      </c>
      <c r="G18" s="168">
        <f>IF($C18="","",VLOOKUP($C18,성분!$B$2:$O$51519,4,FALSE))/100*$P18</f>
        <v>2.6000000000000002E-2</v>
      </c>
      <c r="H18" s="168">
        <f>IF($C18="","",VLOOKUP($C18,성분!$B$2:$O$51519,6,FALSE))/100*$P18</f>
        <v>1.7000000000000001E-2</v>
      </c>
      <c r="I18" s="168">
        <f>IF($C18="","",VLOOKUP($C18,성분!$B$2:$O$51519,7,FALSE))/100*$P18</f>
        <v>0.16</v>
      </c>
      <c r="J18" s="168">
        <f>IF($C18="","",VLOOKUP($C18,성분!$B$2:$O$51519,8,FALSE))/100*$P18</f>
        <v>9.0000000000000011E-3</v>
      </c>
      <c r="K18" s="168">
        <f>IF($C18="","",VLOOKUP($C18,성분!$B$2:$O$51519,9,FALSE))/100*$P18</f>
        <v>10.78</v>
      </c>
      <c r="L18" s="168">
        <f>IF($C18="","",VLOOKUP($C18,성분!$B$2:$O$51519,10,FALSE))/100*$P18</f>
        <v>1.2999999999999999E-3</v>
      </c>
      <c r="M18" s="168">
        <f>IF($C18="","",VLOOKUP($C18,성분!$B$2:$O$51519,11,FALSE))/100*$P18</f>
        <v>2.0999999999999999E-3</v>
      </c>
      <c r="N18" s="168">
        <f>IF($C18="","",VLOOKUP($C18,성분!$B$2:$O$51519,12,FALSE))/100*$P18</f>
        <v>2.1000000000000001E-2</v>
      </c>
      <c r="O18" s="167">
        <f>IF($C18="","",VLOOKUP($C18,성분!$B$2:$O$51519,13,FALSE))/100*$P18</f>
        <v>1.1599999999999999</v>
      </c>
      <c r="P18" s="38">
        <f t="shared" si="6"/>
        <v>1</v>
      </c>
      <c r="Q18" s="17">
        <f t="shared" ref="Q18:Q19" si="8">($O$8*P18)/1000</f>
        <v>0.39400000000000002</v>
      </c>
      <c r="R18" s="18"/>
    </row>
    <row r="19" spans="1:18" customFormat="1" ht="27.75" customHeight="1">
      <c r="A19" s="42">
        <v>9</v>
      </c>
      <c r="B19" s="30" t="s">
        <v>2306</v>
      </c>
      <c r="C19" s="22" t="s">
        <v>395</v>
      </c>
      <c r="D19" s="16">
        <v>30</v>
      </c>
      <c r="E19" s="168">
        <f>IF($C19="","",VLOOKUP($C19,성분!$B$2:$O$51519,3,FALSE))/100*P19</f>
        <v>23.700000000000003</v>
      </c>
      <c r="F19" s="168">
        <f>IF($C19="","",VLOOKUP($C19,성분!$B$2:$O$51519,5,FALSE))/100*$P19</f>
        <v>1.1100000000000001</v>
      </c>
      <c r="G19" s="168">
        <f>IF($C19="","",VLOOKUP($C19,성분!$B$2:$O$51519,4,FALSE))/100*$P19</f>
        <v>2.52</v>
      </c>
      <c r="H19" s="168">
        <f>IF($C19="","",VLOOKUP($C19,성분!$B$2:$O$51519,6,FALSE))/100*$P19</f>
        <v>1.05</v>
      </c>
      <c r="I19" s="168">
        <f>IF($C19="","",VLOOKUP($C19,성분!$B$2:$O$51519,7,FALSE))/100*$P19</f>
        <v>47.7</v>
      </c>
      <c r="J19" s="168">
        <f>IF($C19="","",VLOOKUP($C19,성분!$B$2:$O$51519,8,FALSE))/100*$P19</f>
        <v>0.78</v>
      </c>
      <c r="K19" s="168">
        <f>IF($C19="","",VLOOKUP($C19,성분!$B$2:$O$51519,9,FALSE))/100*$P19</f>
        <v>0</v>
      </c>
      <c r="L19" s="168">
        <f>IF($C19="","",VLOOKUP($C19,성분!$B$2:$O$51519,10,FALSE))/100*$P19</f>
        <v>1.4999999999999999E-2</v>
      </c>
      <c r="M19" s="168">
        <f>IF($C19="","",VLOOKUP($C19,성분!$B$2:$O$51519,11,FALSE))/100*$P19</f>
        <v>1.2E-2</v>
      </c>
      <c r="N19" s="168">
        <f>IF($C19="","",VLOOKUP($C19,성분!$B$2:$O$51519,12,FALSE))/100*$P19</f>
        <v>0.20999999999999996</v>
      </c>
      <c r="O19" s="167">
        <f>IF($C19="","",VLOOKUP($C19,성분!$B$2:$O$51519,13,FALSE))/100*$P19</f>
        <v>0</v>
      </c>
      <c r="P19" s="38">
        <f t="shared" si="6"/>
        <v>30</v>
      </c>
      <c r="Q19" s="17">
        <f t="shared" si="8"/>
        <v>11.82</v>
      </c>
      <c r="R19" s="18"/>
    </row>
    <row r="20" spans="1:18" customFormat="1" ht="27.75" customHeight="1">
      <c r="A20" s="42">
        <v>8</v>
      </c>
      <c r="B20" s="30"/>
      <c r="C20" s="22" t="s">
        <v>2193</v>
      </c>
      <c r="D20" s="16">
        <v>40</v>
      </c>
      <c r="E20" s="168">
        <f>IF($C20="","",VLOOKUP($C20,성분!$B$2:$O$51519,3,FALSE))/100*P20</f>
        <v>7.1999999999999993</v>
      </c>
      <c r="F20" s="168">
        <f>IF($C20="","",VLOOKUP($C20,성분!$B$2:$O$51519,5,FALSE))/100*$P20</f>
        <v>1.6719999999999999</v>
      </c>
      <c r="G20" s="168">
        <f>IF($C20="","",VLOOKUP($C20,성분!$B$2:$O$51519,4,FALSE))/100*$P20</f>
        <v>0.32</v>
      </c>
      <c r="H20" s="168">
        <f>IF($C20="","",VLOOKUP($C20,성분!$B$2:$O$51519,6,FALSE))/100*$P20</f>
        <v>0.08</v>
      </c>
      <c r="I20" s="168">
        <f>IF($C20="","",VLOOKUP($C20,성분!$B$2:$O$51519,7,FALSE))/100*$P20</f>
        <v>10</v>
      </c>
      <c r="J20" s="168">
        <f>IF($C20="","",VLOOKUP($C20,성분!$B$2:$O$51519,8,FALSE))/100*$P20</f>
        <v>0.312</v>
      </c>
      <c r="K20" s="168">
        <f>IF($C20="","",VLOOKUP($C20,성분!$B$2:$O$51519,9,FALSE))/100*$P20</f>
        <v>6</v>
      </c>
      <c r="L20" s="168">
        <f>IF($C20="","",VLOOKUP($C20,성분!$B$2:$O$51519,10,FALSE))/100*$P20</f>
        <v>1.1999999999999999E-2</v>
      </c>
      <c r="M20" s="168">
        <f>IF($C20="","",VLOOKUP($C20,성분!$B$2:$O$51519,11,FALSE))/100*$P20</f>
        <v>2.3999999999999997E-2</v>
      </c>
      <c r="N20" s="168">
        <f>IF($C20="","",VLOOKUP($C20,성분!$B$2:$O$51519,12,FALSE))/100*$P20</f>
        <v>8.3999999999999991E-2</v>
      </c>
      <c r="O20" s="167">
        <f>IF($C20="","",VLOOKUP($C20,성분!$B$2:$O$51519,13,FALSE))/100*$P20</f>
        <v>1.28</v>
      </c>
      <c r="P20" s="38">
        <f t="shared" ref="P20" si="9">D20</f>
        <v>40</v>
      </c>
      <c r="Q20" s="17">
        <f t="shared" si="3"/>
        <v>15.76</v>
      </c>
      <c r="R20" s="18"/>
    </row>
    <row r="21" spans="1:18" customFormat="1" ht="27.75" customHeight="1">
      <c r="A21" s="42">
        <v>9</v>
      </c>
      <c r="B21" s="30"/>
      <c r="C21" s="22" t="s">
        <v>1239</v>
      </c>
      <c r="D21" s="16">
        <v>5</v>
      </c>
      <c r="E21" s="168">
        <f>IF($C21="","",VLOOKUP($C21,성분!$B$2:$O$51519,3,FALSE))/100*P21</f>
        <v>1.3</v>
      </c>
      <c r="F21" s="168">
        <f>IF($C21="","",VLOOKUP($C21,성분!$B$2:$O$51519,5,FALSE))/100*$P21</f>
        <v>0.223</v>
      </c>
      <c r="G21" s="168">
        <f>IF($C21="","",VLOOKUP($C21,성분!$B$2:$O$51519,4,FALSE))/100*$P21</f>
        <v>0</v>
      </c>
      <c r="H21" s="168">
        <f>IF($C21="","",VLOOKUP($C21,성분!$B$2:$O$51519,6,FALSE))/100*$P21</f>
        <v>1.2999999999999999E-2</v>
      </c>
      <c r="I21" s="168">
        <f>IF($C21="","",VLOOKUP($C21,성분!$B$2:$O$51519,7,FALSE))/100*$P21</f>
        <v>4.0500000000000007</v>
      </c>
      <c r="J21" s="168">
        <f>IF($C21="","",VLOOKUP($C21,성분!$B$2:$O$51519,8,FALSE))/100*$P21</f>
        <v>0.05</v>
      </c>
      <c r="K21" s="168">
        <f>IF($C21="","",VLOOKUP($C21,성분!$B$2:$O$51519,9,FALSE))/100*$P21</f>
        <v>6.45</v>
      </c>
      <c r="L21" s="168">
        <f>IF($C21="","",VLOOKUP($C21,성분!$B$2:$O$51519,10,FALSE))/100*$P21</f>
        <v>2.9999999999999996E-3</v>
      </c>
      <c r="M21" s="168">
        <f>IF($C21="","",VLOOKUP($C21,성분!$B$2:$O$51519,11,FALSE))/100*$P21</f>
        <v>4.4999999999999997E-3</v>
      </c>
      <c r="N21" s="168">
        <f>IF($C21="","",VLOOKUP($C21,성분!$B$2:$O$51519,12,FALSE))/100*$P21</f>
        <v>0.03</v>
      </c>
      <c r="O21" s="167">
        <f>IF($C21="","",VLOOKUP($C21,성분!$B$2:$O$51519,13,FALSE))/100*$P21</f>
        <v>1.05</v>
      </c>
      <c r="P21" s="38">
        <f t="shared" ref="P21:P28" si="10">D21</f>
        <v>5</v>
      </c>
      <c r="Q21" s="17">
        <f t="shared" ref="Q21:Q28" si="11">($O$8*P21)/1000</f>
        <v>1.97</v>
      </c>
      <c r="R21" s="18"/>
    </row>
    <row r="22" spans="1:18" customFormat="1" ht="27.75" customHeight="1">
      <c r="A22" s="42">
        <v>10</v>
      </c>
      <c r="B22" s="30"/>
      <c r="C22" s="22" t="s">
        <v>2367</v>
      </c>
      <c r="D22" s="16">
        <v>12</v>
      </c>
      <c r="E22" s="168">
        <f>IF($C22="","",VLOOKUP($C22,성분!$B$2:$O$51519,3,FALSE))/100*P22</f>
        <v>16.32</v>
      </c>
      <c r="F22" s="168">
        <f>IF($C22="","",VLOOKUP($C22,성분!$B$2:$O$51519,5,FALSE))/100*$P22</f>
        <v>2.4E-2</v>
      </c>
      <c r="G22" s="168">
        <f>IF($C22="","",VLOOKUP($C22,성분!$B$2:$O$51519,4,FALSE))/100*$P22</f>
        <v>1.3800000000000001</v>
      </c>
      <c r="H22" s="168">
        <f>IF($C22="","",VLOOKUP($C22,성분!$B$2:$O$51519,6,FALSE))/100*$P22</f>
        <v>1.8768000000000002</v>
      </c>
      <c r="I22" s="168">
        <f>IF($C22="","",VLOOKUP($C22,성분!$B$2:$O$51519,7,FALSE))/100*$P22</f>
        <v>1.44</v>
      </c>
      <c r="J22" s="168">
        <f>IF($C22="","",VLOOKUP($C22,성분!$B$2:$O$51519,8,FALSE))/100*$P22</f>
        <v>0.21600000000000003</v>
      </c>
      <c r="K22" s="168">
        <f>IF($C22="","",VLOOKUP($C22,성분!$B$2:$O$51519,9,FALSE))/100*$P22</f>
        <v>0.48</v>
      </c>
      <c r="L22" s="168">
        <f>IF($C22="","",VLOOKUP($C22,성분!$B$2:$O$51519,10,FALSE))/100*$P22</f>
        <v>1.0800000000000001E-2</v>
      </c>
      <c r="M22" s="168">
        <f>IF($C22="","",VLOOKUP($C22,성분!$B$2:$O$51519,11,FALSE))/100*$P22</f>
        <v>9.6000000000000009E-3</v>
      </c>
      <c r="N22" s="168">
        <f>IF($C22="","",VLOOKUP($C22,성분!$B$2:$O$51519,12,FALSE))/100*$P22</f>
        <v>0.36</v>
      </c>
      <c r="O22" s="167">
        <f>IF($C22="","",VLOOKUP($C22,성분!$B$2:$O$51519,13,FALSE))/100*$P22</f>
        <v>0.12</v>
      </c>
      <c r="P22" s="38">
        <f t="shared" si="10"/>
        <v>12</v>
      </c>
      <c r="Q22" s="17">
        <f t="shared" si="11"/>
        <v>4.7279999999999998</v>
      </c>
      <c r="R22" s="18"/>
    </row>
    <row r="23" spans="1:18" s="160" customFormat="1" ht="27.75" customHeight="1">
      <c r="A23" s="166">
        <v>11</v>
      </c>
      <c r="B23" s="171"/>
      <c r="C23" s="169" t="s">
        <v>2380</v>
      </c>
      <c r="D23" s="168">
        <v>1</v>
      </c>
      <c r="E23" s="168">
        <f>IF($C23="","",VLOOKUP($C23,성분!$B$2:$O$51519,3,FALSE))/100*P23</f>
        <v>1.89</v>
      </c>
      <c r="F23" s="168">
        <f>IF($C23="","",VLOOKUP($C23,성분!$B$2:$O$51519,5,FALSE))/100*$P23</f>
        <v>0.45200000000000001</v>
      </c>
      <c r="G23" s="168">
        <f>IF($C23="","",VLOOKUP($C23,성분!$B$2:$O$51519,4,FALSE))/100*$P23</f>
        <v>7.400000000000001E-2</v>
      </c>
      <c r="H23" s="168">
        <f>IF($C23="","",VLOOKUP($C23,성분!$B$2:$O$51519,6,FALSE))/100*$P23</f>
        <v>1.1000000000000001E-2</v>
      </c>
      <c r="I23" s="168">
        <f>IF($C23="","",VLOOKUP($C23,성분!$B$2:$O$51519,7,FALSE))/100*$P23</f>
        <v>7.08</v>
      </c>
      <c r="J23" s="168">
        <f>IF($C23="","",VLOOKUP($C23,성분!$B$2:$O$51519,8,FALSE))/100*$P23</f>
        <v>6.3E-2</v>
      </c>
      <c r="K23" s="168">
        <f>IF($C23="","",VLOOKUP($C23,성분!$B$2:$O$51519,9,FALSE))/100*$P23</f>
        <v>0.96</v>
      </c>
      <c r="L23" s="168">
        <f>IF($C23="","",VLOOKUP($C23,성분!$B$2:$O$51519,10,FALSE))/100*$P23</f>
        <v>2.2000000000000001E-3</v>
      </c>
      <c r="M23" s="168">
        <f>IF($C23="","",VLOOKUP($C23,성분!$B$2:$O$51519,11,FALSE))/100*$P23</f>
        <v>4.5000000000000005E-3</v>
      </c>
      <c r="N23" s="168">
        <f>IF($C23="","",VLOOKUP($C23,성분!$B$2:$O$51519,12,FALSE))/100*$P23</f>
        <v>4.4999999999999998E-2</v>
      </c>
      <c r="O23" s="167">
        <f>IF($C23="","",VLOOKUP($C23,성분!$B$2:$O$51519,13,FALSE))/100*$P23</f>
        <v>0.18</v>
      </c>
      <c r="P23" s="165">
        <f t="shared" ref="P23:P24" si="12">D23</f>
        <v>1</v>
      </c>
      <c r="Q23" s="162">
        <f t="shared" ref="Q23:Q24" si="13">($O$8*P23)/1000</f>
        <v>0.39400000000000002</v>
      </c>
      <c r="R23" s="18"/>
    </row>
    <row r="24" spans="1:18" s="160" customFormat="1" ht="27.6" customHeight="1">
      <c r="A24" s="166">
        <v>12</v>
      </c>
      <c r="B24" s="171"/>
      <c r="C24" s="169" t="s">
        <v>2379</v>
      </c>
      <c r="D24" s="168">
        <v>1</v>
      </c>
      <c r="E24" s="168">
        <f>IF($C24="","",VLOOKUP($C24,성분!$B$2:$O$51519,3,FALSE))/100*P24</f>
        <v>3.03</v>
      </c>
      <c r="F24" s="168">
        <f>IF($C24="","",VLOOKUP($C24,성분!$B$2:$O$51519,5,FALSE))/100*$P24</f>
        <v>3.0000000000000001E-3</v>
      </c>
      <c r="G24" s="168">
        <f>IF($C24="","",VLOOKUP($C24,성분!$B$2:$O$51519,4,FALSE))/100*$P24</f>
        <v>0.33</v>
      </c>
      <c r="H24" s="168">
        <f>IF($C24="","",VLOOKUP($C24,성분!$B$2:$O$51519,6,FALSE))/100*$P24</f>
        <v>7.2999999999999995E-2</v>
      </c>
      <c r="I24" s="168">
        <f>IF($C24="","",VLOOKUP($C24,성분!$B$2:$O$51519,7,FALSE))/100*$P24</f>
        <v>17</v>
      </c>
      <c r="J24" s="168">
        <f>IF($C24="","",VLOOKUP($C24,성분!$B$2:$O$51519,8,FALSE))/100*$P24</f>
        <v>0.04</v>
      </c>
      <c r="K24" s="168">
        <f>IF($C24="","",VLOOKUP($C24,성분!$B$2:$O$51519,9,FALSE))/100*$P24</f>
        <v>0</v>
      </c>
      <c r="L24" s="168">
        <f>IF($C24="","",VLOOKUP($C24,성분!$B$2:$O$51519,10,FALSE))/100*$P24</f>
        <v>1.4000000000000002E-3</v>
      </c>
      <c r="M24" s="168">
        <f>IF($C24="","",VLOOKUP($C24,성분!$B$2:$O$51519,11,FALSE))/100*$P24</f>
        <v>1.1999999999999999E-3</v>
      </c>
      <c r="N24" s="168">
        <f>IF($C24="","",VLOOKUP($C24,성분!$B$2:$O$51519,12,FALSE))/100*$P24</f>
        <v>0.02</v>
      </c>
      <c r="O24" s="167">
        <f>IF($C24="","",VLOOKUP($C24,성분!$B$2:$O$51519,13,FALSE))/100*$P24</f>
        <v>0</v>
      </c>
      <c r="P24" s="165">
        <f t="shared" si="12"/>
        <v>1</v>
      </c>
      <c r="Q24" s="162">
        <f t="shared" si="13"/>
        <v>0.39400000000000002</v>
      </c>
      <c r="R24" s="18">
        <f t="shared" ref="R24" si="14">INT(Q24)</f>
        <v>0</v>
      </c>
    </row>
    <row r="25" spans="1:18" customFormat="1" ht="27.75" customHeight="1">
      <c r="A25" s="42">
        <v>11</v>
      </c>
      <c r="B25" s="30" t="s">
        <v>2462</v>
      </c>
      <c r="C25" s="22" t="s">
        <v>2463</v>
      </c>
      <c r="D25" s="16">
        <v>125</v>
      </c>
      <c r="E25" s="168">
        <f>IF($C25="","",VLOOKUP($C25,성분!$B$2:$O$51519,3,FALSE))/100*P25</f>
        <v>292.5</v>
      </c>
      <c r="F25" s="168">
        <f>IF($C25="","",VLOOKUP($C25,성분!$B$2:$O$51519,5,FALSE))/100*$P25</f>
        <v>13.125</v>
      </c>
      <c r="G25" s="168">
        <f>IF($C25="","",VLOOKUP($C25,성분!$B$2:$O$51519,4,FALSE))/100*$P25</f>
        <v>9.0000000000000018</v>
      </c>
      <c r="H25" s="168">
        <f>IF($C25="","",VLOOKUP($C25,성분!$B$2:$O$51519,6,FALSE))/100*$P25</f>
        <v>8.625</v>
      </c>
      <c r="I25" s="168">
        <f>IF($C25="","",VLOOKUP($C25,성분!$B$2:$O$51519,7,FALSE))/100*$P25</f>
        <v>1.25</v>
      </c>
      <c r="J25" s="168">
        <f>IF($C25="","",VLOOKUP($C25,성분!$B$2:$O$51519,8,FALSE))/100*$P25</f>
        <v>1.25</v>
      </c>
      <c r="K25" s="168">
        <f>IF($C25="","",VLOOKUP($C25,성분!$B$2:$O$51519,9,FALSE))/100*$P25</f>
        <v>20</v>
      </c>
      <c r="L25" s="168">
        <f>IF($C25="","",VLOOKUP($C25,성분!$B$2:$O$51519,10,FALSE))/100*$P25</f>
        <v>0.125</v>
      </c>
      <c r="M25" s="168">
        <f>IF($C25="","",VLOOKUP($C25,성분!$B$2:$O$51519,11,FALSE))/100*$P25</f>
        <v>0.1</v>
      </c>
      <c r="N25" s="168">
        <f>IF($C25="","",VLOOKUP($C25,성분!$B$2:$O$51519,12,FALSE))/100*$P25</f>
        <v>1.0874999999999999</v>
      </c>
      <c r="O25" s="167">
        <f>IF($C25="","",VLOOKUP($C25,성분!$B$2:$O$51519,13,FALSE))/100*$P25</f>
        <v>0</v>
      </c>
      <c r="P25" s="38">
        <f t="shared" si="10"/>
        <v>125</v>
      </c>
      <c r="Q25" s="17">
        <f t="shared" si="11"/>
        <v>49.25</v>
      </c>
      <c r="R25" s="18"/>
    </row>
    <row r="26" spans="1:18" customFormat="1" ht="27.75" customHeight="1">
      <c r="A26" s="42">
        <v>13</v>
      </c>
      <c r="B26" s="30"/>
      <c r="C26" s="22" t="s">
        <v>1190</v>
      </c>
      <c r="D26" s="16">
        <v>30</v>
      </c>
      <c r="E26" s="168">
        <f>IF($C26="","",VLOOKUP($C26,성분!$B$2:$O$51519,3,FALSE))/100*P26</f>
        <v>10.5</v>
      </c>
      <c r="F26" s="168">
        <f>IF($C26="","",VLOOKUP($C26,성분!$B$2:$O$51519,5,FALSE))/100*$P26</f>
        <v>2.298</v>
      </c>
      <c r="G26" s="168">
        <f>IF($C26="","",VLOOKUP($C26,성분!$B$2:$O$51519,4,FALSE))/100*$P26</f>
        <v>0.3</v>
      </c>
      <c r="H26" s="168">
        <f>IF($C26="","",VLOOKUP($C26,성분!$B$2:$O$51519,6,FALSE))/100*$P26</f>
        <v>5.7000000000000002E-2</v>
      </c>
      <c r="I26" s="168">
        <f>IF($C26="","",VLOOKUP($C26,성분!$B$2:$O$51519,7,FALSE))/100*$P26</f>
        <v>4.5</v>
      </c>
      <c r="J26" s="168">
        <f>IF($C26="","",VLOOKUP($C26,성분!$B$2:$O$51519,8,FALSE))/100*$P26</f>
        <v>0.09</v>
      </c>
      <c r="K26" s="168">
        <f>IF($C26="","",VLOOKUP($C26,성분!$B$2:$O$51519,9,FALSE))/100*$P26</f>
        <v>0</v>
      </c>
      <c r="L26" s="168">
        <f>IF($C26="","",VLOOKUP($C26,성분!$B$2:$O$51519,10,FALSE))/100*$P26</f>
        <v>1.2E-2</v>
      </c>
      <c r="M26" s="168">
        <f>IF($C26="","",VLOOKUP($C26,성분!$B$2:$O$51519,11,FALSE))/100*$P26</f>
        <v>3.0000000000000001E-3</v>
      </c>
      <c r="N26" s="168">
        <f>IF($C26="","",VLOOKUP($C26,성분!$B$2:$O$51519,12,FALSE))/100*$P26</f>
        <v>0.06</v>
      </c>
      <c r="O26" s="167">
        <f>IF($C26="","",VLOOKUP($C26,성분!$B$2:$O$51519,13,FALSE))/100*$P26</f>
        <v>2.4</v>
      </c>
      <c r="P26" s="38">
        <f t="shared" si="10"/>
        <v>30</v>
      </c>
      <c r="Q26" s="17">
        <f t="shared" si="11"/>
        <v>11.82</v>
      </c>
      <c r="R26" s="18"/>
    </row>
    <row r="27" spans="1:18" customFormat="1" ht="27.75" customHeight="1">
      <c r="A27" s="42">
        <v>14</v>
      </c>
      <c r="B27" s="30"/>
      <c r="C27" s="22" t="s">
        <v>2464</v>
      </c>
      <c r="D27" s="16">
        <v>5</v>
      </c>
      <c r="E27" s="168">
        <f>IF($C27="","",VLOOKUP($C27,성분!$B$2:$O$51519,3,FALSE))/100*P27</f>
        <v>2</v>
      </c>
      <c r="F27" s="168">
        <f>IF($C27="","",VLOOKUP($C27,성분!$B$2:$O$51519,5,FALSE))/100*$P27</f>
        <v>1.21</v>
      </c>
      <c r="G27" s="168">
        <f>IF($C27="","",VLOOKUP($C27,성분!$B$2:$O$51519,4,FALSE))/100*$P27</f>
        <v>0.17500000000000002</v>
      </c>
      <c r="H27" s="168">
        <f>IF($C27="","",VLOOKUP($C27,성분!$B$2:$O$51519,6,FALSE))/100*$P27</f>
        <v>1.7000000000000001E-2</v>
      </c>
      <c r="I27" s="168">
        <f>IF($C27="","",VLOOKUP($C27,성분!$B$2:$O$51519,7,FALSE))/100*$P27</f>
        <v>1.6</v>
      </c>
      <c r="J27" s="168">
        <f>IF($C27="","",VLOOKUP($C27,성분!$B$2:$O$51519,8,FALSE))/100*$P27</f>
        <v>0.05</v>
      </c>
      <c r="K27" s="168">
        <f>IF($C27="","",VLOOKUP($C27,성분!$B$2:$O$51519,9,FALSE))/100*$P27</f>
        <v>14.1</v>
      </c>
      <c r="L27" s="168">
        <f>IF($C27="","",VLOOKUP($C27,성분!$B$2:$O$51519,10,FALSE))/100*$P27</f>
        <v>6.4999999999999997E-3</v>
      </c>
      <c r="M27" s="168">
        <f>IF($C27="","",VLOOKUP($C27,성분!$B$2:$O$51519,11,FALSE))/100*$P27</f>
        <v>5.9999999999999993E-3</v>
      </c>
      <c r="N27" s="168">
        <f>IF($C27="","",VLOOKUP($C27,성분!$B$2:$O$51519,12,FALSE))/100*$P27</f>
        <v>0.04</v>
      </c>
      <c r="O27" s="167">
        <f>IF($C27="","",VLOOKUP($C27,성분!$B$2:$O$51519,13,FALSE))/100*$P27</f>
        <v>0.5</v>
      </c>
      <c r="P27" s="38">
        <f t="shared" si="10"/>
        <v>5</v>
      </c>
      <c r="Q27" s="17">
        <f t="shared" si="11"/>
        <v>1.97</v>
      </c>
      <c r="R27" s="18"/>
    </row>
    <row r="28" spans="1:18" customFormat="1" ht="27.75" customHeight="1">
      <c r="A28" s="42">
        <v>15</v>
      </c>
      <c r="B28" s="30"/>
      <c r="C28" s="22" t="s">
        <v>2465</v>
      </c>
      <c r="D28" s="16">
        <v>5</v>
      </c>
      <c r="E28" s="168">
        <f>IF($C28="","",VLOOKUP($C28,성분!$B$2:$O$51519,3,FALSE))/100*P28</f>
        <v>1.3</v>
      </c>
      <c r="F28" s="168">
        <f>IF($C28="","",VLOOKUP($C28,성분!$B$2:$O$51519,5,FALSE))/100*$P28</f>
        <v>0.223</v>
      </c>
      <c r="G28" s="168">
        <f>IF($C28="","",VLOOKUP($C28,성분!$B$2:$O$51519,4,FALSE))/100*$P28</f>
        <v>0</v>
      </c>
      <c r="H28" s="168">
        <f>IF($C28="","",VLOOKUP($C28,성분!$B$2:$O$51519,6,FALSE))/100*$P28</f>
        <v>1.2999999999999999E-2</v>
      </c>
      <c r="I28" s="168">
        <f>IF($C28="","",VLOOKUP($C28,성분!$B$2:$O$51519,7,FALSE))/100*$P28</f>
        <v>4.0500000000000007</v>
      </c>
      <c r="J28" s="168">
        <f>IF($C28="","",VLOOKUP($C28,성분!$B$2:$O$51519,8,FALSE))/100*$P28</f>
        <v>0.05</v>
      </c>
      <c r="K28" s="168">
        <f>IF($C28="","",VLOOKUP($C28,성분!$B$2:$O$51519,9,FALSE))/100*$P28</f>
        <v>6.45</v>
      </c>
      <c r="L28" s="168">
        <f>IF($C28="","",VLOOKUP($C28,성분!$B$2:$O$51519,10,FALSE))/100*$P28</f>
        <v>2.9999999999999996E-3</v>
      </c>
      <c r="M28" s="168">
        <f>IF($C28="","",VLOOKUP($C28,성분!$B$2:$O$51519,11,FALSE))/100*$P28</f>
        <v>4.4999999999999997E-3</v>
      </c>
      <c r="N28" s="168">
        <f>IF($C28="","",VLOOKUP($C28,성분!$B$2:$O$51519,12,FALSE))/100*$P28</f>
        <v>0.03</v>
      </c>
      <c r="O28" s="167">
        <f>IF($C28="","",VLOOKUP($C28,성분!$B$2:$O$51519,13,FALSE))/100*$P28</f>
        <v>1.05</v>
      </c>
      <c r="P28" s="38">
        <f t="shared" si="10"/>
        <v>5</v>
      </c>
      <c r="Q28" s="17">
        <f t="shared" si="11"/>
        <v>1.97</v>
      </c>
      <c r="R28" s="18"/>
    </row>
    <row r="29" spans="1:18" s="160" customFormat="1" ht="27.75" customHeight="1">
      <c r="A29" s="166">
        <v>20</v>
      </c>
      <c r="B29" s="171" t="s">
        <v>2307</v>
      </c>
      <c r="C29" s="169" t="s">
        <v>288</v>
      </c>
      <c r="D29" s="168">
        <v>80</v>
      </c>
      <c r="E29" s="168">
        <f>IF($C29="","",VLOOKUP($C29,성분!$B$2:$O$51519,3,FALSE))/100*P29</f>
        <v>74.400000000000006</v>
      </c>
      <c r="F29" s="168">
        <f>IF($C29="","",VLOOKUP($C29,성분!$B$2:$O$51519,5,FALSE))/100*$P29</f>
        <v>16.96</v>
      </c>
      <c r="G29" s="168">
        <f>IF($C29="","",VLOOKUP($C29,성분!$B$2:$O$51519,4,FALSE))/100*$P29</f>
        <v>0.96</v>
      </c>
      <c r="H29" s="168">
        <f>IF($C29="","",VLOOKUP($C29,성분!$B$2:$O$51519,6,FALSE))/100*$P29</f>
        <v>9.5999999999999988E-2</v>
      </c>
      <c r="I29" s="168">
        <f>IF($C29="","",VLOOKUP($C29,성분!$B$2:$O$51519,7,FALSE))/100*$P29</f>
        <v>5.6000000000000005</v>
      </c>
      <c r="J29" s="168">
        <f>IF($C29="","",VLOOKUP($C29,성분!$B$2:$O$51519,8,FALSE))/100*$P29</f>
        <v>0.48</v>
      </c>
      <c r="K29" s="168">
        <f>IF($C29="","",VLOOKUP($C29,성분!$B$2:$O$51519,9,FALSE))/100*$P29</f>
        <v>5.6000000000000005</v>
      </c>
      <c r="L29" s="168">
        <f>IF($C29="","",VLOOKUP($C29,성분!$B$2:$O$51519,10,FALSE))/100*$P29</f>
        <v>3.2000000000000001E-2</v>
      </c>
      <c r="M29" s="168">
        <f>IF($C29="","",VLOOKUP($C29,성분!$B$2:$O$51519,11,FALSE))/100*$P29</f>
        <v>2.3999999999999997E-2</v>
      </c>
      <c r="N29" s="168">
        <f>IF($C29="","",VLOOKUP($C29,성분!$B$2:$O$51519,12,FALSE))/100*$P29</f>
        <v>0.4</v>
      </c>
      <c r="O29" s="167">
        <f>IF($C29="","",VLOOKUP($C29,성분!$B$2:$O$51519,13,FALSE))/100*$P29</f>
        <v>6.4</v>
      </c>
      <c r="P29" s="165">
        <f t="shared" ref="P29:P33" si="15">D29</f>
        <v>80</v>
      </c>
      <c r="Q29" s="162">
        <f t="shared" ref="Q29:Q33" si="16">($O$8*P29)/1000</f>
        <v>31.52</v>
      </c>
      <c r="R29" s="18"/>
    </row>
    <row r="30" spans="1:18" s="160" customFormat="1" ht="27.75" customHeight="1">
      <c r="A30" s="166">
        <v>21</v>
      </c>
      <c r="B30" s="171"/>
      <c r="C30" s="169" t="s">
        <v>2363</v>
      </c>
      <c r="D30" s="168">
        <v>7</v>
      </c>
      <c r="E30" s="168">
        <f>IF($C30="","",VLOOKUP($C30,성분!$B$2:$O$51519,3,FALSE))/100*P30</f>
        <v>26.599999999999998</v>
      </c>
      <c r="F30" s="168">
        <f>IF($C30="","",VLOOKUP($C30,성분!$B$2:$O$51519,5,FALSE))/100*$P30</f>
        <v>6.09</v>
      </c>
      <c r="G30" s="168">
        <f>IF($C30="","",VLOOKUP($C30,성분!$B$2:$O$51519,4,FALSE))/100*$P30</f>
        <v>0.42</v>
      </c>
      <c r="H30" s="168">
        <f>IF($C30="","",VLOOKUP($C30,성분!$B$2:$O$51519,6,FALSE))/100*$P30</f>
        <v>7.0000000000000007E-2</v>
      </c>
      <c r="I30" s="168">
        <f>IF($C30="","",VLOOKUP($C30,성분!$B$2:$O$51519,7,FALSE))/100*$P30</f>
        <v>0</v>
      </c>
      <c r="J30" s="168">
        <f>IF($C30="","",VLOOKUP($C30,성분!$B$2:$O$51519,8,FALSE))/100*$P30</f>
        <v>0.28000000000000003</v>
      </c>
      <c r="K30" s="168">
        <f>IF($C30="","",VLOOKUP($C30,성분!$B$2:$O$51519,9,FALSE))/100*$P30</f>
        <v>40.833100000000002</v>
      </c>
      <c r="L30" s="168">
        <f>IF($C30="","",VLOOKUP($C30,성분!$B$2:$O$51519,10,FALSE))/100*$P30</f>
        <v>7.0000000000000007E-2</v>
      </c>
      <c r="M30" s="168">
        <f>IF($C30="","",VLOOKUP($C30,성분!$B$2:$O$51519,11,FALSE))/100*$P30</f>
        <v>8.1899999999999987E-2</v>
      </c>
      <c r="N30" s="168">
        <f>IF($C30="","",VLOOKUP($C30,성분!$B$2:$O$51519,12,FALSE))/100*$P30</f>
        <v>0.875</v>
      </c>
      <c r="O30" s="167">
        <f>IF($C30="","",VLOOKUP($C30,성분!$B$2:$O$51519,13,FALSE))/100*$P30</f>
        <v>5.8331</v>
      </c>
      <c r="P30" s="165">
        <f t="shared" si="15"/>
        <v>7</v>
      </c>
      <c r="Q30" s="162">
        <f t="shared" si="16"/>
        <v>2.758</v>
      </c>
      <c r="R30" s="18"/>
    </row>
    <row r="31" spans="1:18" s="160" customFormat="1" ht="27.75" customHeight="1">
      <c r="A31" s="166">
        <v>22</v>
      </c>
      <c r="B31" s="171"/>
      <c r="C31" s="169" t="s">
        <v>346</v>
      </c>
      <c r="D31" s="168">
        <v>5</v>
      </c>
      <c r="E31" s="168">
        <f>IF($C31="","",VLOOKUP($C31,성분!$B$2:$O$51519,3,FALSE))/100*P31</f>
        <v>13.700000000000001</v>
      </c>
      <c r="F31" s="168">
        <f>IF($C31="","",VLOOKUP($C31,성분!$B$2:$O$51519,5,FALSE))/100*$P31</f>
        <v>3.69</v>
      </c>
      <c r="G31" s="168">
        <f>IF($C31="","",VLOOKUP($C31,성분!$B$2:$O$51519,4,FALSE))/100*$P31</f>
        <v>0.15</v>
      </c>
      <c r="H31" s="168">
        <f>IF($C31="","",VLOOKUP($C31,성분!$B$2:$O$51519,6,FALSE))/100*$P31</f>
        <v>0.01</v>
      </c>
      <c r="I31" s="168">
        <f>IF($C31="","",VLOOKUP($C31,성분!$B$2:$O$51519,7,FALSE))/100*$P31</f>
        <v>2.9</v>
      </c>
      <c r="J31" s="168">
        <f>IF($C31="","",VLOOKUP($C31,성분!$B$2:$O$51519,8,FALSE))/100*$P31</f>
        <v>0.10500000000000001</v>
      </c>
      <c r="K31" s="168">
        <f>IF($C31="","",VLOOKUP($C31,성분!$B$2:$O$51519,9,FALSE))/100*$P31</f>
        <v>0</v>
      </c>
      <c r="L31" s="168">
        <f>IF($C31="","",VLOOKUP($C31,성분!$B$2:$O$51519,10,FALSE))/100*$P31</f>
        <v>7.000000000000001E-3</v>
      </c>
      <c r="M31" s="168">
        <f>IF($C31="","",VLOOKUP($C31,성분!$B$2:$O$51519,11,FALSE))/100*$P31</f>
        <v>1.4999999999999998E-3</v>
      </c>
      <c r="N31" s="168">
        <f>IF($C31="","",VLOOKUP($C31,성분!$B$2:$O$51519,12,FALSE))/100*$P31</f>
        <v>0.03</v>
      </c>
      <c r="O31" s="167">
        <f>IF($C31="","",VLOOKUP($C31,성분!$B$2:$O$51519,13,FALSE))/100*$P31</f>
        <v>0</v>
      </c>
      <c r="P31" s="165">
        <f t="shared" si="15"/>
        <v>5</v>
      </c>
      <c r="Q31" s="162">
        <f t="shared" si="16"/>
        <v>1.97</v>
      </c>
      <c r="R31" s="18"/>
    </row>
    <row r="32" spans="1:18" s="160" customFormat="1" ht="27.75" customHeight="1">
      <c r="A32" s="166">
        <v>23</v>
      </c>
      <c r="B32" s="171"/>
      <c r="C32" s="169" t="s">
        <v>2364</v>
      </c>
      <c r="D32" s="168">
        <v>10</v>
      </c>
      <c r="E32" s="168">
        <f>IF($C32="","",VLOOKUP($C32,성분!$B$2:$O$51519,3,FALSE))/100*P32</f>
        <v>7.9</v>
      </c>
      <c r="F32" s="168">
        <f>IF($C32="","",VLOOKUP($C32,성분!$B$2:$O$51519,5,FALSE))/100*$P32</f>
        <v>2.34</v>
      </c>
      <c r="G32" s="168">
        <f>IF($C32="","",VLOOKUP($C32,성분!$B$2:$O$51519,4,FALSE))/100*$P32</f>
        <v>0.04</v>
      </c>
      <c r="H32" s="168">
        <f>IF($C32="","",VLOOKUP($C32,성분!$B$2:$O$51519,6,FALSE))/100*$P32</f>
        <v>0.01</v>
      </c>
      <c r="I32" s="168">
        <f>IF($C32="","",VLOOKUP($C32,성분!$B$2:$O$51519,7,FALSE))/100*$P32</f>
        <v>0.6</v>
      </c>
      <c r="J32" s="168">
        <f>IF($C32="","",VLOOKUP($C32,성분!$B$2:$O$51519,8,FALSE))/100*$P32</f>
        <v>0.03</v>
      </c>
      <c r="K32" s="168">
        <f>IF($C32="","",VLOOKUP($C32,성분!$B$2:$O$51519,9,FALSE))/100*$P32</f>
        <v>0.2</v>
      </c>
      <c r="L32" s="168">
        <f>IF($C32="","",VLOOKUP($C32,성분!$B$2:$O$51519,10,FALSE))/100*$P32</f>
        <v>2E-3</v>
      </c>
      <c r="M32" s="168">
        <f>IF($C32="","",VLOOKUP($C32,성분!$B$2:$O$51519,11,FALSE))/100*$P32</f>
        <v>2E-3</v>
      </c>
      <c r="N32" s="168">
        <f>IF($C32="","",VLOOKUP($C32,성분!$B$2:$O$51519,12,FALSE))/100*$P32</f>
        <v>0.04</v>
      </c>
      <c r="O32" s="167">
        <f>IF($C32="","",VLOOKUP($C32,성분!$B$2:$O$51519,13,FALSE))/100*$P32</f>
        <v>0.2</v>
      </c>
      <c r="P32" s="165">
        <f t="shared" si="15"/>
        <v>10</v>
      </c>
      <c r="Q32" s="162">
        <f t="shared" si="16"/>
        <v>3.94</v>
      </c>
      <c r="R32" s="18"/>
    </row>
    <row r="33" spans="1:19" s="160" customFormat="1" ht="27.75" customHeight="1">
      <c r="A33" s="166">
        <v>24</v>
      </c>
      <c r="B33" s="171"/>
      <c r="C33" s="169" t="s">
        <v>2220</v>
      </c>
      <c r="D33" s="168">
        <v>3</v>
      </c>
      <c r="E33" s="168">
        <f>IF($C33="","",VLOOKUP($C33,성분!$B$2:$O$51519,3,FALSE))/100*P33</f>
        <v>21.21</v>
      </c>
      <c r="F33" s="168">
        <f>IF($C33="","",VLOOKUP($C33,성분!$B$2:$O$51519,5,FALSE))/100*$P33</f>
        <v>0.126</v>
      </c>
      <c r="G33" s="168">
        <f>IF($C33="","",VLOOKUP($C33,성분!$B$2:$O$51519,4,FALSE))/100*$P33</f>
        <v>1.8000000000000002E-2</v>
      </c>
      <c r="H33" s="168">
        <f>IF($C33="","",VLOOKUP($C33,성분!$B$2:$O$51519,6,FALSE))/100*$P33</f>
        <v>2.1270000000000002</v>
      </c>
      <c r="I33" s="168">
        <f>IF($C33="","",VLOOKUP($C33,성분!$B$2:$O$51519,7,FALSE))/100*$P33</f>
        <v>0.63</v>
      </c>
      <c r="J33" s="168">
        <f>IF($C33="","",VLOOKUP($C33,성분!$B$2:$O$51519,8,FALSE))/100*$P33</f>
        <v>2.4000000000000002E-3</v>
      </c>
      <c r="K33" s="168">
        <f>IF($C33="","",VLOOKUP($C33,성분!$B$2:$O$51519,9,FALSE))/100*$P33</f>
        <v>0.44999999999999996</v>
      </c>
      <c r="L33" s="168">
        <f>IF($C33="","",VLOOKUP($C33,성분!$B$2:$O$51519,10,FALSE))/100*$P33</f>
        <v>6.0000000000000006E-4</v>
      </c>
      <c r="M33" s="168">
        <f>IF($C33="","",VLOOKUP($C33,성분!$B$2:$O$51519,11,FALSE))/100*$P33</f>
        <v>8.9999999999999998E-4</v>
      </c>
      <c r="N33" s="168">
        <f>IF($C33="","",VLOOKUP($C33,성분!$B$2:$O$51519,12,FALSE))/100*$P33</f>
        <v>3.0000000000000001E-3</v>
      </c>
      <c r="O33" s="167">
        <f>IF($C33="","",VLOOKUP($C33,성분!$B$2:$O$51519,13,FALSE))/100*$P33</f>
        <v>0</v>
      </c>
      <c r="P33" s="165">
        <f t="shared" si="15"/>
        <v>3</v>
      </c>
      <c r="Q33" s="162">
        <f t="shared" si="16"/>
        <v>1.1819999999999999</v>
      </c>
      <c r="R33" s="18"/>
    </row>
    <row r="34" spans="1:19" s="160" customFormat="1" ht="27.75" customHeight="1">
      <c r="A34" s="166">
        <v>25</v>
      </c>
      <c r="B34" s="171" t="s">
        <v>1084</v>
      </c>
      <c r="C34" s="169" t="s">
        <v>1084</v>
      </c>
      <c r="D34" s="168">
        <v>30</v>
      </c>
      <c r="E34" s="168">
        <f>IF($C34="","",VLOOKUP($C34,성분!$B$2:$O$51519,3,FALSE))/100*P34</f>
        <v>15</v>
      </c>
      <c r="F34" s="168">
        <f>IF($C34="","",VLOOKUP($C34,성분!$B$2:$O$51519,5,FALSE))/100*$P34</f>
        <v>1.32</v>
      </c>
      <c r="G34" s="168">
        <f>IF($C34="","",VLOOKUP($C34,성분!$B$2:$O$51519,4,FALSE))/100*$P34</f>
        <v>0.6</v>
      </c>
      <c r="H34" s="168">
        <f>IF($C34="","",VLOOKUP($C34,성분!$B$2:$O$51519,6,FALSE))/100*$P34</f>
        <v>0.06</v>
      </c>
      <c r="I34" s="168">
        <f>IF($C34="","",VLOOKUP($C34,성분!$B$2:$O$51519,7,FALSE))/100*$P34</f>
        <v>14.1</v>
      </c>
      <c r="J34" s="168">
        <f>IF($C34="","",VLOOKUP($C34,성분!$B$2:$O$51519,8,FALSE))/100*$P34</f>
        <v>0.89999999999999991</v>
      </c>
      <c r="K34" s="168">
        <f>IF($C34="","",VLOOKUP($C34,성분!$B$2:$O$51519,9,FALSE))/100*$P34</f>
        <v>14.399999999999999</v>
      </c>
      <c r="L34" s="168">
        <f>IF($C34="","",VLOOKUP($C34,성분!$B$2:$O$51519,10,FALSE))/100*$P34</f>
        <v>1.7999999999999999E-2</v>
      </c>
      <c r="M34" s="168">
        <f>IF($C34="","",VLOOKUP($C34,성분!$B$2:$O$51519,11,FALSE))/100*$P34</f>
        <v>1.7999999999999999E-2</v>
      </c>
      <c r="N34" s="168">
        <f>IF($C34="","",VLOOKUP($C34,성분!$B$2:$O$51519,12,FALSE))/100*$P34</f>
        <v>0.24</v>
      </c>
      <c r="O34" s="167">
        <f>IF($C34="","",VLOOKUP($C34,성분!$B$2:$O$51519,13,FALSE))/100*$P34</f>
        <v>4.2</v>
      </c>
      <c r="P34" s="165">
        <f t="shared" ref="P34" si="17">D34</f>
        <v>30</v>
      </c>
      <c r="Q34" s="162">
        <f t="shared" ref="Q34" si="18">($O$8*P34)/1000</f>
        <v>11.82</v>
      </c>
      <c r="R34" s="18"/>
    </row>
    <row r="35" spans="1:19" customFormat="1" ht="27.6" customHeight="1">
      <c r="A35" s="166">
        <v>26</v>
      </c>
      <c r="B35" s="30" t="s">
        <v>2308</v>
      </c>
      <c r="C35" s="22" t="s">
        <v>2366</v>
      </c>
      <c r="D35" s="16">
        <v>135</v>
      </c>
      <c r="E35" s="168">
        <f>IF($C35="","",VLOOKUP($C35,성분!$B$2:$O$51519,3,FALSE))/100*P35</f>
        <v>75.006</v>
      </c>
      <c r="F35" s="168">
        <f>IF($C35="","",VLOOKUP($C35,성분!$B$2:$O$51519,5,FALSE))/100*$P35</f>
        <v>17.9955</v>
      </c>
      <c r="G35" s="168">
        <f>IF($C35="","",VLOOKUP($C35,성분!$B$2:$O$51519,4,FALSE))/100*$P35</f>
        <v>0.999</v>
      </c>
      <c r="H35" s="168">
        <f>IF($C35="","",VLOOKUP($C35,성분!$B$2:$O$51519,6,FALSE))/100*$P35</f>
        <v>0</v>
      </c>
      <c r="I35" s="168">
        <f>IF($C35="","",VLOOKUP($C35,성분!$B$2:$O$51519,7,FALSE))/100*$P35</f>
        <v>14.85</v>
      </c>
      <c r="J35" s="168">
        <f>IF($C35="","",VLOOKUP($C35,성분!$B$2:$O$51519,8,FALSE))/100*$P35</f>
        <v>0</v>
      </c>
      <c r="K35" s="168">
        <f>IF($C35="","",VLOOKUP($C35,성분!$B$2:$O$51519,9,FALSE))/100*$P35</f>
        <v>0</v>
      </c>
      <c r="L35" s="168">
        <f>IF($C35="","",VLOOKUP($C35,성분!$B$2:$O$51519,10,FALSE))/100*$P35</f>
        <v>0</v>
      </c>
      <c r="M35" s="168">
        <f>IF($C35="","",VLOOKUP($C35,성분!$B$2:$O$51519,11,FALSE))/100*$P35</f>
        <v>0</v>
      </c>
      <c r="N35" s="168">
        <f>IF($C35="","",VLOOKUP($C35,성분!$B$2:$O$51519,12,FALSE))/100*$P35</f>
        <v>0</v>
      </c>
      <c r="O35" s="167">
        <f>IF($C35="","",VLOOKUP($C35,성분!$B$2:$O$51519,13,FALSE))/100*$P35</f>
        <v>0</v>
      </c>
      <c r="P35" s="38">
        <f t="shared" si="5"/>
        <v>135</v>
      </c>
      <c r="Q35" s="17">
        <f t="shared" si="3"/>
        <v>53.19</v>
      </c>
      <c r="R35" s="18">
        <f t="shared" si="4"/>
        <v>53</v>
      </c>
    </row>
    <row r="36" spans="1:19" customFormat="1" ht="32.25" customHeight="1">
      <c r="A36" s="235" t="s">
        <v>1628</v>
      </c>
      <c r="B36" s="236"/>
      <c r="C36" s="236"/>
      <c r="D36" s="237"/>
      <c r="E36" s="19">
        <f t="shared" ref="E36:O36" si="19">SUM(E11:E35)</f>
        <v>820.7059999999999</v>
      </c>
      <c r="F36" s="19">
        <f t="shared" si="19"/>
        <v>138.09129999999999</v>
      </c>
      <c r="G36" s="19">
        <f t="shared" si="19"/>
        <v>25.394000000000005</v>
      </c>
      <c r="H36" s="19">
        <f t="shared" si="19"/>
        <v>14.750600000000002</v>
      </c>
      <c r="I36" s="44">
        <f t="shared" si="19"/>
        <v>167.09999999999997</v>
      </c>
      <c r="J36" s="19">
        <f t="shared" si="19"/>
        <v>5.6674000000000007</v>
      </c>
      <c r="K36" s="19">
        <f t="shared" si="19"/>
        <v>265.06309999999991</v>
      </c>
      <c r="L36" s="19">
        <f t="shared" si="19"/>
        <v>0.48210000000000008</v>
      </c>
      <c r="M36" s="19">
        <f t="shared" si="19"/>
        <v>0.37690000000000007</v>
      </c>
      <c r="N36" s="19">
        <f t="shared" si="19"/>
        <v>5.5990000000000002</v>
      </c>
      <c r="O36" s="19">
        <f t="shared" si="19"/>
        <v>31.643099999999997</v>
      </c>
      <c r="P36" s="38">
        <f t="shared" si="2"/>
        <v>0</v>
      </c>
      <c r="Q36" s="17">
        <f t="shared" si="3"/>
        <v>0</v>
      </c>
      <c r="R36" s="18">
        <f t="shared" si="4"/>
        <v>0</v>
      </c>
    </row>
    <row r="37" spans="1:19" s="21" customFormat="1" ht="32.25" customHeight="1">
      <c r="A37" s="238" t="s">
        <v>1790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40"/>
      <c r="P37" s="20"/>
      <c r="Q37"/>
      <c r="R37" s="18">
        <f>INT(Q37)</f>
        <v>0</v>
      </c>
    </row>
    <row r="38" spans="1:19" customFormat="1" ht="19.5" customHeight="1">
      <c r="A38" s="220" t="s">
        <v>1629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2"/>
      <c r="S38" s="18">
        <f>INT(R38)</f>
        <v>0</v>
      </c>
    </row>
    <row r="39" spans="1:19" customFormat="1" ht="20.100000000000001" customHeight="1">
      <c r="A39" s="247" t="s">
        <v>1630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9"/>
      <c r="P39" s="244" t="s">
        <v>5</v>
      </c>
      <c r="Q39" s="245"/>
      <c r="R39" s="250">
        <v>5000</v>
      </c>
      <c r="S39" s="250"/>
    </row>
    <row r="40" spans="1:19" customFormat="1" ht="20.100000000000001" customHeight="1">
      <c r="A40" s="251" t="s">
        <v>1769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3"/>
      <c r="P40" s="244" t="s">
        <v>6</v>
      </c>
      <c r="Q40" s="245"/>
      <c r="R40" s="250">
        <f>R39*0.72</f>
        <v>3600</v>
      </c>
      <c r="S40" s="250"/>
    </row>
    <row r="41" spans="1:19" customFormat="1" ht="20.100000000000001" customHeight="1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3"/>
      <c r="P41" s="244" t="s">
        <v>1631</v>
      </c>
      <c r="Q41" s="245"/>
      <c r="R41" s="246">
        <v>0.72</v>
      </c>
      <c r="S41" s="246"/>
    </row>
    <row r="42" spans="1:19" customFormat="1" ht="20.100000000000001" customHeight="1">
      <c r="C42" s="3"/>
      <c r="D42" s="24"/>
      <c r="E42" s="25"/>
      <c r="F42" s="25"/>
      <c r="G42" s="22">
        <v>667</v>
      </c>
      <c r="H42" s="22">
        <v>15</v>
      </c>
      <c r="I42" s="22">
        <v>300</v>
      </c>
      <c r="J42" s="22">
        <v>5.4</v>
      </c>
      <c r="K42" s="22">
        <v>234</v>
      </c>
      <c r="L42" s="22">
        <v>0.34</v>
      </c>
      <c r="M42" s="22">
        <v>0.4</v>
      </c>
      <c r="N42" s="22">
        <v>5.26</v>
      </c>
      <c r="O42" s="22">
        <v>33.4</v>
      </c>
      <c r="P42" s="37"/>
      <c r="Q42" s="37"/>
      <c r="R42" s="23"/>
      <c r="S42" s="23"/>
    </row>
    <row r="43" spans="1:19" customFormat="1" ht="20.100000000000001" customHeight="1">
      <c r="A43" s="2"/>
      <c r="B43" s="2"/>
      <c r="C43" s="3"/>
      <c r="D43" s="4"/>
      <c r="E43" s="5"/>
      <c r="F43" s="5"/>
      <c r="G43" s="5"/>
      <c r="H43" s="5"/>
      <c r="I43" s="5"/>
      <c r="J43" s="2"/>
      <c r="K43" s="5"/>
      <c r="L43" s="5"/>
      <c r="M43" s="5"/>
      <c r="N43" s="5"/>
      <c r="O43" s="6"/>
    </row>
    <row r="44" spans="1:19" customFormat="1" ht="20.100000000000001" customHeight="1">
      <c r="A44" s="2"/>
      <c r="B44" s="2"/>
      <c r="C44" s="2"/>
      <c r="D44" s="4"/>
      <c r="E44" s="2"/>
      <c r="F44" s="2"/>
      <c r="G44" s="5"/>
      <c r="H44" s="5"/>
      <c r="I44" s="5"/>
      <c r="J44" s="5"/>
      <c r="K44" s="5"/>
      <c r="L44" s="5"/>
      <c r="M44" s="5"/>
      <c r="N44" s="5"/>
      <c r="O44" s="6"/>
    </row>
    <row r="45" spans="1:19" ht="12">
      <c r="C45" s="2"/>
    </row>
    <row r="46" spans="1:19" ht="12">
      <c r="C46" s="2"/>
    </row>
    <row r="1352" spans="4:4">
      <c r="D1352" s="2">
        <v>240</v>
      </c>
    </row>
  </sheetData>
  <mergeCells count="41">
    <mergeCell ref="L5:M5"/>
    <mergeCell ref="A6:N6"/>
    <mergeCell ref="M2:M4"/>
    <mergeCell ref="A3:B3"/>
    <mergeCell ref="C3:D3"/>
    <mergeCell ref="N2:N4"/>
    <mergeCell ref="O2:O4"/>
    <mergeCell ref="A1:B1"/>
    <mergeCell ref="C1:D1"/>
    <mergeCell ref="K1:K4"/>
    <mergeCell ref="D2:E2"/>
    <mergeCell ref="L2:L4"/>
    <mergeCell ref="P6:R7"/>
    <mergeCell ref="A7:C7"/>
    <mergeCell ref="O6:O7"/>
    <mergeCell ref="M7:N7"/>
    <mergeCell ref="K7:L7"/>
    <mergeCell ref="H7:J7"/>
    <mergeCell ref="F7:G7"/>
    <mergeCell ref="D7:E7"/>
    <mergeCell ref="A41:O41"/>
    <mergeCell ref="P41:Q41"/>
    <mergeCell ref="R41:S41"/>
    <mergeCell ref="A39:O39"/>
    <mergeCell ref="P39:Q39"/>
    <mergeCell ref="R39:S39"/>
    <mergeCell ref="A40:O40"/>
    <mergeCell ref="P40:Q40"/>
    <mergeCell ref="R40:S40"/>
    <mergeCell ref="A38:O38"/>
    <mergeCell ref="A8:C8"/>
    <mergeCell ref="O8:O9"/>
    <mergeCell ref="A9:C9"/>
    <mergeCell ref="D9:N9"/>
    <mergeCell ref="A37:O37"/>
    <mergeCell ref="A36:D36"/>
    <mergeCell ref="M8:N8"/>
    <mergeCell ref="K8:L8"/>
    <mergeCell ref="H8:J8"/>
    <mergeCell ref="F8:G8"/>
    <mergeCell ref="D8:E8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AC2F-1AD9-4AB7-B6F0-01F9BC01688D}">
  <sheetPr>
    <pageSetUpPr fitToPage="1"/>
  </sheetPr>
  <dimension ref="A1:S1348"/>
  <sheetViews>
    <sheetView view="pageBreakPreview" zoomScale="85" zoomScaleNormal="85" zoomScaleSheetLayoutView="85" workbookViewId="0">
      <pane xSplit="3" ySplit="10" topLeftCell="D23" activePane="bottomRight" state="frozen"/>
      <selection activeCell="K24" sqref="K24"/>
      <selection pane="topRight" activeCell="K24" sqref="K24"/>
      <selection pane="bottomLeft" activeCell="K24" sqref="K24"/>
      <selection pane="bottomRight" activeCell="F17" sqref="F17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94"/>
      <c r="F1" s="194"/>
      <c r="G1" s="39"/>
      <c r="K1" s="202"/>
      <c r="L1" s="195"/>
      <c r="M1" s="196" t="s">
        <v>2371</v>
      </c>
      <c r="N1" s="110" t="s">
        <v>2372</v>
      </c>
      <c r="O1" s="196" t="s">
        <v>2373</v>
      </c>
    </row>
    <row r="2" spans="1:18" s="1" customFormat="1" ht="20.100000000000001" customHeight="1">
      <c r="A2" s="27"/>
      <c r="B2" s="27"/>
      <c r="C2" s="194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45756</v>
      </c>
      <c r="D3" s="201"/>
      <c r="E3" s="194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13</v>
      </c>
      <c r="E8" s="226"/>
      <c r="F8" s="226">
        <v>14</v>
      </c>
      <c r="G8" s="226"/>
      <c r="H8" s="226">
        <v>107</v>
      </c>
      <c r="I8" s="226"/>
      <c r="J8" s="226"/>
      <c r="K8" s="226">
        <f>SUM(D8:J8)</f>
        <v>134</v>
      </c>
      <c r="L8" s="226"/>
      <c r="M8" s="226">
        <v>2</v>
      </c>
      <c r="N8" s="227"/>
      <c r="O8" s="228">
        <f>SUM(K8:N8)</f>
        <v>136</v>
      </c>
    </row>
    <row r="9" spans="1:18" s="160" customFormat="1" ht="20.100000000000001" customHeight="1">
      <c r="A9" s="230" t="s">
        <v>0</v>
      </c>
      <c r="B9" s="231"/>
      <c r="C9" s="232"/>
      <c r="D9" s="233" t="s">
        <v>2471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97" t="s">
        <v>1626</v>
      </c>
      <c r="Q10" s="198" t="s">
        <v>1627</v>
      </c>
      <c r="R10" s="15"/>
    </row>
    <row r="11" spans="1:18" s="160" customFormat="1" ht="27.75" customHeight="1">
      <c r="A11" s="166">
        <v>1</v>
      </c>
      <c r="B11" s="171" t="s">
        <v>2466</v>
      </c>
      <c r="C11" s="169" t="s">
        <v>214</v>
      </c>
      <c r="D11" s="168">
        <v>4</v>
      </c>
      <c r="E11" s="168">
        <f>IF($C11="","",VLOOKUP($C11,성분!$B$2:$O$51519,3,FALSE))/100*P11</f>
        <v>13.96</v>
      </c>
      <c r="F11" s="168">
        <f>IF($C11="","",VLOOKUP($C11,성분!$B$2:$O$51519,5,FALSE))/100*$P11</f>
        <v>2.84</v>
      </c>
      <c r="G11" s="168">
        <f>IF($C11="","",VLOOKUP($C11,성분!$B$2:$O$51519,4,FALSE))/100*$P11</f>
        <v>0.39200000000000002</v>
      </c>
      <c r="H11" s="168">
        <f>IF($C11="","",VLOOKUP($C11,성분!$B$2:$O$51519,6,FALSE))/100*$P11</f>
        <v>4.8000000000000001E-2</v>
      </c>
      <c r="I11" s="168">
        <f>IF($C11="","",VLOOKUP($C11,성분!$B$2:$O$51519,7,FALSE))/100*$P11</f>
        <v>0</v>
      </c>
      <c r="J11" s="168">
        <f>IF($C11="","",VLOOKUP($C11,성분!$B$2:$O$51519,8,FALSE))/100*$P11</f>
        <v>0</v>
      </c>
      <c r="K11" s="168">
        <f>IF($C11="","",VLOOKUP($C11,성분!$B$2:$O$51519,9,FALSE))/100*$P11</f>
        <v>0</v>
      </c>
      <c r="L11" s="168">
        <f>IF($C11="","",VLOOKUP($C11,성분!$B$2:$O$51519,10,FALSE))/100*$P11</f>
        <v>8.8000000000000005E-3</v>
      </c>
      <c r="M11" s="168">
        <f>IF($C11="","",VLOOKUP($C11,성분!$B$2:$O$51519,11,FALSE))/100*$P11</f>
        <v>3.5999999999999999E-3</v>
      </c>
      <c r="N11" s="168">
        <f>IF($C11="","",VLOOKUP($C11,성분!$B$2:$O$51519,12,FALSE))/100*$P11</f>
        <v>0</v>
      </c>
      <c r="O11" s="167">
        <f>IF($C11="","",VLOOKUP($C11,성분!$B$2:$O$51519,13,FALSE))/100*$P11</f>
        <v>0</v>
      </c>
      <c r="P11" s="165">
        <f t="shared" ref="P11:P32" si="0">D11</f>
        <v>4</v>
      </c>
      <c r="Q11" s="162">
        <f>($O$8*P11)/1000</f>
        <v>0.54400000000000004</v>
      </c>
      <c r="R11" s="18">
        <f t="shared" ref="R11:R32" si="1">INT(Q11)</f>
        <v>0</v>
      </c>
    </row>
    <row r="12" spans="1:18" s="160" customFormat="1" ht="27.75" customHeight="1">
      <c r="A12" s="166">
        <v>2</v>
      </c>
      <c r="B12" s="171"/>
      <c r="C12" s="169" t="s">
        <v>140</v>
      </c>
      <c r="D12" s="168">
        <v>100</v>
      </c>
      <c r="E12" s="168">
        <f>IF($C12="","",VLOOKUP($C12,성분!$B$2:$O$51519,3,FALSE))/100*P12</f>
        <v>240</v>
      </c>
      <c r="F12" s="168">
        <f>IF($C12="","",VLOOKUP($C12,성분!$B$2:$O$51519,5,FALSE))/100*$P12</f>
        <v>78.5</v>
      </c>
      <c r="G12" s="168">
        <f>IF($C12="","",VLOOKUP($C12,성분!$B$2:$O$51519,4,FALSE))/100*$P12</f>
        <v>6.4</v>
      </c>
      <c r="H12" s="168">
        <f>IF($C12="","",VLOOKUP($C12,성분!$B$2:$O$51519,6,FALSE))/100*$P12</f>
        <v>0.4</v>
      </c>
      <c r="I12" s="168">
        <f>IF($C12="","",VLOOKUP($C12,성분!$B$2:$O$51519,7,FALSE))/100*$P12</f>
        <v>7.0000000000000009</v>
      </c>
      <c r="J12" s="168">
        <f>IF($C12="","",VLOOKUP($C12,성분!$B$2:$O$51519,8,FALSE))/100*$P12</f>
        <v>0.5</v>
      </c>
      <c r="K12" s="168">
        <f>IF($C12="","",VLOOKUP($C12,성분!$B$2:$O$51519,9,FALSE))/100*$P12</f>
        <v>0</v>
      </c>
      <c r="L12" s="168">
        <f>IF($C12="","",VLOOKUP($C12,성분!$B$2:$O$51519,10,FALSE))/100*$P12</f>
        <v>0.12</v>
      </c>
      <c r="M12" s="168">
        <f>IF($C12="","",VLOOKUP($C12,성분!$B$2:$O$51519,11,FALSE))/100*$P12</f>
        <v>0</v>
      </c>
      <c r="N12" s="168">
        <f>IF($C12="","",VLOOKUP($C12,성분!$B$2:$O$51519,12,FALSE))/100*$P12</f>
        <v>1.4</v>
      </c>
      <c r="O12" s="167">
        <f>IF($C12="","",VLOOKUP($C12,성분!$B$2:$O$51519,13,FALSE))/100*$P12</f>
        <v>0</v>
      </c>
      <c r="P12" s="165">
        <f t="shared" si="0"/>
        <v>100</v>
      </c>
      <c r="Q12" s="162">
        <f t="shared" ref="Q12:Q32" si="2">($O$8*P12)/1000</f>
        <v>13.6</v>
      </c>
      <c r="R12" s="18">
        <f t="shared" si="1"/>
        <v>13</v>
      </c>
    </row>
    <row r="13" spans="1:18" s="160" customFormat="1" ht="27.75" customHeight="1">
      <c r="A13" s="166">
        <v>2</v>
      </c>
      <c r="B13" s="171" t="s">
        <v>2309</v>
      </c>
      <c r="C13" s="169" t="s">
        <v>2144</v>
      </c>
      <c r="D13" s="168">
        <v>100</v>
      </c>
      <c r="E13" s="168">
        <f>IF($C13="","",VLOOKUP($C13,성분!$B$2:$O$51519,3,FALSE))/100*P13</f>
        <v>163</v>
      </c>
      <c r="F13" s="168">
        <f>IF($C13="","",VLOOKUP($C13,성분!$B$2:$O$51519,5,FALSE))/100*$P13</f>
        <v>35</v>
      </c>
      <c r="G13" s="168">
        <f>IF($C13="","",VLOOKUP($C13,성분!$B$2:$O$51519,4,FALSE))/100*$P13</f>
        <v>4.5</v>
      </c>
      <c r="H13" s="168">
        <f>IF($C13="","",VLOOKUP($C13,성분!$B$2:$O$51519,6,FALSE))/100*$P13</f>
        <v>0.6</v>
      </c>
      <c r="I13" s="168">
        <f>IF($C13="","",VLOOKUP($C13,성분!$B$2:$O$51519,7,FALSE))/100*$P13</f>
        <v>0</v>
      </c>
      <c r="J13" s="168">
        <f>IF($C13="","",VLOOKUP($C13,성분!$B$2:$O$51519,8,FALSE))/100*$P13</f>
        <v>0</v>
      </c>
      <c r="K13" s="168">
        <f>IF($C13="","",VLOOKUP($C13,성분!$B$2:$O$51519,9,FALSE))/100*$P13</f>
        <v>0</v>
      </c>
      <c r="L13" s="168">
        <f>IF($C13="","",VLOOKUP($C13,성분!$B$2:$O$51519,10,FALSE))/100*$P13</f>
        <v>0</v>
      </c>
      <c r="M13" s="168">
        <f>IF($C13="","",VLOOKUP($C13,성분!$B$2:$O$51519,11,FALSE))/100*$P13</f>
        <v>0</v>
      </c>
      <c r="N13" s="168">
        <f>IF($C13="","",VLOOKUP($C13,성분!$B$2:$O$51519,12,FALSE))/100*$P13</f>
        <v>0</v>
      </c>
      <c r="O13" s="167">
        <f>IF($C13="","",VLOOKUP($C13,성분!$B$2:$O$51519,13,FALSE))/100*$P13</f>
        <v>0</v>
      </c>
      <c r="P13" s="165">
        <f t="shared" si="0"/>
        <v>100</v>
      </c>
      <c r="Q13" s="162">
        <f t="shared" si="2"/>
        <v>13.6</v>
      </c>
      <c r="R13" s="18">
        <f t="shared" si="1"/>
        <v>13</v>
      </c>
    </row>
    <row r="14" spans="1:18" s="160" customFormat="1" ht="27.75" customHeight="1">
      <c r="A14" s="166">
        <v>3</v>
      </c>
      <c r="B14" s="171"/>
      <c r="C14" s="169" t="s">
        <v>1602</v>
      </c>
      <c r="D14" s="168">
        <v>60</v>
      </c>
      <c r="E14" s="168">
        <f>IF($C14="","",VLOOKUP($C14,성분!$B$2:$O$51519,3,FALSE))/100*P14</f>
        <v>73.8</v>
      </c>
      <c r="F14" s="168">
        <f>IF($C14="","",VLOOKUP($C14,성분!$B$2:$O$51519,5,FALSE))/100*$P14</f>
        <v>0</v>
      </c>
      <c r="G14" s="168">
        <f>IF($C14="","",VLOOKUP($C14,성분!$B$2:$O$51519,4,FALSE))/100*$P14</f>
        <v>4.32</v>
      </c>
      <c r="H14" s="168">
        <f>IF($C14="","",VLOOKUP($C14,성분!$B$2:$O$51519,6,FALSE))/100*$P14</f>
        <v>9.9</v>
      </c>
      <c r="I14" s="168">
        <f>IF($C14="","",VLOOKUP($C14,성분!$B$2:$O$51519,7,FALSE))/100*$P14</f>
        <v>0.6</v>
      </c>
      <c r="J14" s="168">
        <f>IF($C14="","",VLOOKUP($C14,성분!$B$2:$O$51519,8,FALSE))/100*$P14</f>
        <v>0.6</v>
      </c>
      <c r="K14" s="168">
        <f>IF($C14="","",VLOOKUP($C14,성분!$B$2:$O$51519,9,FALSE))/100*$P14</f>
        <v>9.6</v>
      </c>
      <c r="L14" s="168">
        <f>IF($C14="","",VLOOKUP($C14,성분!$B$2:$O$51519,10,FALSE))/100*$P14</f>
        <v>0.06</v>
      </c>
      <c r="M14" s="168">
        <f>IF($C14="","",VLOOKUP($C14,성분!$B$2:$O$51519,11,FALSE))/100*$P14</f>
        <v>4.8000000000000001E-2</v>
      </c>
      <c r="N14" s="168">
        <f>IF($C14="","",VLOOKUP($C14,성분!$B$2:$O$51519,12,FALSE))/100*$P14</f>
        <v>0.52200000000000002</v>
      </c>
      <c r="O14" s="167">
        <f>IF($C14="","",VLOOKUP($C14,성분!$B$2:$O$51519,13,FALSE))/100*$P14</f>
        <v>0</v>
      </c>
      <c r="P14" s="165">
        <f t="shared" si="0"/>
        <v>60</v>
      </c>
      <c r="Q14" s="162">
        <f t="shared" si="2"/>
        <v>8.16</v>
      </c>
      <c r="R14" s="18"/>
    </row>
    <row r="15" spans="1:18" s="160" customFormat="1" ht="27.75" customHeight="1">
      <c r="A15" s="166">
        <v>4</v>
      </c>
      <c r="B15" s="171"/>
      <c r="C15" s="169" t="s">
        <v>2297</v>
      </c>
      <c r="D15" s="168">
        <v>20</v>
      </c>
      <c r="E15" s="168">
        <f>IF($C15="","",VLOOKUP($C15,성분!$B$2:$O$51519,3,FALSE))/100*P15</f>
        <v>2.2000000000000002</v>
      </c>
      <c r="F15" s="168">
        <f>IF($C15="","",VLOOKUP($C15,성분!$B$2:$O$51519,5,FALSE))/100*$P15</f>
        <v>0.26</v>
      </c>
      <c r="G15" s="168">
        <f>IF($C15="","",VLOOKUP($C15,성분!$B$2:$O$51519,4,FALSE))/100*$P15</f>
        <v>0.44000000000000006</v>
      </c>
      <c r="H15" s="168">
        <f>IF($C15="","",VLOOKUP($C15,성분!$B$2:$O$51519,6,FALSE))/100*$P15</f>
        <v>0.02</v>
      </c>
      <c r="I15" s="168">
        <f>IF($C15="","",VLOOKUP($C15,성분!$B$2:$O$51519,7,FALSE))/100*$P15</f>
        <v>3</v>
      </c>
      <c r="J15" s="168">
        <f>IF($C15="","",VLOOKUP($C15,성분!$B$2:$O$51519,8,FALSE))/100*$P15</f>
        <v>0.12</v>
      </c>
      <c r="K15" s="168">
        <f>IF($C15="","",VLOOKUP($C15,성분!$B$2:$O$51519,9,FALSE))/100*$P15</f>
        <v>0.8</v>
      </c>
      <c r="L15" s="168">
        <f>IF($C15="","",VLOOKUP($C15,성분!$B$2:$O$51519,10,FALSE))/100*$P15</f>
        <v>8.0000000000000002E-3</v>
      </c>
      <c r="M15" s="168">
        <f>IF($C15="","",VLOOKUP($C15,성분!$B$2:$O$51519,11,FALSE))/100*$P15</f>
        <v>0.01</v>
      </c>
      <c r="N15" s="168">
        <f>IF($C15="","",VLOOKUP($C15,성분!$B$2:$O$51519,12,FALSE))/100*$P15</f>
        <v>0.1</v>
      </c>
      <c r="O15" s="167">
        <f>IF($C15="","",VLOOKUP($C15,성분!$B$2:$O$51519,13,FALSE))/100*$P15</f>
        <v>2</v>
      </c>
      <c r="P15" s="165">
        <f t="shared" si="0"/>
        <v>20</v>
      </c>
      <c r="Q15" s="162">
        <f t="shared" si="2"/>
        <v>2.72</v>
      </c>
      <c r="R15" s="18">
        <f t="shared" si="1"/>
        <v>2</v>
      </c>
    </row>
    <row r="16" spans="1:18" s="160" customFormat="1" ht="27.6" customHeight="1">
      <c r="A16" s="166">
        <v>5</v>
      </c>
      <c r="B16" s="171"/>
      <c r="C16" s="169" t="s">
        <v>1190</v>
      </c>
      <c r="D16" s="168">
        <v>15</v>
      </c>
      <c r="E16" s="168">
        <f>IF($C16="","",VLOOKUP($C16,성분!$B$2:$O$51519,3,FALSE))/100*P16</f>
        <v>5.25</v>
      </c>
      <c r="F16" s="168">
        <f>IF($C16="","",VLOOKUP($C16,성분!$B$2:$O$51519,5,FALSE))/100*$P16</f>
        <v>1.149</v>
      </c>
      <c r="G16" s="168">
        <f>IF($C16="","",VLOOKUP($C16,성분!$B$2:$O$51519,4,FALSE))/100*$P16</f>
        <v>0.15</v>
      </c>
      <c r="H16" s="168">
        <f>IF($C16="","",VLOOKUP($C16,성분!$B$2:$O$51519,6,FALSE))/100*$P16</f>
        <v>2.8500000000000001E-2</v>
      </c>
      <c r="I16" s="168">
        <f>IF($C16="","",VLOOKUP($C16,성분!$B$2:$O$51519,7,FALSE))/100*$P16</f>
        <v>2.25</v>
      </c>
      <c r="J16" s="168">
        <f>IF($C16="","",VLOOKUP($C16,성분!$B$2:$O$51519,8,FALSE))/100*$P16</f>
        <v>4.4999999999999998E-2</v>
      </c>
      <c r="K16" s="168">
        <f>IF($C16="","",VLOOKUP($C16,성분!$B$2:$O$51519,9,FALSE))/100*$P16</f>
        <v>0</v>
      </c>
      <c r="L16" s="168">
        <f>IF($C16="","",VLOOKUP($C16,성분!$B$2:$O$51519,10,FALSE))/100*$P16</f>
        <v>6.0000000000000001E-3</v>
      </c>
      <c r="M16" s="168">
        <f>IF($C16="","",VLOOKUP($C16,성분!$B$2:$O$51519,11,FALSE))/100*$P16</f>
        <v>1.5E-3</v>
      </c>
      <c r="N16" s="168">
        <f>IF($C16="","",VLOOKUP($C16,성분!$B$2:$O$51519,12,FALSE))/100*$P16</f>
        <v>0.03</v>
      </c>
      <c r="O16" s="167">
        <f>IF($C16="","",VLOOKUP($C16,성분!$B$2:$O$51519,13,FALSE))/100*$P16</f>
        <v>1.2</v>
      </c>
      <c r="P16" s="165">
        <f t="shared" si="0"/>
        <v>15</v>
      </c>
      <c r="Q16" s="162">
        <f t="shared" si="2"/>
        <v>2.04</v>
      </c>
      <c r="R16" s="18">
        <f t="shared" si="1"/>
        <v>2</v>
      </c>
    </row>
    <row r="17" spans="1:18" s="160" customFormat="1" ht="27.75" customHeight="1">
      <c r="A17" s="166">
        <v>6</v>
      </c>
      <c r="B17" s="171"/>
      <c r="C17" s="169" t="s">
        <v>1239</v>
      </c>
      <c r="D17" s="168">
        <v>10</v>
      </c>
      <c r="E17" s="168">
        <f>IF($C17="","",VLOOKUP($C17,성분!$B$2:$O$51519,3,FALSE))/100*P17</f>
        <v>2.6</v>
      </c>
      <c r="F17" s="168">
        <f>IF($C17="","",VLOOKUP($C17,성분!$B$2:$O$51519,5,FALSE))/100*$P17</f>
        <v>0.44600000000000001</v>
      </c>
      <c r="G17" s="168">
        <f>IF($C17="","",VLOOKUP($C17,성분!$B$2:$O$51519,4,FALSE))/100*$P17</f>
        <v>0</v>
      </c>
      <c r="H17" s="168">
        <f>IF($C17="","",VLOOKUP($C17,성분!$B$2:$O$51519,6,FALSE))/100*$P17</f>
        <v>2.5999999999999999E-2</v>
      </c>
      <c r="I17" s="168">
        <f>IF($C17="","",VLOOKUP($C17,성분!$B$2:$O$51519,7,FALSE))/100*$P17</f>
        <v>8.1000000000000014</v>
      </c>
      <c r="J17" s="168">
        <f>IF($C17="","",VLOOKUP($C17,성분!$B$2:$O$51519,8,FALSE))/100*$P17</f>
        <v>0.1</v>
      </c>
      <c r="K17" s="168">
        <f>IF($C17="","",VLOOKUP($C17,성분!$B$2:$O$51519,9,FALSE))/100*$P17</f>
        <v>12.9</v>
      </c>
      <c r="L17" s="168">
        <f>IF($C17="","",VLOOKUP($C17,성분!$B$2:$O$51519,10,FALSE))/100*$P17</f>
        <v>5.9999999999999993E-3</v>
      </c>
      <c r="M17" s="168">
        <f>IF($C17="","",VLOOKUP($C17,성분!$B$2:$O$51519,11,FALSE))/100*$P17</f>
        <v>8.9999999999999993E-3</v>
      </c>
      <c r="N17" s="168">
        <f>IF($C17="","",VLOOKUP($C17,성분!$B$2:$O$51519,12,FALSE))/100*$P17</f>
        <v>0.06</v>
      </c>
      <c r="O17" s="167">
        <f>IF($C17="","",VLOOKUP($C17,성분!$B$2:$O$51519,13,FALSE))/100*$P17</f>
        <v>2.1</v>
      </c>
      <c r="P17" s="165">
        <f t="shared" si="0"/>
        <v>10</v>
      </c>
      <c r="Q17" s="162">
        <f t="shared" si="2"/>
        <v>1.36</v>
      </c>
      <c r="R17" s="18"/>
    </row>
    <row r="18" spans="1:18" s="160" customFormat="1" ht="27.75" customHeight="1">
      <c r="A18" s="166">
        <v>7</v>
      </c>
      <c r="B18" s="171"/>
      <c r="C18" s="169" t="s">
        <v>2467</v>
      </c>
      <c r="D18" s="168">
        <v>20</v>
      </c>
      <c r="E18" s="168">
        <f>IF($C18="","",VLOOKUP($C18,성분!$B$2:$O$51519,3,FALSE))/100*P18</f>
        <v>46.2</v>
      </c>
      <c r="F18" s="168">
        <f>IF($C18="","",VLOOKUP($C18,성분!$B$2:$O$51519,5,FALSE))/100*$P18</f>
        <v>1.56</v>
      </c>
      <c r="G18" s="168">
        <f>IF($C18="","",VLOOKUP($C18,성분!$B$2:$O$51519,4,FALSE))/100*$P18</f>
        <v>2.7399999999999998</v>
      </c>
      <c r="H18" s="168">
        <f>IF($C18="","",VLOOKUP($C18,성분!$B$2:$O$51519,6,FALSE))/100*$P18</f>
        <v>3.22</v>
      </c>
      <c r="I18" s="168">
        <f>IF($C18="","",VLOOKUP($C18,성분!$B$2:$O$51519,7,FALSE))/100*$P18</f>
        <v>0</v>
      </c>
      <c r="J18" s="168">
        <f>IF($C18="","",VLOOKUP($C18,성분!$B$2:$O$51519,8,FALSE))/100*$P18</f>
        <v>0</v>
      </c>
      <c r="K18" s="168">
        <f>IF($C18="","",VLOOKUP($C18,성분!$B$2:$O$51519,9,FALSE))/100*$P18</f>
        <v>0</v>
      </c>
      <c r="L18" s="168">
        <f>IF($C18="","",VLOOKUP($C18,성분!$B$2:$O$51519,10,FALSE))/100*$P18</f>
        <v>0</v>
      </c>
      <c r="M18" s="168">
        <f>IF($C18="","",VLOOKUP($C18,성분!$B$2:$O$51519,11,FALSE))/100*$P18</f>
        <v>0</v>
      </c>
      <c r="N18" s="168">
        <f>IF($C18="","",VLOOKUP($C18,성분!$B$2:$O$51519,12,FALSE))/100*$P18</f>
        <v>0</v>
      </c>
      <c r="O18" s="167">
        <f>IF($C18="","",VLOOKUP($C18,성분!$B$2:$O$51519,13,FALSE))/100*$P18</f>
        <v>0</v>
      </c>
      <c r="P18" s="165">
        <f t="shared" si="0"/>
        <v>20</v>
      </c>
      <c r="Q18" s="162">
        <f t="shared" si="2"/>
        <v>2.72</v>
      </c>
      <c r="R18" s="18"/>
    </row>
    <row r="19" spans="1:18" s="160" customFormat="1" ht="27.75" customHeight="1">
      <c r="A19" s="166">
        <v>8</v>
      </c>
      <c r="B19" s="171" t="s">
        <v>2468</v>
      </c>
      <c r="C19" s="169" t="s">
        <v>1608</v>
      </c>
      <c r="D19" s="168">
        <v>70</v>
      </c>
      <c r="E19" s="168">
        <f>IF($C19="","",VLOOKUP($C19,성분!$B$2:$O$51519,3,FALSE))/100*P19</f>
        <v>71.400000000000006</v>
      </c>
      <c r="F19" s="168">
        <f>IF($C19="","",VLOOKUP($C19,성분!$B$2:$O$51519,5,FALSE))/100*$P19</f>
        <v>0</v>
      </c>
      <c r="G19" s="168">
        <f>IF($C19="","",VLOOKUP($C19,성분!$B$2:$O$51519,4,FALSE))/100*$P19</f>
        <v>8.0220000000000002</v>
      </c>
      <c r="H19" s="168">
        <f>IF($C19="","",VLOOKUP($C19,성분!$B$2:$O$51519,6,FALSE))/100*$P19</f>
        <v>8.9529999999999994</v>
      </c>
      <c r="I19" s="168">
        <f>IF($C19="","",VLOOKUP($C19,성분!$B$2:$O$51519,7,FALSE))/100*$P19</f>
        <v>4.3889999999999993</v>
      </c>
      <c r="J19" s="168">
        <f>IF($C19="","",VLOOKUP($C19,성분!$B$2:$O$51519,8,FALSE))/100*$P19</f>
        <v>0.39899999999999997</v>
      </c>
      <c r="K19" s="168">
        <f>IF($C19="","",VLOOKUP($C19,성분!$B$2:$O$51519,9,FALSE))/100*$P19</f>
        <v>5.9850000000000003</v>
      </c>
      <c r="L19" s="168">
        <f>IF($C19="","",VLOOKUP($C19,성분!$B$2:$O$51519,10,FALSE))/100*$P19</f>
        <v>3.5000000000000003E-2</v>
      </c>
      <c r="M19" s="168">
        <f>IF($C19="","",VLOOKUP($C19,성분!$B$2:$O$51519,11,FALSE))/100*$P19</f>
        <v>7.6999999999999999E-2</v>
      </c>
      <c r="N19" s="168">
        <f>IF($C19="","",VLOOKUP($C19,성분!$B$2:$O$51519,12,FALSE))/100*$P19</f>
        <v>0</v>
      </c>
      <c r="O19" s="167">
        <f>IF($C19="","",VLOOKUP($C19,성분!$B$2:$O$51519,13,FALSE))/100*$P19</f>
        <v>0.49699999999999994</v>
      </c>
      <c r="P19" s="165">
        <f t="shared" si="0"/>
        <v>70</v>
      </c>
      <c r="Q19" s="162">
        <f t="shared" si="2"/>
        <v>9.52</v>
      </c>
      <c r="R19" s="18"/>
    </row>
    <row r="20" spans="1:18" s="160" customFormat="1" ht="27.75" customHeight="1">
      <c r="A20" s="166">
        <v>9</v>
      </c>
      <c r="B20" s="171"/>
      <c r="C20" s="169" t="s">
        <v>1815</v>
      </c>
      <c r="D20" s="168">
        <v>55</v>
      </c>
      <c r="E20" s="168">
        <f>IF($C20="","",VLOOKUP($C20,성분!$B$2:$O$51519,3,FALSE))/100*P20</f>
        <v>63.249999999999993</v>
      </c>
      <c r="F20" s="168">
        <f>IF($C20="","",VLOOKUP($C20,성분!$B$2:$O$51519,5,FALSE))/100*$P20</f>
        <v>5.5E-2</v>
      </c>
      <c r="G20" s="168">
        <f>IF($C20="","",VLOOKUP($C20,성분!$B$2:$O$51519,4,FALSE))/100*$P20</f>
        <v>13.2</v>
      </c>
      <c r="H20" s="168">
        <f>IF($C20="","",VLOOKUP($C20,성분!$B$2:$O$51519,6,FALSE))/100*$P20</f>
        <v>0.76999999999999991</v>
      </c>
      <c r="I20" s="168">
        <f>IF($C20="","",VLOOKUP($C20,성분!$B$2:$O$51519,7,FALSE))/100*$P20</f>
        <v>6.05</v>
      </c>
      <c r="J20" s="168">
        <f>IF($C20="","",VLOOKUP($C20,성분!$B$2:$O$51519,8,FALSE))/100*$P20</f>
        <v>0.60500000000000009</v>
      </c>
      <c r="K20" s="168">
        <f>IF($C20="","",VLOOKUP($C20,성분!$B$2:$O$51519,9,FALSE))/100*$P20</f>
        <v>0</v>
      </c>
      <c r="L20" s="168">
        <f>IF($C20="","",VLOOKUP($C20,성분!$B$2:$O$51519,10,FALSE))/100*$P20</f>
        <v>0.11</v>
      </c>
      <c r="M20" s="168">
        <f>IF($C20="","",VLOOKUP($C20,성분!$B$2:$O$51519,11,FALSE))/100*$P20</f>
        <v>0.11549999999999999</v>
      </c>
      <c r="N20" s="168">
        <f>IF($C20="","",VLOOKUP($C20,성분!$B$2:$O$51519,12,FALSE))/100*$P20</f>
        <v>1.595</v>
      </c>
      <c r="O20" s="167">
        <f>IF($C20="","",VLOOKUP($C20,성분!$B$2:$O$51519,13,FALSE))/100*$P20</f>
        <v>0</v>
      </c>
      <c r="P20" s="165">
        <f t="shared" ref="P20" si="3">D20</f>
        <v>55</v>
      </c>
      <c r="Q20" s="162">
        <f t="shared" ref="Q20" si="4">($O$8*P20)/1000</f>
        <v>7.48</v>
      </c>
      <c r="R20" s="18"/>
    </row>
    <row r="21" spans="1:18" s="160" customFormat="1" ht="27.75" customHeight="1">
      <c r="A21" s="166">
        <v>9</v>
      </c>
      <c r="B21" s="171"/>
      <c r="C21" s="169" t="s">
        <v>2198</v>
      </c>
      <c r="D21" s="168">
        <v>20</v>
      </c>
      <c r="E21" s="168">
        <f>IF($C21="","",VLOOKUP($C21,성분!$B$2:$O$51519,3,FALSE))/100*P21</f>
        <v>26</v>
      </c>
      <c r="F21" s="168">
        <f>IF($C21="","",VLOOKUP($C21,성분!$B$2:$O$51519,5,FALSE))/100*$P21</f>
        <v>2.8000000000000003</v>
      </c>
      <c r="G21" s="168">
        <f>IF($C21="","",VLOOKUP($C21,성분!$B$2:$O$51519,4,FALSE))/100*$P21</f>
        <v>0.5</v>
      </c>
      <c r="H21" s="168">
        <f>IF($C21="","",VLOOKUP($C21,성분!$B$2:$O$51519,6,FALSE))/100*$P21</f>
        <v>1.7999999999999999E-2</v>
      </c>
      <c r="I21" s="168">
        <f>IF($C21="","",VLOOKUP($C21,성분!$B$2:$O$51519,7,FALSE))/100*$P21</f>
        <v>1.2</v>
      </c>
      <c r="J21" s="168">
        <f>IF($C21="","",VLOOKUP($C21,성분!$B$2:$O$51519,8,FALSE))/100*$P21</f>
        <v>0.16</v>
      </c>
      <c r="K21" s="168">
        <f>IF($C21="","",VLOOKUP($C21,성분!$B$2:$O$51519,9,FALSE))/100*$P21</f>
        <v>0</v>
      </c>
      <c r="L21" s="168">
        <f>IF($C21="","",VLOOKUP($C21,성분!$B$2:$O$51519,10,FALSE))/100*$P21</f>
        <v>1.6E-2</v>
      </c>
      <c r="M21" s="168">
        <f>IF($C21="","",VLOOKUP($C21,성분!$B$2:$O$51519,11,FALSE))/100*$P21</f>
        <v>5.9999999999999993E-3</v>
      </c>
      <c r="N21" s="168">
        <f>IF($C21="","",VLOOKUP($C21,성분!$B$2:$O$51519,12,FALSE))/100*$P21</f>
        <v>0.26</v>
      </c>
      <c r="O21" s="167">
        <f>IF($C21="","",VLOOKUP($C21,성분!$B$2:$O$51519,13,FALSE))/100*$P21</f>
        <v>4.2</v>
      </c>
      <c r="P21" s="165">
        <f t="shared" si="0"/>
        <v>20</v>
      </c>
      <c r="Q21" s="162">
        <f t="shared" si="2"/>
        <v>2.72</v>
      </c>
      <c r="R21" s="18"/>
    </row>
    <row r="22" spans="1:18" s="160" customFormat="1" ht="27.75" customHeight="1">
      <c r="A22" s="166">
        <v>8</v>
      </c>
      <c r="B22" s="171"/>
      <c r="C22" s="169" t="s">
        <v>1190</v>
      </c>
      <c r="D22" s="168">
        <v>15</v>
      </c>
      <c r="E22" s="168">
        <f>IF($C22="","",VLOOKUP($C22,성분!$B$2:$O$51519,3,FALSE))/100*P22</f>
        <v>5.25</v>
      </c>
      <c r="F22" s="168">
        <f>IF($C22="","",VLOOKUP($C22,성분!$B$2:$O$51519,5,FALSE))/100*$P22</f>
        <v>1.149</v>
      </c>
      <c r="G22" s="168">
        <f>IF($C22="","",VLOOKUP($C22,성분!$B$2:$O$51519,4,FALSE))/100*$P22</f>
        <v>0.15</v>
      </c>
      <c r="H22" s="168">
        <f>IF($C22="","",VLOOKUP($C22,성분!$B$2:$O$51519,6,FALSE))/100*$P22</f>
        <v>2.8500000000000001E-2</v>
      </c>
      <c r="I22" s="168">
        <f>IF($C22="","",VLOOKUP($C22,성분!$B$2:$O$51519,7,FALSE))/100*$P22</f>
        <v>2.25</v>
      </c>
      <c r="J22" s="168">
        <f>IF($C22="","",VLOOKUP($C22,성분!$B$2:$O$51519,8,FALSE))/100*$P22</f>
        <v>4.4999999999999998E-2</v>
      </c>
      <c r="K22" s="168">
        <f>IF($C22="","",VLOOKUP($C22,성분!$B$2:$O$51519,9,FALSE))/100*$P22</f>
        <v>0</v>
      </c>
      <c r="L22" s="168">
        <f>IF($C22="","",VLOOKUP($C22,성분!$B$2:$O$51519,10,FALSE))/100*$P22</f>
        <v>6.0000000000000001E-3</v>
      </c>
      <c r="M22" s="168">
        <f>IF($C22="","",VLOOKUP($C22,성분!$B$2:$O$51519,11,FALSE))/100*$P22</f>
        <v>1.5E-3</v>
      </c>
      <c r="N22" s="168">
        <f>IF($C22="","",VLOOKUP($C22,성분!$B$2:$O$51519,12,FALSE))/100*$P22</f>
        <v>0.03</v>
      </c>
      <c r="O22" s="167">
        <f>IF($C22="","",VLOOKUP($C22,성분!$B$2:$O$51519,13,FALSE))/100*$P22</f>
        <v>1.2</v>
      </c>
      <c r="P22" s="165">
        <f t="shared" si="0"/>
        <v>15</v>
      </c>
      <c r="Q22" s="162">
        <f t="shared" si="2"/>
        <v>2.04</v>
      </c>
      <c r="R22" s="18"/>
    </row>
    <row r="23" spans="1:18" s="160" customFormat="1" ht="27.75" customHeight="1">
      <c r="A23" s="166">
        <v>9</v>
      </c>
      <c r="B23" s="171"/>
      <c r="C23" s="169" t="s">
        <v>1980</v>
      </c>
      <c r="D23" s="168">
        <v>10</v>
      </c>
      <c r="E23" s="168">
        <f>IF($C23="","",VLOOKUP($C23,성분!$B$2:$O$51519,3,FALSE))/100*P23</f>
        <v>3.4000000000000004</v>
      </c>
      <c r="F23" s="168">
        <f>IF($C23="","",VLOOKUP($C23,성분!$B$2:$O$51519,5,FALSE))/100*$P23</f>
        <v>0.70300000000000007</v>
      </c>
      <c r="G23" s="168">
        <f>IF($C23="","",VLOOKUP($C23,성분!$B$2:$O$51519,4,FALSE))/100*$P23</f>
        <v>0.1</v>
      </c>
      <c r="H23" s="168">
        <f>IF($C23="","",VLOOKUP($C23,성분!$B$2:$O$51519,6,FALSE))/100*$P23</f>
        <v>1.2999999999999999E-2</v>
      </c>
      <c r="I23" s="168">
        <f>IF($C23="","",VLOOKUP($C23,성분!$B$2:$O$51519,7,FALSE))/100*$P23</f>
        <v>3.8</v>
      </c>
      <c r="J23" s="168">
        <f>IF($C23="","",VLOOKUP($C23,성분!$B$2:$O$51519,8,FALSE))/100*$P23</f>
        <v>6.9999999999999993E-2</v>
      </c>
      <c r="K23" s="168">
        <f>IF($C23="","",VLOOKUP($C23,성분!$B$2:$O$51519,9,FALSE))/100*$P23</f>
        <v>125.7</v>
      </c>
      <c r="L23" s="168">
        <f>IF($C23="","",VLOOKUP($C23,성분!$B$2:$O$51519,10,FALSE))/100*$P23</f>
        <v>5.9999999999999993E-3</v>
      </c>
      <c r="M23" s="168">
        <f>IF($C23="","",VLOOKUP($C23,성분!$B$2:$O$51519,11,FALSE))/100*$P23</f>
        <v>4.0000000000000001E-3</v>
      </c>
      <c r="N23" s="168">
        <f>IF($C23="","",VLOOKUP($C23,성분!$B$2:$O$51519,12,FALSE))/100*$P23</f>
        <v>0.08</v>
      </c>
      <c r="O23" s="167">
        <f>IF($C23="","",VLOOKUP($C23,성분!$B$2:$O$51519,13,FALSE))/100*$P23</f>
        <v>0.6</v>
      </c>
      <c r="P23" s="165">
        <f t="shared" si="0"/>
        <v>10</v>
      </c>
      <c r="Q23" s="162">
        <f t="shared" si="2"/>
        <v>1.36</v>
      </c>
      <c r="R23" s="18"/>
    </row>
    <row r="24" spans="1:18" s="160" customFormat="1" ht="27.75" customHeight="1">
      <c r="A24" s="166">
        <v>10</v>
      </c>
      <c r="B24" s="171"/>
      <c r="C24" s="169" t="s">
        <v>1244</v>
      </c>
      <c r="D24" s="168">
        <v>7</v>
      </c>
      <c r="E24" s="168">
        <f>IF($C24="","",VLOOKUP($C24,성분!$B$2:$O$51519,3,FALSE))/100*P24</f>
        <v>1.1900000000000002</v>
      </c>
      <c r="F24" s="168">
        <f>IF($C24="","",VLOOKUP($C24,성분!$B$2:$O$51519,5,FALSE))/100*$P24</f>
        <v>0.22260000000000002</v>
      </c>
      <c r="G24" s="168">
        <f>IF($C24="","",VLOOKUP($C24,성분!$B$2:$O$51519,4,FALSE))/100*$P24</f>
        <v>0</v>
      </c>
      <c r="H24" s="168">
        <f>IF($C24="","",VLOOKUP($C24,성분!$B$2:$O$51519,6,FALSE))/100*$P24</f>
        <v>9.8000000000000014E-3</v>
      </c>
      <c r="I24" s="168">
        <f>IF($C24="","",VLOOKUP($C24,성분!$B$2:$O$51519,7,FALSE))/100*$P24</f>
        <v>0.70000000000000007</v>
      </c>
      <c r="J24" s="168">
        <f>IF($C24="","",VLOOKUP($C24,성분!$B$2:$O$51519,8,FALSE))/100*$P24</f>
        <v>3.5000000000000003E-2</v>
      </c>
      <c r="K24" s="168">
        <f>IF($C24="","",VLOOKUP($C24,성분!$B$2:$O$51519,9,FALSE))/100*$P24</f>
        <v>4.4800000000000004</v>
      </c>
      <c r="L24" s="168">
        <f>IF($C24="","",VLOOKUP($C24,성분!$B$2:$O$51519,10,FALSE))/100*$P24</f>
        <v>2.0999999999999999E-3</v>
      </c>
      <c r="M24" s="168">
        <f>IF($C24="","",VLOOKUP($C24,성분!$B$2:$O$51519,11,FALSE))/100*$P24</f>
        <v>4.9000000000000007E-3</v>
      </c>
      <c r="N24" s="168">
        <f>IF($C24="","",VLOOKUP($C24,성분!$B$2:$O$51519,12,FALSE))/100*$P24</f>
        <v>4.8999999999999995E-2</v>
      </c>
      <c r="O24" s="167">
        <f>IF($C24="","",VLOOKUP($C24,성분!$B$2:$O$51519,13,FALSE))/100*$P24</f>
        <v>3.71</v>
      </c>
      <c r="P24" s="165">
        <f t="shared" si="0"/>
        <v>7</v>
      </c>
      <c r="Q24" s="162">
        <f t="shared" si="2"/>
        <v>0.95199999999999996</v>
      </c>
      <c r="R24" s="18"/>
    </row>
    <row r="25" spans="1:18" s="160" customFormat="1" ht="27.75" customHeight="1">
      <c r="A25" s="166">
        <v>11</v>
      </c>
      <c r="B25" s="171"/>
      <c r="C25" s="169" t="s">
        <v>1964</v>
      </c>
      <c r="D25" s="168">
        <v>5</v>
      </c>
      <c r="E25" s="168">
        <f>IF($C25="","",VLOOKUP($C25,성분!$B$2:$O$51519,3,FALSE))/100*P25</f>
        <v>5.6779999999999999</v>
      </c>
      <c r="F25" s="168">
        <f>IF($C25="","",VLOOKUP($C25,성분!$B$2:$O$51519,5,FALSE))/100*$P25</f>
        <v>0</v>
      </c>
      <c r="G25" s="168">
        <f>IF($C25="","",VLOOKUP($C25,성분!$B$2:$O$51519,4,FALSE))/100*$P25</f>
        <v>0</v>
      </c>
      <c r="H25" s="168">
        <f>IF($C25="","",VLOOKUP($C25,성분!$B$2:$O$51519,6,FALSE))/100*$P25</f>
        <v>0</v>
      </c>
      <c r="I25" s="168">
        <f>IF($C25="","",VLOOKUP($C25,성분!$B$2:$O$51519,7,FALSE))/100*$P25</f>
        <v>0</v>
      </c>
      <c r="J25" s="168">
        <f>IF($C25="","",VLOOKUP($C25,성분!$B$2:$O$51519,8,FALSE))/100*$P25</f>
        <v>0</v>
      </c>
      <c r="K25" s="168">
        <f>IF($C25="","",VLOOKUP($C25,성분!$B$2:$O$51519,9,FALSE))/100*$P25</f>
        <v>0</v>
      </c>
      <c r="L25" s="168">
        <f>IF($C25="","",VLOOKUP($C25,성분!$B$2:$O$51519,10,FALSE))/100*$P25</f>
        <v>0</v>
      </c>
      <c r="M25" s="168">
        <f>IF($C25="","",VLOOKUP($C25,성분!$B$2:$O$51519,11,FALSE))/100*$P25</f>
        <v>0</v>
      </c>
      <c r="N25" s="168">
        <f>IF($C25="","",VLOOKUP($C25,성분!$B$2:$O$51519,12,FALSE))/100*$P25</f>
        <v>0</v>
      </c>
      <c r="O25" s="167">
        <f>IF($C25="","",VLOOKUP($C25,성분!$B$2:$O$51519,13,FALSE))/100*$P25</f>
        <v>0</v>
      </c>
      <c r="P25" s="165">
        <f t="shared" si="0"/>
        <v>5</v>
      </c>
      <c r="Q25" s="162">
        <f t="shared" si="2"/>
        <v>0.68</v>
      </c>
      <c r="R25" s="18"/>
    </row>
    <row r="26" spans="1:18" s="160" customFormat="1" ht="27.6" customHeight="1">
      <c r="A26" s="166">
        <v>12</v>
      </c>
      <c r="B26" s="171"/>
      <c r="C26" s="169" t="s">
        <v>953</v>
      </c>
      <c r="D26" s="168">
        <v>10</v>
      </c>
      <c r="E26" s="168">
        <f>IF($C26="","",VLOOKUP($C26,성분!$B$2:$O$51519,3,FALSE))/100*P26</f>
        <v>11.899999999999999</v>
      </c>
      <c r="F26" s="168">
        <f>IF($C26="","",VLOOKUP($C26,성분!$B$2:$O$51519,5,FALSE))/100*$P26</f>
        <v>2.8499999999999996</v>
      </c>
      <c r="G26" s="168">
        <f>IF($C26="","",VLOOKUP($C26,성분!$B$2:$O$51519,4,FALSE))/100*$P26</f>
        <v>0.11000000000000001</v>
      </c>
      <c r="H26" s="168">
        <f>IF($C26="","",VLOOKUP($C26,성분!$B$2:$O$51519,6,FALSE))/100*$P26</f>
        <v>0.64</v>
      </c>
      <c r="I26" s="168">
        <f>IF($C26="","",VLOOKUP($C26,성분!$B$2:$O$51519,7,FALSE))/100*$P26</f>
        <v>0</v>
      </c>
      <c r="J26" s="168">
        <f>IF($C26="","",VLOOKUP($C26,성분!$B$2:$O$51519,8,FALSE))/100*$P26</f>
        <v>0</v>
      </c>
      <c r="K26" s="168">
        <f>IF($C26="","",VLOOKUP($C26,성분!$B$2:$O$51519,9,FALSE))/100*$P26</f>
        <v>0</v>
      </c>
      <c r="L26" s="168">
        <f>IF($C26="","",VLOOKUP($C26,성분!$B$2:$O$51519,10,FALSE))/100*$P26</f>
        <v>0</v>
      </c>
      <c r="M26" s="168">
        <f>IF($C26="","",VLOOKUP($C26,성분!$B$2:$O$51519,11,FALSE))/100*$P26</f>
        <v>0</v>
      </c>
      <c r="N26" s="168">
        <f>IF($C26="","",VLOOKUP($C26,성분!$B$2:$O$51519,12,FALSE))/100*$P26</f>
        <v>0</v>
      </c>
      <c r="O26" s="167">
        <f>IF($C26="","",VLOOKUP($C26,성분!$B$2:$O$51519,13,FALSE))/100*$P26</f>
        <v>0</v>
      </c>
      <c r="P26" s="165">
        <f t="shared" si="0"/>
        <v>10</v>
      </c>
      <c r="Q26" s="162">
        <f t="shared" si="2"/>
        <v>1.36</v>
      </c>
      <c r="R26" s="18">
        <f t="shared" ref="R26" si="5">INT(Q26)</f>
        <v>1</v>
      </c>
    </row>
    <row r="27" spans="1:18" s="160" customFormat="1" ht="27.75" customHeight="1">
      <c r="A27" s="166">
        <v>11</v>
      </c>
      <c r="B27" s="171" t="s">
        <v>2469</v>
      </c>
      <c r="C27" s="169" t="s">
        <v>1418</v>
      </c>
      <c r="D27" s="168">
        <v>32</v>
      </c>
      <c r="E27" s="168">
        <f>IF($C27="","",VLOOKUP($C27,성분!$B$2:$O$51519,3,FALSE))/100*P27</f>
        <v>48</v>
      </c>
      <c r="F27" s="168">
        <f>IF($C27="","",VLOOKUP($C27,성분!$B$2:$O$51519,5,FALSE))/100*$P27</f>
        <v>3.968</v>
      </c>
      <c r="G27" s="168">
        <f>IF($C27="","",VLOOKUP($C27,성분!$B$2:$O$51519,4,FALSE))/100*$P27</f>
        <v>4.16</v>
      </c>
      <c r="H27" s="168">
        <f>IF($C27="","",VLOOKUP($C27,성분!$B$2:$O$51519,6,FALSE))/100*$P27</f>
        <v>6.08E-2</v>
      </c>
      <c r="I27" s="168">
        <f>IF($C27="","",VLOOKUP($C27,성분!$B$2:$O$51519,7,FALSE))/100*$P27</f>
        <v>13.44</v>
      </c>
      <c r="J27" s="168">
        <f>IF($C27="","",VLOOKUP($C27,성분!$B$2:$O$51519,8,FALSE))/100*$P27</f>
        <v>0.96</v>
      </c>
      <c r="K27" s="168">
        <f>IF($C27="","",VLOOKUP($C27,성분!$B$2:$O$51519,9,FALSE))/100*$P27</f>
        <v>0</v>
      </c>
      <c r="L27" s="168">
        <f>IF($C27="","",VLOOKUP($C27,성분!$B$2:$O$51519,10,FALSE))/100*$P27</f>
        <v>6.4000000000000003E-3</v>
      </c>
      <c r="M27" s="168">
        <f>IF($C27="","",VLOOKUP($C27,성분!$B$2:$O$51519,11,FALSE))/100*$P27</f>
        <v>2.2400000000000003E-2</v>
      </c>
      <c r="N27" s="168">
        <f>IF($C27="","",VLOOKUP($C27,성분!$B$2:$O$51519,12,FALSE))/100*$P27</f>
        <v>0.41600000000000004</v>
      </c>
      <c r="O27" s="167">
        <f>IF($C27="","",VLOOKUP($C27,성분!$B$2:$O$51519,13,FALSE))/100*$P27</f>
        <v>0</v>
      </c>
      <c r="P27" s="165">
        <f t="shared" si="0"/>
        <v>32</v>
      </c>
      <c r="Q27" s="162">
        <f t="shared" si="2"/>
        <v>4.3520000000000003</v>
      </c>
      <c r="R27" s="18"/>
    </row>
    <row r="28" spans="1:18" s="160" customFormat="1" ht="27.75" customHeight="1">
      <c r="A28" s="166">
        <v>13</v>
      </c>
      <c r="B28" s="171"/>
      <c r="C28" s="169" t="s">
        <v>1946</v>
      </c>
      <c r="D28" s="168">
        <v>5</v>
      </c>
      <c r="E28" s="168">
        <f>IF($C28="","",VLOOKUP($C28,성분!$B$2:$O$51519,3,FALSE))/100*P28</f>
        <v>2.3000000000000003</v>
      </c>
      <c r="F28" s="168">
        <f>IF($C28="","",VLOOKUP($C28,성분!$B$2:$O$51519,5,FALSE))/100*$P28</f>
        <v>2.2000000000000002</v>
      </c>
      <c r="G28" s="168">
        <f>IF($C28="","",VLOOKUP($C28,성분!$B$2:$O$51519,4,FALSE))/100*$P28</f>
        <v>0.1</v>
      </c>
      <c r="H28" s="168">
        <f>IF($C28="","",VLOOKUP($C28,성분!$B$2:$O$51519,6,FALSE))/100*$P28</f>
        <v>0</v>
      </c>
      <c r="I28" s="168">
        <f>IF($C28="","",VLOOKUP($C28,성분!$B$2:$O$51519,7,FALSE))/100*$P28</f>
        <v>0.89999999999999991</v>
      </c>
      <c r="J28" s="168">
        <f>IF($C28="","",VLOOKUP($C28,성분!$B$2:$O$51519,8,FALSE))/100*$P28</f>
        <v>4.5000000000000005E-2</v>
      </c>
      <c r="K28" s="168">
        <f>IF($C28="","",VLOOKUP($C28,성분!$B$2:$O$51519,9,FALSE))/100*$P28</f>
        <v>7.9</v>
      </c>
      <c r="L28" s="168">
        <f>IF($C28="","",VLOOKUP($C28,성분!$B$2:$O$51519,10,FALSE))/100*$P28</f>
        <v>4.4999999999999997E-3</v>
      </c>
      <c r="M28" s="168">
        <f>IF($C28="","",VLOOKUP($C28,성분!$B$2:$O$51519,11,FALSE))/100*$P28</f>
        <v>4.0000000000000001E-3</v>
      </c>
      <c r="N28" s="168">
        <f>IF($C28="","",VLOOKUP($C28,성분!$B$2:$O$51519,12,FALSE))/100*$P28</f>
        <v>6.5000000000000002E-2</v>
      </c>
      <c r="O28" s="167">
        <f>IF($C28="","",VLOOKUP($C28,성분!$B$2:$O$51519,13,FALSE))/100*$P28</f>
        <v>0.5</v>
      </c>
      <c r="P28" s="165">
        <f t="shared" si="0"/>
        <v>5</v>
      </c>
      <c r="Q28" s="162">
        <f t="shared" si="2"/>
        <v>0.68</v>
      </c>
      <c r="R28" s="18"/>
    </row>
    <row r="29" spans="1:18" s="160" customFormat="1" ht="27.75" customHeight="1">
      <c r="A29" s="166">
        <v>14</v>
      </c>
      <c r="B29" s="171"/>
      <c r="C29" s="169" t="s">
        <v>2407</v>
      </c>
      <c r="D29" s="168">
        <v>3</v>
      </c>
      <c r="E29" s="168">
        <f>IF($C29="","",VLOOKUP($C29,성분!$B$2:$O$51519,3,FALSE))/100*P29</f>
        <v>0.78</v>
      </c>
      <c r="F29" s="168">
        <f>IF($C29="","",VLOOKUP($C29,성분!$B$2:$O$51519,5,FALSE))/100*$P29</f>
        <v>0.1338</v>
      </c>
      <c r="G29" s="168">
        <f>IF($C29="","",VLOOKUP($C29,성분!$B$2:$O$51519,4,FALSE))/100*$P29</f>
        <v>0</v>
      </c>
      <c r="H29" s="168">
        <f>IF($C29="","",VLOOKUP($C29,성분!$B$2:$O$51519,6,FALSE))/100*$P29</f>
        <v>7.7999999999999996E-3</v>
      </c>
      <c r="I29" s="168">
        <f>IF($C29="","",VLOOKUP($C29,성분!$B$2:$O$51519,7,FALSE))/100*$P29</f>
        <v>2.4300000000000002</v>
      </c>
      <c r="J29" s="168">
        <f>IF($C29="","",VLOOKUP($C29,성분!$B$2:$O$51519,8,FALSE))/100*$P29</f>
        <v>0.03</v>
      </c>
      <c r="K29" s="168">
        <f>IF($C29="","",VLOOKUP($C29,성분!$B$2:$O$51519,9,FALSE))/100*$P29</f>
        <v>3.87</v>
      </c>
      <c r="L29" s="168">
        <f>IF($C29="","",VLOOKUP($C29,성분!$B$2:$O$51519,10,FALSE))/100*$P29</f>
        <v>1.8E-3</v>
      </c>
      <c r="M29" s="168">
        <f>IF($C29="","",VLOOKUP($C29,성분!$B$2:$O$51519,11,FALSE))/100*$P29</f>
        <v>2.7000000000000001E-3</v>
      </c>
      <c r="N29" s="168">
        <f>IF($C29="","",VLOOKUP($C29,성분!$B$2:$O$51519,12,FALSE))/100*$P29</f>
        <v>1.8000000000000002E-2</v>
      </c>
      <c r="O29" s="167">
        <f>IF($C29="","",VLOOKUP($C29,성분!$B$2:$O$51519,13,FALSE))/100*$P29</f>
        <v>0.63</v>
      </c>
      <c r="P29" s="165">
        <f t="shared" si="0"/>
        <v>3</v>
      </c>
      <c r="Q29" s="162">
        <f t="shared" si="2"/>
        <v>0.40799999999999997</v>
      </c>
      <c r="R29" s="18"/>
    </row>
    <row r="30" spans="1:18" s="160" customFormat="1" ht="27.75" customHeight="1">
      <c r="A30" s="166">
        <v>15</v>
      </c>
      <c r="B30" s="171" t="s">
        <v>1084</v>
      </c>
      <c r="C30" s="169" t="s">
        <v>1084</v>
      </c>
      <c r="D30" s="168">
        <v>30</v>
      </c>
      <c r="E30" s="168">
        <f>IF($C30="","",VLOOKUP($C30,성분!$B$2:$O$51519,3,FALSE))/100*P30</f>
        <v>15</v>
      </c>
      <c r="F30" s="168">
        <f>IF($C30="","",VLOOKUP($C30,성분!$B$2:$O$51519,5,FALSE))/100*$P30</f>
        <v>1.32</v>
      </c>
      <c r="G30" s="168">
        <f>IF($C30="","",VLOOKUP($C30,성분!$B$2:$O$51519,4,FALSE))/100*$P30</f>
        <v>0.6</v>
      </c>
      <c r="H30" s="168">
        <f>IF($C30="","",VLOOKUP($C30,성분!$B$2:$O$51519,6,FALSE))/100*$P30</f>
        <v>0.06</v>
      </c>
      <c r="I30" s="168">
        <f>IF($C30="","",VLOOKUP($C30,성분!$B$2:$O$51519,7,FALSE))/100*$P30</f>
        <v>14.1</v>
      </c>
      <c r="J30" s="168">
        <f>IF($C30="","",VLOOKUP($C30,성분!$B$2:$O$51519,8,FALSE))/100*$P30</f>
        <v>0.89999999999999991</v>
      </c>
      <c r="K30" s="168">
        <f>IF($C30="","",VLOOKUP($C30,성분!$B$2:$O$51519,9,FALSE))/100*$P30</f>
        <v>14.399999999999999</v>
      </c>
      <c r="L30" s="168">
        <f>IF($C30="","",VLOOKUP($C30,성분!$B$2:$O$51519,10,FALSE))/100*$P30</f>
        <v>1.7999999999999999E-2</v>
      </c>
      <c r="M30" s="168">
        <f>IF($C30="","",VLOOKUP($C30,성분!$B$2:$O$51519,11,FALSE))/100*$P30</f>
        <v>1.7999999999999999E-2</v>
      </c>
      <c r="N30" s="168">
        <f>IF($C30="","",VLOOKUP($C30,성분!$B$2:$O$51519,12,FALSE))/100*$P30</f>
        <v>0.24</v>
      </c>
      <c r="O30" s="167">
        <f>IF($C30="","",VLOOKUP($C30,성분!$B$2:$O$51519,13,FALSE))/100*$P30</f>
        <v>4.2</v>
      </c>
      <c r="P30" s="165">
        <f t="shared" si="0"/>
        <v>30</v>
      </c>
      <c r="Q30" s="162">
        <f t="shared" si="2"/>
        <v>4.08</v>
      </c>
      <c r="R30" s="18"/>
    </row>
    <row r="31" spans="1:18" s="160" customFormat="1" ht="27.75" customHeight="1">
      <c r="A31" s="166">
        <v>20</v>
      </c>
      <c r="B31" s="171" t="s">
        <v>2470</v>
      </c>
      <c r="C31" s="169" t="s">
        <v>1881</v>
      </c>
      <c r="D31" s="168">
        <v>40</v>
      </c>
      <c r="E31" s="168">
        <f>IF($C31="","",VLOOKUP($C31,성분!$B$2:$O$51519,3,FALSE))/100*P31</f>
        <v>9.2000000000000011</v>
      </c>
      <c r="F31" s="168">
        <f>IF($C31="","",VLOOKUP($C31,성분!$B$2:$O$51519,5,FALSE))/100*$P31</f>
        <v>5.96</v>
      </c>
      <c r="G31" s="168">
        <f>IF($C31="","",VLOOKUP($C31,성분!$B$2:$O$51519,4,FALSE))/100*$P31</f>
        <v>0.16</v>
      </c>
      <c r="H31" s="168">
        <f>IF($C31="","",VLOOKUP($C31,성분!$B$2:$O$51519,6,FALSE))/100*$P31</f>
        <v>0.02</v>
      </c>
      <c r="I31" s="168">
        <f>IF($C31="","",VLOOKUP($C31,성분!$B$2:$O$51519,7,FALSE))/100*$P31</f>
        <v>4</v>
      </c>
      <c r="J31" s="168">
        <f>IF($C31="","",VLOOKUP($C31,성분!$B$2:$O$51519,8,FALSE))/100*$P31</f>
        <v>0.16</v>
      </c>
      <c r="K31" s="168">
        <f>IF($C31="","",VLOOKUP($C31,성분!$B$2:$O$51519,9,FALSE))/100*$P31</f>
        <v>0</v>
      </c>
      <c r="L31" s="168">
        <f>IF($C31="","",VLOOKUP($C31,성분!$B$2:$O$51519,10,FALSE))/100*$P31</f>
        <v>4.4000000000000004E-2</v>
      </c>
      <c r="M31" s="168">
        <f>IF($C31="","",VLOOKUP($C31,성분!$B$2:$O$51519,11,FALSE))/100*$P31</f>
        <v>4.0000000000000001E-3</v>
      </c>
      <c r="N31" s="168">
        <f>IF($C31="","",VLOOKUP($C31,성분!$B$2:$O$51519,12,FALSE))/100*$P31</f>
        <v>0.08</v>
      </c>
      <c r="O31" s="167">
        <f>IF($C31="","",VLOOKUP($C31,성분!$B$2:$O$51519,13,FALSE))/100*$P31</f>
        <v>6</v>
      </c>
      <c r="P31" s="165">
        <f t="shared" si="0"/>
        <v>40</v>
      </c>
      <c r="Q31" s="162">
        <f t="shared" si="2"/>
        <v>5.44</v>
      </c>
      <c r="R31" s="18"/>
    </row>
    <row r="32" spans="1:18" s="160" customFormat="1" ht="32.25" customHeight="1">
      <c r="A32" s="235" t="s">
        <v>1628</v>
      </c>
      <c r="B32" s="236"/>
      <c r="C32" s="236"/>
      <c r="D32" s="237"/>
      <c r="E32" s="19">
        <f t="shared" ref="E32:O32" si="6">SUM(E11:E31)</f>
        <v>810.35800000000006</v>
      </c>
      <c r="F32" s="19">
        <f t="shared" si="6"/>
        <v>141.1164</v>
      </c>
      <c r="G32" s="19">
        <f t="shared" si="6"/>
        <v>46.043999999999997</v>
      </c>
      <c r="H32" s="19">
        <f t="shared" si="6"/>
        <v>24.823399999999999</v>
      </c>
      <c r="I32" s="44">
        <f t="shared" si="6"/>
        <v>74.209000000000003</v>
      </c>
      <c r="J32" s="19">
        <f t="shared" si="6"/>
        <v>4.774</v>
      </c>
      <c r="K32" s="19">
        <f t="shared" si="6"/>
        <v>185.63500000000002</v>
      </c>
      <c r="L32" s="19">
        <f t="shared" si="6"/>
        <v>0.45860000000000006</v>
      </c>
      <c r="M32" s="19">
        <f t="shared" si="6"/>
        <v>0.33210000000000001</v>
      </c>
      <c r="N32" s="19">
        <f t="shared" si="6"/>
        <v>4.9450000000000003</v>
      </c>
      <c r="O32" s="19">
        <f t="shared" si="6"/>
        <v>26.836999999999996</v>
      </c>
      <c r="P32" s="165">
        <f t="shared" si="0"/>
        <v>0</v>
      </c>
      <c r="Q32" s="162">
        <f t="shared" si="2"/>
        <v>0</v>
      </c>
      <c r="R32" s="18">
        <f t="shared" si="1"/>
        <v>0</v>
      </c>
    </row>
    <row r="33" spans="1:19" s="21" customFormat="1" ht="32.25" customHeight="1">
      <c r="A33" s="238" t="s">
        <v>1790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40"/>
      <c r="P33" s="20"/>
      <c r="Q33" s="160"/>
      <c r="R33" s="18">
        <f>INT(Q33)</f>
        <v>0</v>
      </c>
    </row>
    <row r="34" spans="1:19" s="160" customFormat="1" ht="19.5" customHeight="1">
      <c r="A34" s="220" t="s">
        <v>1629</v>
      </c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2"/>
      <c r="S34" s="18">
        <f>INT(R34)</f>
        <v>0</v>
      </c>
    </row>
    <row r="35" spans="1:19" s="160" customFormat="1" ht="20.100000000000001" customHeight="1">
      <c r="A35" s="247" t="s">
        <v>1630</v>
      </c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9"/>
      <c r="P35" s="244" t="s">
        <v>5</v>
      </c>
      <c r="Q35" s="245"/>
      <c r="R35" s="250">
        <v>5000</v>
      </c>
      <c r="S35" s="250"/>
    </row>
    <row r="36" spans="1:19" s="160" customFormat="1" ht="20.100000000000001" customHeight="1">
      <c r="A36" s="251" t="s">
        <v>1769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3"/>
      <c r="P36" s="244" t="s">
        <v>6</v>
      </c>
      <c r="Q36" s="245"/>
      <c r="R36" s="250">
        <f>R35*0.72</f>
        <v>3600</v>
      </c>
      <c r="S36" s="250"/>
    </row>
    <row r="37" spans="1:19" s="160" customFormat="1" ht="20.100000000000001" customHeight="1">
      <c r="A37" s="241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3"/>
      <c r="P37" s="244" t="s">
        <v>1631</v>
      </c>
      <c r="Q37" s="245"/>
      <c r="R37" s="246">
        <v>0.72</v>
      </c>
      <c r="S37" s="246"/>
    </row>
    <row r="38" spans="1:19" s="160" customFormat="1" ht="20.100000000000001" customHeight="1">
      <c r="C38" s="3"/>
      <c r="D38" s="24"/>
      <c r="E38" s="25"/>
      <c r="F38" s="25"/>
      <c r="G38" s="169">
        <v>667</v>
      </c>
      <c r="H38" s="169">
        <v>15</v>
      </c>
      <c r="I38" s="169">
        <v>300</v>
      </c>
      <c r="J38" s="169">
        <v>5.4</v>
      </c>
      <c r="K38" s="169">
        <v>234</v>
      </c>
      <c r="L38" s="169">
        <v>0.34</v>
      </c>
      <c r="M38" s="169">
        <v>0.4</v>
      </c>
      <c r="N38" s="169">
        <v>5.26</v>
      </c>
      <c r="O38" s="169">
        <v>33.4</v>
      </c>
      <c r="P38" s="199"/>
      <c r="Q38" s="199"/>
      <c r="R38" s="23"/>
      <c r="S38" s="23"/>
    </row>
    <row r="39" spans="1:19" s="160" customFormat="1" ht="20.100000000000001" customHeight="1">
      <c r="A39" s="2"/>
      <c r="B39" s="2"/>
      <c r="C39" s="3"/>
      <c r="D39" s="4"/>
      <c r="E39" s="5"/>
      <c r="F39" s="5"/>
      <c r="G39" s="5"/>
      <c r="H39" s="5"/>
      <c r="I39" s="5"/>
      <c r="J39" s="2"/>
      <c r="K39" s="5"/>
      <c r="L39" s="5"/>
      <c r="M39" s="5"/>
      <c r="N39" s="5"/>
      <c r="O39" s="6"/>
    </row>
    <row r="40" spans="1:19" s="160" customFormat="1" ht="20.100000000000001" customHeight="1">
      <c r="A40" s="2"/>
      <c r="B40" s="2"/>
      <c r="C40" s="2"/>
      <c r="D40" s="4"/>
      <c r="E40" s="2"/>
      <c r="F40" s="2"/>
      <c r="G40" s="5"/>
      <c r="H40" s="5"/>
      <c r="I40" s="5"/>
      <c r="J40" s="5"/>
      <c r="K40" s="5"/>
      <c r="L40" s="5"/>
      <c r="M40" s="5"/>
      <c r="N40" s="5"/>
      <c r="O40" s="6"/>
    </row>
    <row r="41" spans="1:19" ht="12">
      <c r="C41" s="2"/>
    </row>
    <row r="42" spans="1:19" ht="12">
      <c r="C42" s="2"/>
    </row>
    <row r="1348" spans="4:4">
      <c r="D1348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4:O34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2:D32"/>
    <mergeCell ref="A33:O33"/>
    <mergeCell ref="A37:O37"/>
    <mergeCell ref="P37:Q37"/>
    <mergeCell ref="R37:S37"/>
    <mergeCell ref="A35:O35"/>
    <mergeCell ref="P35:Q35"/>
    <mergeCell ref="R35:S35"/>
    <mergeCell ref="A36:O36"/>
    <mergeCell ref="P36:Q36"/>
    <mergeCell ref="R36:S36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F70E-2687-4BE0-AEF8-7B3C22ED990D}">
  <sheetPr>
    <pageSetUpPr fitToPage="1"/>
  </sheetPr>
  <dimension ref="A1:S1346"/>
  <sheetViews>
    <sheetView view="pageBreakPreview" zoomScale="85" zoomScaleNormal="85" zoomScaleSheetLayoutView="85" workbookViewId="0">
      <pane xSplit="3" ySplit="10" topLeftCell="D26" activePane="bottomRight" state="frozen"/>
      <selection activeCell="K24" sqref="K24"/>
      <selection pane="topRight" activeCell="K24" sqref="K24"/>
      <selection pane="bottomLeft" activeCell="K24" sqref="K24"/>
      <selection pane="bottomRight" activeCell="D23" sqref="D23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45757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111</v>
      </c>
      <c r="G8" s="226"/>
      <c r="H8" s="226">
        <v>107</v>
      </c>
      <c r="I8" s="226"/>
      <c r="J8" s="226"/>
      <c r="K8" s="226">
        <f>SUM(D8:J8)</f>
        <v>400</v>
      </c>
      <c r="L8" s="226"/>
      <c r="M8" s="226">
        <v>2</v>
      </c>
      <c r="N8" s="227"/>
      <c r="O8" s="228">
        <f>SUM(K8:N8)</f>
        <v>402</v>
      </c>
    </row>
    <row r="9" spans="1:18" customFormat="1" ht="20.100000000000001" customHeight="1">
      <c r="A9" s="230" t="s">
        <v>0</v>
      </c>
      <c r="B9" s="231"/>
      <c r="C9" s="232"/>
      <c r="D9" s="233" t="s">
        <v>2390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IF($C11="","",VLOOKUP($C11,성분!$B$2:$O$1510,3,FALSE))/100*P11</f>
        <v>240</v>
      </c>
      <c r="F11" s="16">
        <f>IF($C11="","",VLOOKUP($C11,성분!$B$2:$O$1510,5,FALSE))/100*$P11</f>
        <v>78.5</v>
      </c>
      <c r="G11" s="16">
        <f>IF($C11="","",VLOOKUP($C11,성분!$B$2:$O$1510,4,FALSE))/100*$P11</f>
        <v>6.4</v>
      </c>
      <c r="H11" s="16">
        <f>IF($C11="","",VLOOKUP($C11,성분!$B$2:$O$1510,6,FALSE))/100*$P11</f>
        <v>0.4</v>
      </c>
      <c r="I11" s="16">
        <f>IF($C11="","",VLOOKUP($C11,성분!$B$2:$O$1510,7,FALSE))/100*$P11</f>
        <v>7.0000000000000009</v>
      </c>
      <c r="J11" s="16">
        <f>IF($C11="","",VLOOKUP($C11,성분!$B$2:$O$1510,8,FALSE))/100*$P11</f>
        <v>0.5</v>
      </c>
      <c r="K11" s="16">
        <f>IF($C11="","",VLOOKUP($C11,성분!$B$2:$O$1510,9,FALSE))/100*$P11</f>
        <v>0</v>
      </c>
      <c r="L11" s="16">
        <f>IF($C11="","",VLOOKUP($C11,성분!$B$2:$O$1510,10,FALSE))/100*$P11</f>
        <v>0.12</v>
      </c>
      <c r="M11" s="16">
        <f>IF($C11="","",VLOOKUP($C11,성분!$B$2:$O$1510,11,FALSE))/100*$P11</f>
        <v>0</v>
      </c>
      <c r="N11" s="16">
        <f>IF($C11="","",VLOOKUP($C11,성분!$B$2:$O$1510,12,FALSE))/100*$P11</f>
        <v>1.4</v>
      </c>
      <c r="O11" s="43">
        <f>IF($C11="","",VLOOKUP($C11,성분!$B$2:$O$1510,13,FALSE))/100*$P11</f>
        <v>0</v>
      </c>
      <c r="P11" s="38">
        <f t="shared" ref="P11:P30" si="0">D11</f>
        <v>100</v>
      </c>
      <c r="Q11" s="17">
        <f t="shared" ref="Q11:Q30" si="1">($O$8*P11)/1000</f>
        <v>40.200000000000003</v>
      </c>
      <c r="R11" s="18">
        <f t="shared" ref="R11:R30" si="2">INT(Q11)</f>
        <v>40</v>
      </c>
    </row>
    <row r="12" spans="1:18" customFormat="1" ht="27.75" customHeight="1">
      <c r="A12" s="42">
        <f t="shared" ref="A12:A29" si="3">ROW()-10</f>
        <v>2</v>
      </c>
      <c r="B12" s="30" t="s">
        <v>2310</v>
      </c>
      <c r="C12" s="22" t="s">
        <v>2259</v>
      </c>
      <c r="D12" s="16">
        <v>60</v>
      </c>
      <c r="E12" s="168">
        <f>IF($C12="","",VLOOKUP($C12,성분!$B$2:$O$1510,3,FALSE))/100*P12</f>
        <v>76.8</v>
      </c>
      <c r="F12" s="168">
        <f>IF($C12="","",VLOOKUP($C12,성분!$B$2:$O$1510,5,FALSE))/100*$P12</f>
        <v>3.4799999999999995</v>
      </c>
      <c r="G12" s="168">
        <f>IF($C12="","",VLOOKUP($C12,성분!$B$2:$O$1510,4,FALSE))/100*$P12</f>
        <v>9.6</v>
      </c>
      <c r="H12" s="168">
        <f>IF($C12="","",VLOOKUP($C12,성분!$B$2:$O$1510,6,FALSE))/100*$P12</f>
        <v>7.26</v>
      </c>
      <c r="I12" s="168">
        <f>IF($C12="","",VLOOKUP($C12,성분!$B$2:$O$1510,7,FALSE))/100*$P12</f>
        <v>3.5999999999999996</v>
      </c>
      <c r="J12" s="168">
        <f>IF($C12="","",VLOOKUP($C12,성분!$B$2:$O$1510,8,FALSE))/100*$P12</f>
        <v>0.54</v>
      </c>
      <c r="K12" s="168">
        <f>IF($C12="","",VLOOKUP($C12,성분!$B$2:$O$1510,9,FALSE))/100*$P12</f>
        <v>0</v>
      </c>
      <c r="L12" s="168">
        <f>IF($C12="","",VLOOKUP($C12,성분!$B$2:$O$1510,10,FALSE))/100*$P12</f>
        <v>0.06</v>
      </c>
      <c r="M12" s="168">
        <f>IF($C12="","",VLOOKUP($C12,성분!$B$2:$O$1510,11,FALSE))/100*$P12</f>
        <v>0.126</v>
      </c>
      <c r="N12" s="168">
        <f>IF($C12="","",VLOOKUP($C12,성분!$B$2:$O$1510,12,FALSE))/100*$P12</f>
        <v>4.2</v>
      </c>
      <c r="O12" s="167">
        <f>IF($C12="","",VLOOKUP($C12,성분!$B$2:$O$1510,13,FALSE))/100*$P12</f>
        <v>28.2</v>
      </c>
      <c r="P12" s="38">
        <f t="shared" ref="P12" si="4">D12</f>
        <v>60</v>
      </c>
      <c r="Q12" s="17">
        <f t="shared" ref="Q12" si="5">($O$8*P12)/1000</f>
        <v>24.12</v>
      </c>
      <c r="R12" s="18">
        <f t="shared" ref="R12" si="6">INT(Q12)</f>
        <v>24</v>
      </c>
    </row>
    <row r="13" spans="1:18" customFormat="1" ht="27.75" customHeight="1">
      <c r="A13" s="42">
        <f t="shared" si="3"/>
        <v>3</v>
      </c>
      <c r="B13" s="30"/>
      <c r="C13" s="22" t="s">
        <v>2382</v>
      </c>
      <c r="D13" s="16">
        <v>80</v>
      </c>
      <c r="E13" s="168">
        <f>IF($C13="","",VLOOKUP($C13,성분!$B$2:$O$1510,3,FALSE))/100*P13</f>
        <v>40</v>
      </c>
      <c r="F13" s="168">
        <f>IF($C13="","",VLOOKUP($C13,성분!$B$2:$O$1510,5,FALSE))/100*$P13</f>
        <v>3.5200000000000005</v>
      </c>
      <c r="G13" s="168">
        <f>IF($C13="","",VLOOKUP($C13,성분!$B$2:$O$1510,4,FALSE))/100*$P13</f>
        <v>1.6</v>
      </c>
      <c r="H13" s="168">
        <f>IF($C13="","",VLOOKUP($C13,성분!$B$2:$O$1510,6,FALSE))/100*$P13</f>
        <v>0.16</v>
      </c>
      <c r="I13" s="168">
        <f>IF($C13="","",VLOOKUP($C13,성분!$B$2:$O$1510,7,FALSE))/100*$P13</f>
        <v>37.599999999999994</v>
      </c>
      <c r="J13" s="168">
        <f>IF($C13="","",VLOOKUP($C13,성분!$B$2:$O$1510,8,FALSE))/100*$P13</f>
        <v>0.64</v>
      </c>
      <c r="K13" s="168">
        <f>IF($C13="","",VLOOKUP($C13,성분!$B$2:$O$1510,9,FALSE))/100*$P13</f>
        <v>38.4</v>
      </c>
      <c r="L13" s="168">
        <f>IF($C13="","",VLOOKUP($C13,성분!$B$2:$O$1510,10,FALSE))/100*$P13</f>
        <v>4.7999999999999994E-2</v>
      </c>
      <c r="M13" s="168">
        <f>IF($C13="","",VLOOKUP($C13,성분!$B$2:$O$1510,11,FALSE))/100*$P13</f>
        <v>4.7999999999999994E-2</v>
      </c>
      <c r="N13" s="168">
        <f>IF($C13="","",VLOOKUP($C13,성분!$B$2:$O$1510,12,FALSE))/100*$P13</f>
        <v>0.64</v>
      </c>
      <c r="O13" s="167">
        <f>IF($C13="","",VLOOKUP($C13,성분!$B$2:$O$1510,13,FALSE))/100*$P13</f>
        <v>11.200000000000001</v>
      </c>
      <c r="P13" s="38">
        <f t="shared" si="0"/>
        <v>80</v>
      </c>
      <c r="Q13" s="17">
        <f t="shared" si="1"/>
        <v>32.159999999999997</v>
      </c>
      <c r="R13" s="18">
        <f t="shared" si="2"/>
        <v>32</v>
      </c>
    </row>
    <row r="14" spans="1:18" customFormat="1" ht="27.75" customHeight="1">
      <c r="A14" s="42">
        <f t="shared" si="3"/>
        <v>4</v>
      </c>
      <c r="B14" s="30"/>
      <c r="C14" s="22" t="s">
        <v>2383</v>
      </c>
      <c r="D14" s="16">
        <v>50</v>
      </c>
      <c r="E14" s="168">
        <f>IF($C14="","",VLOOKUP($C14,성분!$B$2:$O$1510,3,FALSE))/100*P14</f>
        <v>70</v>
      </c>
      <c r="F14" s="168">
        <f>IF($C14="","",VLOOKUP($C14,성분!$B$2:$O$1510,5,FALSE))/100*$P14</f>
        <v>22</v>
      </c>
      <c r="G14" s="168">
        <f>IF($C14="","",VLOOKUP($C14,성분!$B$2:$O$1510,4,FALSE))/100*$P14</f>
        <v>6.35</v>
      </c>
      <c r="H14" s="168">
        <f>IF($C14="","",VLOOKUP($C14,성분!$B$2:$O$1510,6,FALSE))/100*$P14</f>
        <v>4.5149999999999997</v>
      </c>
      <c r="I14" s="168">
        <f>IF($C14="","",VLOOKUP($C14,성분!$B$2:$O$1510,7,FALSE))/100*$P14</f>
        <v>23.5</v>
      </c>
      <c r="J14" s="168">
        <f>IF($C14="","",VLOOKUP($C14,성분!$B$2:$O$1510,8,FALSE))/100*$P14</f>
        <v>0.90000000000000013</v>
      </c>
      <c r="K14" s="168">
        <f>IF($C14="","",VLOOKUP($C14,성분!$B$2:$O$1510,9,FALSE))/100*$P14</f>
        <v>78</v>
      </c>
      <c r="L14" s="168">
        <f>IF($C14="","",VLOOKUP($C14,성분!$B$2:$O$1510,10,FALSE))/100*$P14</f>
        <v>0.05</v>
      </c>
      <c r="M14" s="168">
        <f>IF($C14="","",VLOOKUP($C14,성분!$B$2:$O$1510,11,FALSE))/100*$P14</f>
        <v>0.13</v>
      </c>
      <c r="N14" s="168">
        <f>IF($C14="","",VLOOKUP($C14,성분!$B$2:$O$1510,12,FALSE))/100*$P14</f>
        <v>0.05</v>
      </c>
      <c r="O14" s="167">
        <f>IF($C14="","",VLOOKUP($C14,성분!$B$2:$O$1510,13,FALSE))/100*$P14</f>
        <v>0</v>
      </c>
      <c r="P14" s="38">
        <f t="shared" ref="P14" si="7">D14</f>
        <v>50</v>
      </c>
      <c r="Q14" s="17">
        <f t="shared" ref="Q14" si="8">($O$8*P14)/1000</f>
        <v>20.100000000000001</v>
      </c>
      <c r="R14" s="18">
        <f t="shared" ref="R14" si="9">INT(Q14)</f>
        <v>20</v>
      </c>
    </row>
    <row r="15" spans="1:18" customFormat="1" ht="27.75" customHeight="1">
      <c r="A15" s="42">
        <f t="shared" si="3"/>
        <v>5</v>
      </c>
      <c r="B15" s="30"/>
      <c r="C15" s="22" t="s">
        <v>1306</v>
      </c>
      <c r="D15" s="16">
        <v>4</v>
      </c>
      <c r="E15" s="168">
        <f>IF($C15="","",VLOOKUP($C15,성분!$B$2:$O$1510,3,FALSE))/100*P15</f>
        <v>10.88</v>
      </c>
      <c r="F15" s="168">
        <f>IF($C15="","",VLOOKUP($C15,성분!$B$2:$O$1510,5,FALSE))/100*$P15</f>
        <v>1.6440000000000001</v>
      </c>
      <c r="G15" s="168">
        <f>IF($C15="","",VLOOKUP($C15,성분!$B$2:$O$1510,4,FALSE))/100*$P15</f>
        <v>0.8</v>
      </c>
      <c r="H15" s="168">
        <f>IF($C15="","",VLOOKUP($C15,성분!$B$2:$O$1510,6,FALSE))/100*$P15</f>
        <v>9.1999999999999998E-2</v>
      </c>
      <c r="I15" s="168">
        <f>IF($C15="","",VLOOKUP($C15,성분!$B$2:$O$1510,7,FALSE))/100*$P15</f>
        <v>16.399999999999999</v>
      </c>
      <c r="J15" s="168">
        <f>IF($C15="","",VLOOKUP($C15,성분!$B$2:$O$1510,8,FALSE))/100*$P15</f>
        <v>0.2</v>
      </c>
      <c r="K15" s="168">
        <f>IF($C15="","",VLOOKUP($C15,성분!$B$2:$O$1510,9,FALSE))/100*$P15</f>
        <v>9.6</v>
      </c>
      <c r="L15" s="168">
        <f>IF($C15="","",VLOOKUP($C15,성분!$B$2:$O$1510,10,FALSE))/100*$P15</f>
        <v>1.2E-2</v>
      </c>
      <c r="M15" s="168">
        <f>IF($C15="","",VLOOKUP($C15,성분!$B$2:$O$1510,11,FALSE))/100*$P15</f>
        <v>4.0000000000000001E-3</v>
      </c>
      <c r="N15" s="168">
        <f>IF($C15="","",VLOOKUP($C15,성분!$B$2:$O$1510,12,FALSE))/100*$P15</f>
        <v>0.2</v>
      </c>
      <c r="O15" s="167">
        <f>IF($C15="","",VLOOKUP($C15,성분!$B$2:$O$1510,13,FALSE))/100*$P15</f>
        <v>1.48</v>
      </c>
      <c r="P15" s="38">
        <f t="shared" si="0"/>
        <v>4</v>
      </c>
      <c r="Q15" s="17">
        <f t="shared" si="1"/>
        <v>1.6080000000000001</v>
      </c>
      <c r="R15" s="18">
        <f t="shared" si="2"/>
        <v>1</v>
      </c>
    </row>
    <row r="16" spans="1:18" customFormat="1" ht="27.75" customHeight="1">
      <c r="A16" s="42">
        <f t="shared" si="3"/>
        <v>6</v>
      </c>
      <c r="B16" s="30"/>
      <c r="C16" s="22" t="s">
        <v>2220</v>
      </c>
      <c r="D16" s="16">
        <v>5</v>
      </c>
      <c r="E16" s="168">
        <f>IF($C16="","",VLOOKUP($C16,성분!$B$2:$O$1510,3,FALSE))/100*P16</f>
        <v>35.35</v>
      </c>
      <c r="F16" s="168">
        <f>IF($C16="","",VLOOKUP($C16,성분!$B$2:$O$1510,5,FALSE))/100*$P16</f>
        <v>0.21000000000000002</v>
      </c>
      <c r="G16" s="168">
        <f>IF($C16="","",VLOOKUP($C16,성분!$B$2:$O$1510,4,FALSE))/100*$P16</f>
        <v>0.03</v>
      </c>
      <c r="H16" s="168">
        <f>IF($C16="","",VLOOKUP($C16,성분!$B$2:$O$1510,6,FALSE))/100*$P16</f>
        <v>3.5450000000000004</v>
      </c>
      <c r="I16" s="168">
        <f>IF($C16="","",VLOOKUP($C16,성분!$B$2:$O$1510,7,FALSE))/100*$P16</f>
        <v>1.05</v>
      </c>
      <c r="J16" s="168">
        <f>IF($C16="","",VLOOKUP($C16,성분!$B$2:$O$1510,8,FALSE))/100*$P16</f>
        <v>4.0000000000000001E-3</v>
      </c>
      <c r="K16" s="168">
        <f>IF($C16="","",VLOOKUP($C16,성분!$B$2:$O$1510,9,FALSE))/100*$P16</f>
        <v>0.75</v>
      </c>
      <c r="L16" s="168">
        <f>IF($C16="","",VLOOKUP($C16,성분!$B$2:$O$1510,10,FALSE))/100*$P16</f>
        <v>1E-3</v>
      </c>
      <c r="M16" s="168">
        <f>IF($C16="","",VLOOKUP($C16,성분!$B$2:$O$1510,11,FALSE))/100*$P16</f>
        <v>1.4999999999999998E-3</v>
      </c>
      <c r="N16" s="168">
        <f>IF($C16="","",VLOOKUP($C16,성분!$B$2:$O$1510,12,FALSE))/100*$P16</f>
        <v>5.0000000000000001E-3</v>
      </c>
      <c r="O16" s="167">
        <f>IF($C16="","",VLOOKUP($C16,성분!$B$2:$O$1510,13,FALSE))/100*$P16</f>
        <v>0</v>
      </c>
      <c r="P16" s="38">
        <f t="shared" ref="P16:P29" si="10">D16</f>
        <v>5</v>
      </c>
      <c r="Q16" s="17">
        <f t="shared" ref="Q16:Q29" si="11">($O$8*P16)/1000</f>
        <v>2.0099999999999998</v>
      </c>
      <c r="R16" s="18">
        <f t="shared" ref="R16:R29" si="12">INT(Q16)</f>
        <v>2</v>
      </c>
    </row>
    <row r="17" spans="1:19" customFormat="1" ht="27.75" customHeight="1">
      <c r="A17" s="42">
        <f t="shared" si="3"/>
        <v>7</v>
      </c>
      <c r="B17" s="30" t="s">
        <v>2384</v>
      </c>
      <c r="C17" s="22" t="s">
        <v>2385</v>
      </c>
      <c r="D17" s="16">
        <v>3</v>
      </c>
      <c r="E17" s="168">
        <f>IF($C17="","",VLOOKUP($C17,성분!$B$2:$O$1510,3,FALSE))/100*P17</f>
        <v>10.379999999999999</v>
      </c>
      <c r="F17" s="168">
        <f>IF($C17="","",VLOOKUP($C17,성분!$B$2:$O$1510,5,FALSE))/100*$P17</f>
        <v>0.09</v>
      </c>
      <c r="G17" s="168">
        <f>IF($C17="","",VLOOKUP($C17,성분!$B$2:$O$1510,4,FALSE))/100*$P17</f>
        <v>0.61199999999999999</v>
      </c>
      <c r="H17" s="168">
        <f>IF($C17="","",VLOOKUP($C17,성분!$B$2:$O$1510,6,FALSE))/100*$P17</f>
        <v>0.92999999999999994</v>
      </c>
      <c r="I17" s="168">
        <f>IF($C17="","",VLOOKUP($C17,성분!$B$2:$O$1510,7,FALSE))/100*$P17</f>
        <v>8.8500000000000014</v>
      </c>
      <c r="J17" s="168">
        <f>IF($C17="","",VLOOKUP($C17,성분!$B$2:$O$1510,8,FALSE))/100*$P17</f>
        <v>0.13800000000000001</v>
      </c>
      <c r="K17" s="168">
        <f>IF($C17="","",VLOOKUP($C17,성분!$B$2:$O$1510,9,FALSE))/100*$P17</f>
        <v>0</v>
      </c>
      <c r="L17" s="168">
        <f>IF($C17="","",VLOOKUP($C17,성분!$B$2:$O$1510,10,FALSE))/100*$P17</f>
        <v>1.5E-3</v>
      </c>
      <c r="M17" s="168">
        <f>IF($C17="","",VLOOKUP($C17,성분!$B$2:$O$1510,11,FALSE))/100*$P17</f>
        <v>6.0000000000000006E-4</v>
      </c>
      <c r="N17" s="168">
        <f>IF($C17="","",VLOOKUP($C17,성분!$B$2:$O$1510,12,FALSE))/100*$P17</f>
        <v>9.0000000000000011E-3</v>
      </c>
      <c r="O17" s="167">
        <f>IF($C17="","",VLOOKUP($C17,성분!$B$2:$O$1510,13,FALSE))/100*$P17</f>
        <v>0</v>
      </c>
      <c r="P17" s="38">
        <f t="shared" si="10"/>
        <v>3</v>
      </c>
      <c r="Q17" s="17">
        <f t="shared" si="11"/>
        <v>1.206</v>
      </c>
      <c r="R17" s="18">
        <f t="shared" si="12"/>
        <v>1</v>
      </c>
    </row>
    <row r="18" spans="1:19" customFormat="1" ht="27.75" customHeight="1">
      <c r="A18" s="42">
        <f t="shared" si="3"/>
        <v>8</v>
      </c>
      <c r="B18" s="30"/>
      <c r="C18" s="22" t="s">
        <v>2193</v>
      </c>
      <c r="D18" s="16">
        <v>30</v>
      </c>
      <c r="E18" s="168">
        <f>IF($C18="","",VLOOKUP($C18,성분!$B$2:$O$1510,3,FALSE))/100*P18</f>
        <v>5.3999999999999995</v>
      </c>
      <c r="F18" s="168">
        <f>IF($C18="","",VLOOKUP($C18,성분!$B$2:$O$1510,5,FALSE))/100*$P18</f>
        <v>1.254</v>
      </c>
      <c r="G18" s="168">
        <f>IF($C18="","",VLOOKUP($C18,성분!$B$2:$O$1510,4,FALSE))/100*$P18</f>
        <v>0.24</v>
      </c>
      <c r="H18" s="168">
        <f>IF($C18="","",VLOOKUP($C18,성분!$B$2:$O$1510,6,FALSE))/100*$P18</f>
        <v>0.06</v>
      </c>
      <c r="I18" s="168">
        <f>IF($C18="","",VLOOKUP($C18,성분!$B$2:$O$1510,7,FALSE))/100*$P18</f>
        <v>7.5</v>
      </c>
      <c r="J18" s="168">
        <f>IF($C18="","",VLOOKUP($C18,성분!$B$2:$O$1510,8,FALSE))/100*$P18</f>
        <v>0.23400000000000001</v>
      </c>
      <c r="K18" s="168">
        <f>IF($C18="","",VLOOKUP($C18,성분!$B$2:$O$1510,9,FALSE))/100*$P18</f>
        <v>4.5</v>
      </c>
      <c r="L18" s="168">
        <f>IF($C18="","",VLOOKUP($C18,성분!$B$2:$O$1510,10,FALSE))/100*$P18</f>
        <v>8.9999999999999993E-3</v>
      </c>
      <c r="M18" s="168">
        <f>IF($C18="","",VLOOKUP($C18,성분!$B$2:$O$1510,11,FALSE))/100*$P18</f>
        <v>1.7999999999999999E-2</v>
      </c>
      <c r="N18" s="168">
        <f>IF($C18="","",VLOOKUP($C18,성분!$B$2:$O$1510,12,FALSE))/100*$P18</f>
        <v>6.3E-2</v>
      </c>
      <c r="O18" s="167">
        <f>IF($C18="","",VLOOKUP($C18,성분!$B$2:$O$1510,13,FALSE))/100*$P18</f>
        <v>0.96</v>
      </c>
      <c r="P18" s="38">
        <f t="shared" si="10"/>
        <v>30</v>
      </c>
      <c r="Q18" s="17">
        <f t="shared" si="11"/>
        <v>12.06</v>
      </c>
      <c r="R18" s="18">
        <f t="shared" si="12"/>
        <v>12</v>
      </c>
    </row>
    <row r="19" spans="1:19" customFormat="1" ht="27.75" customHeight="1">
      <c r="A19" s="42">
        <f t="shared" si="3"/>
        <v>9</v>
      </c>
      <c r="B19" s="30"/>
      <c r="C19" s="22" t="s">
        <v>2386</v>
      </c>
      <c r="D19" s="16">
        <v>2</v>
      </c>
      <c r="E19" s="168">
        <f>IF($C19="","",VLOOKUP($C19,성분!$B$2:$O$1510,3,FALSE))/100*P19</f>
        <v>11.8</v>
      </c>
      <c r="F19" s="168">
        <f>IF($C19="","",VLOOKUP($C19,성분!$B$2:$O$1510,5,FALSE))/100*$P19</f>
        <v>0.95</v>
      </c>
      <c r="G19" s="168">
        <f>IF($C19="","",VLOOKUP($C19,성분!$B$2:$O$1510,4,FALSE))/100*$P19</f>
        <v>0.128</v>
      </c>
      <c r="H19" s="168">
        <f>IF($C19="","",VLOOKUP($C19,성분!$B$2:$O$1510,6,FALSE))/100*$P19</f>
        <v>0.128</v>
      </c>
      <c r="I19" s="168">
        <f>IF($C19="","",VLOOKUP($C19,성분!$B$2:$O$1510,7,FALSE))/100*$P19</f>
        <v>0</v>
      </c>
      <c r="J19" s="168">
        <f>IF($C19="","",VLOOKUP($C19,성분!$B$2:$O$1510,8,FALSE))/100*$P19</f>
        <v>0</v>
      </c>
      <c r="K19" s="168">
        <f>IF($C19="","",VLOOKUP($C19,성분!$B$2:$O$1510,9,FALSE))/100*$P19</f>
        <v>0</v>
      </c>
      <c r="L19" s="168">
        <f>IF($C19="","",VLOOKUP($C19,성분!$B$2:$O$1510,10,FALSE))/100*$P19</f>
        <v>0</v>
      </c>
      <c r="M19" s="168">
        <f>IF($C19="","",VLOOKUP($C19,성분!$B$2:$O$1510,11,FALSE))/100*$P19</f>
        <v>0</v>
      </c>
      <c r="N19" s="168">
        <f>IF($C19="","",VLOOKUP($C19,성분!$B$2:$O$1510,12,FALSE))/100*$P19</f>
        <v>0</v>
      </c>
      <c r="O19" s="167">
        <f>IF($C19="","",VLOOKUP($C19,성분!$B$2:$O$1510,13,FALSE))/100*$P19</f>
        <v>0</v>
      </c>
      <c r="P19" s="38">
        <f t="shared" si="10"/>
        <v>2</v>
      </c>
      <c r="Q19" s="17">
        <f t="shared" si="11"/>
        <v>0.80400000000000005</v>
      </c>
      <c r="R19" s="18">
        <f t="shared" si="12"/>
        <v>0</v>
      </c>
    </row>
    <row r="20" spans="1:19" customFormat="1" ht="27.75" customHeight="1">
      <c r="A20" s="42">
        <f t="shared" si="3"/>
        <v>10</v>
      </c>
      <c r="B20" s="30"/>
      <c r="C20" s="22" t="s">
        <v>1239</v>
      </c>
      <c r="D20" s="16">
        <v>5</v>
      </c>
      <c r="E20" s="168">
        <f>IF($C20="","",VLOOKUP($C20,성분!$B$2:$O$1510,3,FALSE))/100*P20</f>
        <v>1.3</v>
      </c>
      <c r="F20" s="168">
        <f>IF($C20="","",VLOOKUP($C20,성분!$B$2:$O$1510,5,FALSE))/100*$P20</f>
        <v>0.223</v>
      </c>
      <c r="G20" s="168">
        <f>IF($C20="","",VLOOKUP($C20,성분!$B$2:$O$1510,4,FALSE))/100*$P20</f>
        <v>0</v>
      </c>
      <c r="H20" s="168">
        <f>IF($C20="","",VLOOKUP($C20,성분!$B$2:$O$1510,6,FALSE))/100*$P20</f>
        <v>1.2999999999999999E-2</v>
      </c>
      <c r="I20" s="168">
        <f>IF($C20="","",VLOOKUP($C20,성분!$B$2:$O$1510,7,FALSE))/100*$P20</f>
        <v>4.0500000000000007</v>
      </c>
      <c r="J20" s="168">
        <f>IF($C20="","",VLOOKUP($C20,성분!$B$2:$O$1510,8,FALSE))/100*$P20</f>
        <v>0.05</v>
      </c>
      <c r="K20" s="168">
        <f>IF($C20="","",VLOOKUP($C20,성분!$B$2:$O$1510,9,FALSE))/100*$P20</f>
        <v>6.45</v>
      </c>
      <c r="L20" s="168">
        <f>IF($C20="","",VLOOKUP($C20,성분!$B$2:$O$1510,10,FALSE))/100*$P20</f>
        <v>2.9999999999999996E-3</v>
      </c>
      <c r="M20" s="168">
        <f>IF($C20="","",VLOOKUP($C20,성분!$B$2:$O$1510,11,FALSE))/100*$P20</f>
        <v>4.4999999999999997E-3</v>
      </c>
      <c r="N20" s="168">
        <f>IF($C20="","",VLOOKUP($C20,성분!$B$2:$O$1510,12,FALSE))/100*$P20</f>
        <v>0.03</v>
      </c>
      <c r="O20" s="167">
        <f>IF($C20="","",VLOOKUP($C20,성분!$B$2:$O$1510,13,FALSE))/100*$P20</f>
        <v>1.05</v>
      </c>
      <c r="P20" s="38">
        <f t="shared" si="10"/>
        <v>5</v>
      </c>
      <c r="Q20" s="17">
        <f t="shared" si="11"/>
        <v>2.0099999999999998</v>
      </c>
      <c r="R20" s="18">
        <f t="shared" si="12"/>
        <v>2</v>
      </c>
    </row>
    <row r="21" spans="1:19" customFormat="1" ht="27.75" customHeight="1">
      <c r="A21" s="42">
        <f t="shared" si="3"/>
        <v>11</v>
      </c>
      <c r="B21" s="30" t="s">
        <v>2311</v>
      </c>
      <c r="C21" s="22" t="s">
        <v>2312</v>
      </c>
      <c r="D21" s="16">
        <v>80</v>
      </c>
      <c r="E21" s="168">
        <f>IF($C21="","",VLOOKUP($C21,성분!$B$2:$O$1510,3,FALSE))/100*P21</f>
        <v>88</v>
      </c>
      <c r="F21" s="168">
        <f>IF($C21="","",VLOOKUP($C21,성분!$B$2:$O$1510,5,FALSE))/100*$P21</f>
        <v>38</v>
      </c>
      <c r="G21" s="168">
        <f>IF($C21="","",VLOOKUP($C21,성분!$B$2:$O$1510,4,FALSE))/100*$P21</f>
        <v>2.8000000000000003</v>
      </c>
      <c r="H21" s="168">
        <f>IF($C21="","",VLOOKUP($C21,성분!$B$2:$O$1510,6,FALSE))/100*$P21</f>
        <v>0.4</v>
      </c>
      <c r="I21" s="168">
        <f>IF($C21="","",VLOOKUP($C21,성분!$B$2:$O$1510,7,FALSE))/100*$P21</f>
        <v>3.2</v>
      </c>
      <c r="J21" s="168">
        <f>IF($C21="","",VLOOKUP($C21,성분!$B$2:$O$1510,8,FALSE))/100*$P21</f>
        <v>0.8</v>
      </c>
      <c r="K21" s="168">
        <f>IF($C21="","",VLOOKUP($C21,성분!$B$2:$O$1510,9,FALSE))/100*$P21</f>
        <v>0</v>
      </c>
      <c r="L21" s="168">
        <f>IF($C21="","",VLOOKUP($C21,성분!$B$2:$O$1510,10,FALSE))/100*$P21</f>
        <v>1.6E-2</v>
      </c>
      <c r="M21" s="168">
        <f>IF($C21="","",VLOOKUP($C21,성분!$B$2:$O$1510,11,FALSE))/100*$P21</f>
        <v>8.0000000000000002E-3</v>
      </c>
      <c r="N21" s="168">
        <f>IF($C21="","",VLOOKUP($C21,성분!$B$2:$O$1510,12,FALSE))/100*$P21</f>
        <v>0.55999999999999994</v>
      </c>
      <c r="O21" s="167">
        <f>IF($C21="","",VLOOKUP($C21,성분!$B$2:$O$1510,13,FALSE))/100*$P21</f>
        <v>0</v>
      </c>
      <c r="P21" s="38">
        <f t="shared" ref="P21:P25" si="13">D21</f>
        <v>80</v>
      </c>
      <c r="Q21" s="17">
        <f t="shared" ref="Q21:Q25" si="14">($O$8*P21)/1000</f>
        <v>32.159999999999997</v>
      </c>
      <c r="R21" s="18">
        <f t="shared" ref="R21:R25" si="15">INT(Q21)</f>
        <v>32</v>
      </c>
    </row>
    <row r="22" spans="1:19" customFormat="1" ht="27.75" customHeight="1">
      <c r="A22" s="42">
        <f t="shared" si="3"/>
        <v>12</v>
      </c>
      <c r="B22" s="30"/>
      <c r="C22" s="22" t="s">
        <v>366</v>
      </c>
      <c r="D22" s="16">
        <v>20</v>
      </c>
      <c r="E22" s="168">
        <f>IF($C22="","",VLOOKUP($C22,성분!$B$2:$O$1510,3,FALSE))/100*P22</f>
        <v>30.4</v>
      </c>
      <c r="F22" s="168">
        <f>IF($C22="","",VLOOKUP($C22,성분!$B$2:$O$1510,5,FALSE))/100*$P22</f>
        <v>0.4</v>
      </c>
      <c r="G22" s="168">
        <f>IF($C22="","",VLOOKUP($C22,성분!$B$2:$O$1510,4,FALSE))/100*$P22</f>
        <v>2.4600000000000004</v>
      </c>
      <c r="H22" s="168">
        <f>IF($C22="","",VLOOKUP($C22,성분!$B$2:$O$1510,6,FALSE))/100*$P22</f>
        <v>2.0579999999999998</v>
      </c>
      <c r="I22" s="168">
        <f>IF($C22="","",VLOOKUP($C22,성분!$B$2:$O$1510,7,FALSE))/100*$P22</f>
        <v>7.8000000000000007</v>
      </c>
      <c r="J22" s="168">
        <f>IF($C22="","",VLOOKUP($C22,성분!$B$2:$O$1510,8,FALSE))/100*$P22</f>
        <v>0.7400000000000001</v>
      </c>
      <c r="K22" s="168">
        <f>IF($C22="","",VLOOKUP($C22,성분!$B$2:$O$1510,9,FALSE))/100*$P22</f>
        <v>108.2</v>
      </c>
      <c r="L22" s="168">
        <f>IF($C22="","",VLOOKUP($C22,성분!$B$2:$O$1510,10,FALSE))/100*$P22</f>
        <v>2.3999999999999997E-2</v>
      </c>
      <c r="M22" s="168">
        <f>IF($C22="","",VLOOKUP($C22,성분!$B$2:$O$1510,11,FALSE))/100*$P22</f>
        <v>0.13400000000000001</v>
      </c>
      <c r="N22" s="168">
        <f>IF($C22="","",VLOOKUP($C22,성분!$B$2:$O$1510,12,FALSE))/100*$P22</f>
        <v>0.02</v>
      </c>
      <c r="O22" s="167">
        <f>IF($C22="","",VLOOKUP($C22,성분!$B$2:$O$1510,13,FALSE))/100*$P22</f>
        <v>0</v>
      </c>
      <c r="P22" s="38">
        <f t="shared" ref="P22" si="16">D22</f>
        <v>20</v>
      </c>
      <c r="Q22" s="17">
        <f t="shared" ref="Q22" si="17">($O$8*P22)/1000</f>
        <v>8.0399999999999991</v>
      </c>
      <c r="R22" s="18">
        <f t="shared" ref="R22" si="18">INT(Q22)</f>
        <v>8</v>
      </c>
    </row>
    <row r="23" spans="1:19" customFormat="1" ht="27.75" customHeight="1">
      <c r="A23" s="42">
        <f t="shared" si="3"/>
        <v>13</v>
      </c>
      <c r="B23" s="30"/>
      <c r="C23" s="22" t="s">
        <v>1186</v>
      </c>
      <c r="D23" s="16">
        <v>15</v>
      </c>
      <c r="E23" s="168">
        <f>IF($C23="","",VLOOKUP($C23,성분!$B$2:$O$1510,3,FALSE))/100*P23</f>
        <v>4.6500000000000004</v>
      </c>
      <c r="F23" s="168">
        <f>IF($C23="","",VLOOKUP($C23,성분!$B$2:$O$1510,5,FALSE))/100*$P23</f>
        <v>0.94200000000000017</v>
      </c>
      <c r="G23" s="168">
        <f>IF($C23="","",VLOOKUP($C23,성분!$B$2:$O$1510,4,FALSE))/100*$P23</f>
        <v>0.20999999999999996</v>
      </c>
      <c r="H23" s="168">
        <f>IF($C23="","",VLOOKUP($C23,성분!$B$2:$O$1510,6,FALSE))/100*$P23</f>
        <v>0.20100000000000001</v>
      </c>
      <c r="I23" s="168">
        <f>IF($C23="","",VLOOKUP($C23,성분!$B$2:$O$1510,7,FALSE))/100*$P23</f>
        <v>5.7</v>
      </c>
      <c r="J23" s="168">
        <f>IF($C23="","",VLOOKUP($C23,성분!$B$2:$O$1510,8,FALSE))/100*$P23</f>
        <v>0.06</v>
      </c>
      <c r="K23" s="168">
        <f>IF($C23="","",VLOOKUP($C23,성분!$B$2:$O$1510,9,FALSE))/100*$P23</f>
        <v>0.44999999999999996</v>
      </c>
      <c r="L23" s="168">
        <f>IF($C23="","",VLOOKUP($C23,성분!$B$2:$O$1510,10,FALSE))/100*$P23</f>
        <v>6.0000000000000001E-3</v>
      </c>
      <c r="M23" s="168">
        <f>IF($C23="","",VLOOKUP($C23,성분!$B$2:$O$1510,11,FALSE))/100*$P23</f>
        <v>6.0000000000000001E-3</v>
      </c>
      <c r="N23" s="168">
        <f>IF($C23="","",VLOOKUP($C23,성분!$B$2:$O$1510,12,FALSE))/100*$P23</f>
        <v>4.4999999999999998E-2</v>
      </c>
      <c r="O23" s="167">
        <f>IF($C23="","",VLOOKUP($C23,성분!$B$2:$O$1510,13,FALSE))/100*$P23</f>
        <v>4.3499999999999996</v>
      </c>
      <c r="P23" s="38">
        <f t="shared" si="13"/>
        <v>15</v>
      </c>
      <c r="Q23" s="17">
        <f t="shared" si="14"/>
        <v>6.03</v>
      </c>
      <c r="R23" s="18">
        <f t="shared" si="15"/>
        <v>6</v>
      </c>
    </row>
    <row r="24" spans="1:19" customFormat="1" ht="27.75" customHeight="1">
      <c r="A24" s="42">
        <f t="shared" si="3"/>
        <v>14</v>
      </c>
      <c r="B24" s="30"/>
      <c r="C24" s="22" t="s">
        <v>1190</v>
      </c>
      <c r="D24" s="16">
        <v>10</v>
      </c>
      <c r="E24" s="168">
        <f>IF($C24="","",VLOOKUP($C24,성분!$B$2:$O$1510,3,FALSE))/100*P24</f>
        <v>3.5</v>
      </c>
      <c r="F24" s="168">
        <f>IF($C24="","",VLOOKUP($C24,성분!$B$2:$O$1510,5,FALSE))/100*$P24</f>
        <v>0.76600000000000001</v>
      </c>
      <c r="G24" s="168">
        <f>IF($C24="","",VLOOKUP($C24,성분!$B$2:$O$1510,4,FALSE))/100*$P24</f>
        <v>0.1</v>
      </c>
      <c r="H24" s="168">
        <f>IF($C24="","",VLOOKUP($C24,성분!$B$2:$O$1510,6,FALSE))/100*$P24</f>
        <v>1.9E-2</v>
      </c>
      <c r="I24" s="168">
        <f>IF($C24="","",VLOOKUP($C24,성분!$B$2:$O$1510,7,FALSE))/100*$P24</f>
        <v>1.5</v>
      </c>
      <c r="J24" s="168">
        <f>IF($C24="","",VLOOKUP($C24,성분!$B$2:$O$1510,8,FALSE))/100*$P24</f>
        <v>0.03</v>
      </c>
      <c r="K24" s="168">
        <f>IF($C24="","",VLOOKUP($C24,성분!$B$2:$O$1510,9,FALSE))/100*$P24</f>
        <v>0</v>
      </c>
      <c r="L24" s="168">
        <f>IF($C24="","",VLOOKUP($C24,성분!$B$2:$O$1510,10,FALSE))/100*$P24</f>
        <v>4.0000000000000001E-3</v>
      </c>
      <c r="M24" s="168">
        <f>IF($C24="","",VLOOKUP($C24,성분!$B$2:$O$1510,11,FALSE))/100*$P24</f>
        <v>1E-3</v>
      </c>
      <c r="N24" s="168">
        <f>IF($C24="","",VLOOKUP($C24,성분!$B$2:$O$1510,12,FALSE))/100*$P24</f>
        <v>0.02</v>
      </c>
      <c r="O24" s="167">
        <f>IF($C24="","",VLOOKUP($C24,성분!$B$2:$O$1510,13,FALSE))/100*$P24</f>
        <v>0.8</v>
      </c>
      <c r="P24" s="38">
        <f t="shared" si="13"/>
        <v>10</v>
      </c>
      <c r="Q24" s="17">
        <f t="shared" si="14"/>
        <v>4.0199999999999996</v>
      </c>
      <c r="R24" s="18">
        <f t="shared" si="15"/>
        <v>4</v>
      </c>
    </row>
    <row r="25" spans="1:19" customFormat="1" ht="27.75" customHeight="1">
      <c r="A25" s="42">
        <f t="shared" si="3"/>
        <v>15</v>
      </c>
      <c r="B25" s="30"/>
      <c r="C25" s="22" t="s">
        <v>1980</v>
      </c>
      <c r="D25" s="16">
        <v>7</v>
      </c>
      <c r="E25" s="168">
        <f>IF($C25="","",VLOOKUP($C25,성분!$B$2:$O$1510,3,FALSE))/100*P25</f>
        <v>2.3800000000000003</v>
      </c>
      <c r="F25" s="168">
        <f>IF($C25="","",VLOOKUP($C25,성분!$B$2:$O$1510,5,FALSE))/100*$P25</f>
        <v>0.49209999999999998</v>
      </c>
      <c r="G25" s="168">
        <f>IF($C25="","",VLOOKUP($C25,성분!$B$2:$O$1510,4,FALSE))/100*$P25</f>
        <v>7.0000000000000007E-2</v>
      </c>
      <c r="H25" s="168">
        <f>IF($C25="","",VLOOKUP($C25,성분!$B$2:$O$1510,6,FALSE))/100*$P25</f>
        <v>9.1000000000000004E-3</v>
      </c>
      <c r="I25" s="168">
        <f>IF($C25="","",VLOOKUP($C25,성분!$B$2:$O$1510,7,FALSE))/100*$P25</f>
        <v>2.66</v>
      </c>
      <c r="J25" s="168">
        <f>IF($C25="","",VLOOKUP($C25,성분!$B$2:$O$1510,8,FALSE))/100*$P25</f>
        <v>4.8999999999999995E-2</v>
      </c>
      <c r="K25" s="168">
        <f>IF($C25="","",VLOOKUP($C25,성분!$B$2:$O$1510,9,FALSE))/100*$P25</f>
        <v>87.990000000000009</v>
      </c>
      <c r="L25" s="168">
        <f>IF($C25="","",VLOOKUP($C25,성분!$B$2:$O$1510,10,FALSE))/100*$P25</f>
        <v>4.1999999999999997E-3</v>
      </c>
      <c r="M25" s="168">
        <f>IF($C25="","",VLOOKUP($C25,성분!$B$2:$O$1510,11,FALSE))/100*$P25</f>
        <v>2.8E-3</v>
      </c>
      <c r="N25" s="168">
        <f>IF($C25="","",VLOOKUP($C25,성분!$B$2:$O$1510,12,FALSE))/100*$P25</f>
        <v>5.6000000000000001E-2</v>
      </c>
      <c r="O25" s="167">
        <f>IF($C25="","",VLOOKUP($C25,성분!$B$2:$O$1510,13,FALSE))/100*$P25</f>
        <v>0.42</v>
      </c>
      <c r="P25" s="38">
        <f t="shared" si="13"/>
        <v>7</v>
      </c>
      <c r="Q25" s="17">
        <f t="shared" si="14"/>
        <v>2.8140000000000001</v>
      </c>
      <c r="R25" s="18">
        <f t="shared" si="15"/>
        <v>2</v>
      </c>
    </row>
    <row r="26" spans="1:19" customFormat="1" ht="27.75" customHeight="1">
      <c r="A26" s="42">
        <f t="shared" si="3"/>
        <v>16</v>
      </c>
      <c r="B26" s="30" t="s">
        <v>2313</v>
      </c>
      <c r="C26" s="22" t="s">
        <v>2435</v>
      </c>
      <c r="D26" s="16">
        <v>50</v>
      </c>
      <c r="E26" s="168">
        <f>IF($C26="","",VLOOKUP($C26,성분!$B$2:$O$1510,3,FALSE))/100*P26</f>
        <v>117.5</v>
      </c>
      <c r="F26" s="168">
        <f>IF($C26="","",VLOOKUP($C26,성분!$B$2:$O$1510,5,FALSE))/100*$P26</f>
        <v>20.5</v>
      </c>
      <c r="G26" s="168">
        <f>IF($C26="","",VLOOKUP($C26,성분!$B$2:$O$1510,4,FALSE))/100*$P26</f>
        <v>2</v>
      </c>
      <c r="H26" s="168">
        <f>IF($C26="","",VLOOKUP($C26,성분!$B$2:$O$1510,6,FALSE))/100*$P26</f>
        <v>3</v>
      </c>
      <c r="I26" s="168">
        <f>IF($C26="","",VLOOKUP($C26,성분!$B$2:$O$1510,7,FALSE))/100*$P26</f>
        <v>0</v>
      </c>
      <c r="J26" s="168">
        <f>IF($C26="","",VLOOKUP($C26,성분!$B$2:$O$1510,8,FALSE))/100*$P26</f>
        <v>0</v>
      </c>
      <c r="K26" s="168">
        <f>IF($C26="","",VLOOKUP($C26,성분!$B$2:$O$1510,9,FALSE))/100*$P26</f>
        <v>0</v>
      </c>
      <c r="L26" s="168">
        <f>IF($C26="","",VLOOKUP($C26,성분!$B$2:$O$1510,10,FALSE))/100*$P26</f>
        <v>0</v>
      </c>
      <c r="M26" s="168">
        <f>IF($C26="","",VLOOKUP($C26,성분!$B$2:$O$1510,11,FALSE))/100*$P26</f>
        <v>0</v>
      </c>
      <c r="N26" s="168">
        <f>IF($C26="","",VLOOKUP($C26,성분!$B$2:$O$1510,12,FALSE))/100*$P26</f>
        <v>0</v>
      </c>
      <c r="O26" s="167">
        <f>IF($C26="","",VLOOKUP($C26,성분!$B$2:$O$1510,13,FALSE))/100*$P26</f>
        <v>0</v>
      </c>
      <c r="P26" s="38">
        <f t="shared" si="10"/>
        <v>50</v>
      </c>
      <c r="Q26" s="17">
        <f t="shared" si="11"/>
        <v>20.100000000000001</v>
      </c>
      <c r="R26" s="18">
        <f t="shared" si="12"/>
        <v>20</v>
      </c>
    </row>
    <row r="27" spans="1:19" customFormat="1" ht="27.75" customHeight="1">
      <c r="A27" s="42">
        <f t="shared" si="3"/>
        <v>17</v>
      </c>
      <c r="B27" s="30"/>
      <c r="C27" s="22" t="s">
        <v>2387</v>
      </c>
      <c r="D27" s="16">
        <v>3</v>
      </c>
      <c r="E27" s="168">
        <f>IF($C27="","",VLOOKUP($C27,성분!$B$2:$O$1510,3,FALSE))/100*P27</f>
        <v>1.5</v>
      </c>
      <c r="F27" s="168">
        <f>IF($C27="","",VLOOKUP($C27,성분!$B$2:$O$1510,5,FALSE))/100*$P27</f>
        <v>0.14700000000000002</v>
      </c>
      <c r="G27" s="168">
        <f>IF($C27="","",VLOOKUP($C27,성분!$B$2:$O$1510,4,FALSE))/100*$P27</f>
        <v>0.189</v>
      </c>
      <c r="H27" s="168">
        <f>IF($C27="","",VLOOKUP($C27,성분!$B$2:$O$1510,6,FALSE))/100*$P27</f>
        <v>9.0000000000000011E-3</v>
      </c>
      <c r="I27" s="168">
        <f>IF($C27="","",VLOOKUP($C27,성분!$B$2:$O$1510,7,FALSE))/100*$P27</f>
        <v>1.17</v>
      </c>
      <c r="J27" s="168">
        <f>IF($C27="","",VLOOKUP($C27,성분!$B$2:$O$1510,8,FALSE))/100*$P27</f>
        <v>6.3E-2</v>
      </c>
      <c r="K27" s="168">
        <f>IF($C27="","",VLOOKUP($C27,성분!$B$2:$O$1510,9,FALSE))/100*$P27</f>
        <v>0</v>
      </c>
      <c r="L27" s="168">
        <f>IF($C27="","",VLOOKUP($C27,성분!$B$2:$O$1510,10,FALSE))/100*$P27</f>
        <v>8.9999999999999998E-4</v>
      </c>
      <c r="M27" s="168">
        <f>IF($C27="","",VLOOKUP($C27,성분!$B$2:$O$1510,11,FALSE))/100*$P27</f>
        <v>2.4000000000000002E-3</v>
      </c>
      <c r="N27" s="168">
        <f>IF($C27="","",VLOOKUP($C27,성분!$B$2:$O$1510,12,FALSE))/100*$P27</f>
        <v>3.6000000000000004E-2</v>
      </c>
      <c r="O27" s="167">
        <f>IF($C27="","",VLOOKUP($C27,성분!$B$2:$O$1510,13,FALSE))/100*$P27</f>
        <v>0</v>
      </c>
      <c r="P27" s="38">
        <f t="shared" si="10"/>
        <v>3</v>
      </c>
      <c r="Q27" s="17">
        <f t="shared" si="11"/>
        <v>1.206</v>
      </c>
      <c r="R27" s="18">
        <f t="shared" si="12"/>
        <v>1</v>
      </c>
    </row>
    <row r="28" spans="1:19" customFormat="1" ht="27.75" customHeight="1">
      <c r="A28" s="42">
        <f t="shared" si="3"/>
        <v>18</v>
      </c>
      <c r="B28" s="30" t="s">
        <v>2203</v>
      </c>
      <c r="C28" s="22" t="s">
        <v>2203</v>
      </c>
      <c r="D28" s="16">
        <v>30</v>
      </c>
      <c r="E28" s="168">
        <f>IF($C28="","",VLOOKUP($C28,성분!$B$2:$O$1510,3,FALSE))/100*P28</f>
        <v>9.9</v>
      </c>
      <c r="F28" s="168">
        <f>IF($C28="","",VLOOKUP($C28,성분!$B$2:$O$1510,5,FALSE))/100*$P28</f>
        <v>2.2200000000000002</v>
      </c>
      <c r="G28" s="168">
        <f>IF($C28="","",VLOOKUP($C28,성분!$B$2:$O$1510,4,FALSE))/100*$P28</f>
        <v>0.48</v>
      </c>
      <c r="H28" s="168">
        <f>IF($C28="","",VLOOKUP($C28,성분!$B$2:$O$1510,6,FALSE))/100*$P28</f>
        <v>0.09</v>
      </c>
      <c r="I28" s="168">
        <f>IF($C28="","",VLOOKUP($C28,성분!$B$2:$O$1510,7,FALSE))/100*$P28</f>
        <v>11.1</v>
      </c>
      <c r="J28" s="168">
        <f>IF($C28="","",VLOOKUP($C28,성분!$B$2:$O$1510,8,FALSE))/100*$P28</f>
        <v>0.83999999999999986</v>
      </c>
      <c r="K28" s="168">
        <f>IF($C28="","",VLOOKUP($C28,성분!$B$2:$O$1510,9,FALSE))/100*$P28</f>
        <v>11.4</v>
      </c>
      <c r="L28" s="168">
        <f>IF($C28="","",VLOOKUP($C28,성분!$B$2:$O$1510,10,FALSE))/100*$P28</f>
        <v>4.200000000000001E-2</v>
      </c>
      <c r="M28" s="168">
        <f>IF($C28="","",VLOOKUP($C28,성분!$B$2:$O$1510,11,FALSE))/100*$P28</f>
        <v>1.4999999999999999E-2</v>
      </c>
      <c r="N28" s="168">
        <f>IF($C28="","",VLOOKUP($C28,성분!$B$2:$O$1510,12,FALSE))/100*$P28</f>
        <v>0.15</v>
      </c>
      <c r="O28" s="167">
        <f>IF($C28="","",VLOOKUP($C28,성분!$B$2:$O$1510,13,FALSE))/100*$P28</f>
        <v>5.7</v>
      </c>
      <c r="P28" s="38">
        <f t="shared" ref="P28" si="19">D28</f>
        <v>30</v>
      </c>
      <c r="Q28" s="17">
        <f t="shared" ref="Q28" si="20">($O$8*P28)/1000</f>
        <v>12.06</v>
      </c>
      <c r="R28" s="18">
        <f t="shared" ref="R28" si="21">INT(Q28)</f>
        <v>12</v>
      </c>
    </row>
    <row r="29" spans="1:19" customFormat="1" ht="27.75" customHeight="1">
      <c r="A29" s="42">
        <f t="shared" si="3"/>
        <v>19</v>
      </c>
      <c r="B29" s="30" t="s">
        <v>2314</v>
      </c>
      <c r="C29" s="22" t="s">
        <v>2389</v>
      </c>
      <c r="D29" s="16">
        <v>40</v>
      </c>
      <c r="E29" s="168">
        <f>IF($C29="","",VLOOKUP($C29,성분!$B$2:$O$1510,3,FALSE))/100*P29</f>
        <v>196.8</v>
      </c>
      <c r="F29" s="168">
        <f>IF($C29="","",VLOOKUP($C29,성분!$B$2:$O$1510,5,FALSE))/100*$P29</f>
        <v>25.880000000000003</v>
      </c>
      <c r="G29" s="168">
        <f>IF($C29="","",VLOOKUP($C29,성분!$B$2:$O$1510,4,FALSE))/100*$P29</f>
        <v>2.08</v>
      </c>
      <c r="H29" s="168">
        <f>IF($C29="","",VLOOKUP($C29,성분!$B$2:$O$1510,6,FALSE))/100*$P29</f>
        <v>11.879999999999999</v>
      </c>
      <c r="I29" s="168">
        <f>IF($C29="","",VLOOKUP($C29,성분!$B$2:$O$1510,7,FALSE))/100*$P29</f>
        <v>10.4</v>
      </c>
      <c r="J29" s="168">
        <f>IF($C29="","",VLOOKUP($C29,성분!$B$2:$O$1510,8,FALSE))/100*$P29</f>
        <v>0.12</v>
      </c>
      <c r="K29" s="168">
        <f>IF($C29="","",VLOOKUP($C29,성분!$B$2:$O$1510,9,FALSE))/100*$P29</f>
        <v>0</v>
      </c>
      <c r="L29" s="168">
        <f>IF($C29="","",VLOOKUP($C29,성분!$B$2:$O$1510,10,FALSE))/100*$P29</f>
        <v>1.6E-2</v>
      </c>
      <c r="M29" s="168">
        <f>IF($C29="","",VLOOKUP($C29,성분!$B$2:$O$1510,11,FALSE))/100*$P29</f>
        <v>8.0000000000000002E-3</v>
      </c>
      <c r="N29" s="168">
        <f>IF($C29="","",VLOOKUP($C29,성분!$B$2:$O$1510,12,FALSE))/100*$P29</f>
        <v>0.08</v>
      </c>
      <c r="O29" s="167">
        <f>IF($C29="","",VLOOKUP($C29,성분!$B$2:$O$1510,13,FALSE))/100*$P29</f>
        <v>0</v>
      </c>
      <c r="P29" s="38">
        <f t="shared" si="10"/>
        <v>40</v>
      </c>
      <c r="Q29" s="17">
        <f t="shared" si="11"/>
        <v>16.079999999999998</v>
      </c>
      <c r="R29" s="18">
        <f t="shared" si="12"/>
        <v>16</v>
      </c>
    </row>
    <row r="30" spans="1:19" customFormat="1" ht="32.25" customHeight="1">
      <c r="A30" s="235" t="s">
        <v>1628</v>
      </c>
      <c r="B30" s="236"/>
      <c r="C30" s="236"/>
      <c r="D30" s="237"/>
      <c r="E30" s="19">
        <f t="shared" ref="E30:O30" si="22">SUM(E11:E29)</f>
        <v>956.54</v>
      </c>
      <c r="F30" s="19">
        <f t="shared" si="22"/>
        <v>201.21809999999999</v>
      </c>
      <c r="G30" s="19">
        <f t="shared" ref="G30" si="23">SUM(G11:G29)</f>
        <v>36.149000000000001</v>
      </c>
      <c r="H30" s="19">
        <f t="shared" ref="H30" si="24">SUM(H11:H29)</f>
        <v>34.769099999999995</v>
      </c>
      <c r="I30" s="19">
        <f t="shared" ref="I30" si="25">SUM(I11:I29)</f>
        <v>153.07999999999998</v>
      </c>
      <c r="J30" s="19">
        <f t="shared" si="22"/>
        <v>5.9080000000000004</v>
      </c>
      <c r="K30" s="19">
        <f t="shared" si="22"/>
        <v>345.73999999999995</v>
      </c>
      <c r="L30" s="19">
        <f t="shared" si="22"/>
        <v>0.41760000000000008</v>
      </c>
      <c r="M30" s="19">
        <f t="shared" si="22"/>
        <v>0.50980000000000003</v>
      </c>
      <c r="N30" s="19">
        <f t="shared" si="22"/>
        <v>7.5639999999999983</v>
      </c>
      <c r="O30" s="19">
        <f t="shared" si="22"/>
        <v>54.16</v>
      </c>
      <c r="P30" s="38">
        <f t="shared" si="0"/>
        <v>0</v>
      </c>
      <c r="Q30" s="17">
        <f t="shared" si="1"/>
        <v>0</v>
      </c>
      <c r="R30" s="18">
        <f t="shared" si="2"/>
        <v>0</v>
      </c>
    </row>
    <row r="31" spans="1:19" s="21" customFormat="1" ht="32.25" customHeight="1">
      <c r="A31" s="238" t="s">
        <v>1790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40"/>
      <c r="P31" s="20"/>
      <c r="Q31"/>
      <c r="R31" s="18">
        <f>INT(Q31)</f>
        <v>0</v>
      </c>
    </row>
    <row r="32" spans="1:19" customFormat="1" ht="19.5" customHeight="1">
      <c r="A32" s="220" t="s">
        <v>1629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2"/>
      <c r="S32" s="18">
        <f>INT(R32)</f>
        <v>0</v>
      </c>
    </row>
    <row r="33" spans="1:19" customFormat="1" ht="20.100000000000001" customHeight="1">
      <c r="A33" s="247" t="s">
        <v>1630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9"/>
      <c r="P33" s="244" t="s">
        <v>5</v>
      </c>
      <c r="Q33" s="245"/>
      <c r="R33" s="250">
        <v>5000</v>
      </c>
      <c r="S33" s="250"/>
    </row>
    <row r="34" spans="1:19" customFormat="1" ht="20.100000000000001" customHeight="1">
      <c r="A34" s="251" t="s">
        <v>1769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3"/>
      <c r="P34" s="244" t="s">
        <v>6</v>
      </c>
      <c r="Q34" s="245"/>
      <c r="R34" s="250">
        <f>R33*0.72</f>
        <v>3600</v>
      </c>
      <c r="S34" s="250"/>
    </row>
    <row r="35" spans="1:19" customFormat="1" ht="20.100000000000001" customHeight="1">
      <c r="A35" s="241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3"/>
      <c r="P35" s="244" t="s">
        <v>1631</v>
      </c>
      <c r="Q35" s="245"/>
      <c r="R35" s="246">
        <v>0.72</v>
      </c>
      <c r="S35" s="246"/>
    </row>
    <row r="36" spans="1:19" customFormat="1" ht="20.100000000000001" customHeight="1">
      <c r="C36" s="3"/>
      <c r="D36" s="24"/>
      <c r="E36" s="25"/>
      <c r="F36" s="25"/>
      <c r="G36" s="22">
        <v>667</v>
      </c>
      <c r="H36" s="22">
        <v>15</v>
      </c>
      <c r="I36" s="22">
        <v>300</v>
      </c>
      <c r="J36" s="22">
        <v>5.4</v>
      </c>
      <c r="K36" s="22">
        <v>234</v>
      </c>
      <c r="L36" s="22">
        <v>0.34</v>
      </c>
      <c r="M36" s="22">
        <v>0.4</v>
      </c>
      <c r="N36" s="22">
        <v>5.26</v>
      </c>
      <c r="O36" s="22">
        <v>33.4</v>
      </c>
      <c r="P36" s="37"/>
      <c r="Q36" s="37"/>
      <c r="R36" s="23"/>
      <c r="S36" s="23"/>
    </row>
    <row r="37" spans="1:19" customFormat="1" ht="20.100000000000001" customHeight="1">
      <c r="A37" s="2"/>
      <c r="B37" s="2"/>
      <c r="C37" s="3"/>
      <c r="D37" s="4"/>
      <c r="E37" s="5"/>
      <c r="F37" s="5"/>
      <c r="G37" s="5"/>
      <c r="H37" s="5"/>
      <c r="I37" s="5"/>
      <c r="J37" s="2"/>
      <c r="K37" s="5"/>
      <c r="L37" s="5"/>
      <c r="M37" s="5"/>
      <c r="N37" s="5"/>
      <c r="O37" s="6"/>
    </row>
    <row r="38" spans="1:19" customFormat="1" ht="20.100000000000001" customHeight="1">
      <c r="A38" s="2"/>
      <c r="B38" s="2"/>
      <c r="C38" s="2"/>
      <c r="D38" s="4"/>
      <c r="E38" s="2"/>
      <c r="F38" s="2"/>
      <c r="G38" s="5"/>
      <c r="H38" s="5"/>
      <c r="I38" s="5"/>
      <c r="J38" s="5"/>
      <c r="K38" s="5"/>
      <c r="L38" s="5"/>
      <c r="M38" s="5"/>
      <c r="N38" s="5"/>
      <c r="O38" s="6"/>
    </row>
    <row r="39" spans="1:19" ht="12">
      <c r="C39" s="2"/>
    </row>
    <row r="40" spans="1:19" ht="12">
      <c r="C40" s="2"/>
    </row>
    <row r="1346" spans="4:4">
      <c r="D1346" s="2">
        <v>240</v>
      </c>
    </row>
  </sheetData>
  <mergeCells count="41">
    <mergeCell ref="O2:O4"/>
    <mergeCell ref="O6:O7"/>
    <mergeCell ref="P6:R7"/>
    <mergeCell ref="L2:L4"/>
    <mergeCell ref="M2:M4"/>
    <mergeCell ref="M7:N7"/>
    <mergeCell ref="K7:L7"/>
    <mergeCell ref="A3:B3"/>
    <mergeCell ref="C3:D3"/>
    <mergeCell ref="L5:M5"/>
    <mergeCell ref="A7:C7"/>
    <mergeCell ref="A1:B1"/>
    <mergeCell ref="C1:D1"/>
    <mergeCell ref="K1:K4"/>
    <mergeCell ref="D2:E2"/>
    <mergeCell ref="A6:N6"/>
    <mergeCell ref="N2:N4"/>
    <mergeCell ref="H7:J7"/>
    <mergeCell ref="F7:G7"/>
    <mergeCell ref="D7:E7"/>
    <mergeCell ref="A32:O32"/>
    <mergeCell ref="A8:C8"/>
    <mergeCell ref="O8:O9"/>
    <mergeCell ref="A9:C9"/>
    <mergeCell ref="D9:N9"/>
    <mergeCell ref="A31:O31"/>
    <mergeCell ref="A30:D30"/>
    <mergeCell ref="M8:N8"/>
    <mergeCell ref="K8:L8"/>
    <mergeCell ref="H8:J8"/>
    <mergeCell ref="F8:G8"/>
    <mergeCell ref="D8:E8"/>
    <mergeCell ref="A35:O35"/>
    <mergeCell ref="P35:Q35"/>
    <mergeCell ref="R35:S35"/>
    <mergeCell ref="A33:O33"/>
    <mergeCell ref="P33:Q33"/>
    <mergeCell ref="R33:S33"/>
    <mergeCell ref="A34:O34"/>
    <mergeCell ref="P34:Q34"/>
    <mergeCell ref="R34:S3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BF6F-B7B0-428E-9D07-14E8295CE7FD}">
  <sheetPr>
    <pageSetUpPr fitToPage="1"/>
  </sheetPr>
  <dimension ref="A1:S1355"/>
  <sheetViews>
    <sheetView view="pageBreakPreview" zoomScale="85" zoomScaleNormal="85" zoomScaleSheetLayoutView="85" workbookViewId="0">
      <pane xSplit="3" ySplit="10" topLeftCell="D29" activePane="bottomRight" state="frozen"/>
      <selection activeCell="K24" sqref="K24"/>
      <selection pane="topRight" activeCell="K24" sqref="K24"/>
      <selection pane="bottomLeft" activeCell="K24" sqref="K24"/>
      <selection pane="bottomRight" activeCell="M8" sqref="M8:N8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26"/>
      <c r="F1" s="26"/>
      <c r="G1" s="39"/>
      <c r="K1" s="202"/>
      <c r="L1" s="100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26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45758</v>
      </c>
      <c r="D3" s="201"/>
      <c r="E3" s="26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116</v>
      </c>
      <c r="G8" s="226"/>
      <c r="H8" s="226">
        <v>108</v>
      </c>
      <c r="I8" s="226"/>
      <c r="J8" s="226"/>
      <c r="K8" s="226">
        <f>SUM(D8:J8)</f>
        <v>406</v>
      </c>
      <c r="L8" s="226"/>
      <c r="M8" s="226">
        <v>2</v>
      </c>
      <c r="N8" s="227"/>
      <c r="O8" s="228">
        <f>SUM(K8:N8)</f>
        <v>408</v>
      </c>
    </row>
    <row r="9" spans="1:18" customFormat="1" ht="20.100000000000001" customHeight="1">
      <c r="A9" s="230" t="s">
        <v>0</v>
      </c>
      <c r="B9" s="231"/>
      <c r="C9" s="232"/>
      <c r="D9" s="233" t="s">
        <v>2474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36" t="s">
        <v>1626</v>
      </c>
      <c r="Q10" s="8" t="s">
        <v>1627</v>
      </c>
      <c r="R10" s="15"/>
    </row>
    <row r="11" spans="1:18" customFormat="1" ht="27.75" customHeight="1">
      <c r="A11" s="166">
        <f>ROW()-10</f>
        <v>1</v>
      </c>
      <c r="B11" s="30" t="s">
        <v>2187</v>
      </c>
      <c r="C11" s="22" t="s">
        <v>2188</v>
      </c>
      <c r="D11" s="16">
        <v>4</v>
      </c>
      <c r="E11" s="16">
        <f>IF($C11="","",VLOOKUP($C11,성분!$B$2:$O$51519,3,FALSE))/100*P11</f>
        <v>13.96</v>
      </c>
      <c r="F11" s="16">
        <f>IF($C11="","",VLOOKUP($C11,성분!$B$2:$O$51519,5,FALSE))/100*$P11</f>
        <v>3</v>
      </c>
      <c r="G11" s="16">
        <f>IF($C11="","",VLOOKUP($C11,성분!$B$2:$O$51519,4,FALSE))/100*$P11</f>
        <v>0.39200000000000002</v>
      </c>
      <c r="H11" s="16">
        <f>IF($C11="","",VLOOKUP($C11,성분!$B$2:$O$51519,6,FALSE))/100*$P11</f>
        <v>0.06</v>
      </c>
      <c r="I11" s="16">
        <f>IF($C11="","",VLOOKUP($C11,성분!$B$2:$O$51519,7,FALSE))/100*$P11</f>
        <v>0</v>
      </c>
      <c r="J11" s="16">
        <f>IF($C11="","",VLOOKUP($C11,성분!$B$2:$O$51519,8,FALSE))/100*$P11</f>
        <v>0</v>
      </c>
      <c r="K11" s="16">
        <f>IF($C11="","",VLOOKUP($C11,성분!$B$2:$O$51519,9,FALSE))/100*$P11</f>
        <v>0</v>
      </c>
      <c r="L11" s="16">
        <f>IF($C11="","",VLOOKUP($C11,성분!$B$2:$O$51519,10,FALSE))/100*$P11</f>
        <v>8.8000000000000005E-3</v>
      </c>
      <c r="M11" s="16">
        <f>IF($C11="","",VLOOKUP($C11,성분!$B$2:$O$51519,11,FALSE))/100*$P11</f>
        <v>3.5999999999999999E-3</v>
      </c>
      <c r="N11" s="16">
        <f>IF($C11="","",VLOOKUP($C11,성분!$B$2:$O$51519,12,FALSE))/100*$P11</f>
        <v>0</v>
      </c>
      <c r="O11" s="43">
        <f>IF($C11="","",VLOOKUP($C11,성분!$B$2:$O$51519,13,FALSE))/100*$P11</f>
        <v>0</v>
      </c>
      <c r="P11" s="38">
        <f t="shared" ref="P11:P39" si="0">D11</f>
        <v>4</v>
      </c>
      <c r="Q11" s="17">
        <f t="shared" ref="Q11:Q39" si="1">($O$8*P11)/1000</f>
        <v>1.6319999999999999</v>
      </c>
      <c r="R11" s="18">
        <f t="shared" ref="R11:R39" si="2">INT(Q11)</f>
        <v>1</v>
      </c>
    </row>
    <row r="12" spans="1:18" customFormat="1" ht="27.75" customHeight="1">
      <c r="A12" s="166">
        <f t="shared" ref="A12:A38" si="3">ROW()-10</f>
        <v>2</v>
      </c>
      <c r="B12" s="30"/>
      <c r="C12" s="22" t="s">
        <v>140</v>
      </c>
      <c r="D12" s="16">
        <v>100</v>
      </c>
      <c r="E12" s="168">
        <f>IF($C12="","",VLOOKUP($C12,성분!$B$2:$O$51519,3,FALSE))/100*P12</f>
        <v>240</v>
      </c>
      <c r="F12" s="168">
        <f>IF($C12="","",VLOOKUP($C12,성분!$B$2:$O$51519,5,FALSE))/100*$P12</f>
        <v>78.5</v>
      </c>
      <c r="G12" s="168">
        <f>IF($C12="","",VLOOKUP($C12,성분!$B$2:$O$51519,4,FALSE))/100*$P12</f>
        <v>6.4</v>
      </c>
      <c r="H12" s="168">
        <f>IF($C12="","",VLOOKUP($C12,성분!$B$2:$O$51519,6,FALSE))/100*$P12</f>
        <v>0.4</v>
      </c>
      <c r="I12" s="168">
        <f>IF($C12="","",VLOOKUP($C12,성분!$B$2:$O$51519,7,FALSE))/100*$P12</f>
        <v>7.0000000000000009</v>
      </c>
      <c r="J12" s="168">
        <f>IF($C12="","",VLOOKUP($C12,성분!$B$2:$O$51519,8,FALSE))/100*$P12</f>
        <v>0.5</v>
      </c>
      <c r="K12" s="168">
        <f>IF($C12="","",VLOOKUP($C12,성분!$B$2:$O$51519,9,FALSE))/100*$P12</f>
        <v>0</v>
      </c>
      <c r="L12" s="168">
        <f>IF($C12="","",VLOOKUP($C12,성분!$B$2:$O$51519,10,FALSE))/100*$P12</f>
        <v>0.12</v>
      </c>
      <c r="M12" s="168">
        <f>IF($C12="","",VLOOKUP($C12,성분!$B$2:$O$51519,11,FALSE))/100*$P12</f>
        <v>0</v>
      </c>
      <c r="N12" s="168">
        <f>IF($C12="","",VLOOKUP($C12,성분!$B$2:$O$51519,12,FALSE))/100*$P12</f>
        <v>1.4</v>
      </c>
      <c r="O12" s="167">
        <f>IF($C12="","",VLOOKUP($C12,성분!$B$2:$O$51519,13,FALSE))/100*$P12</f>
        <v>0</v>
      </c>
      <c r="P12" s="38">
        <f t="shared" si="0"/>
        <v>100</v>
      </c>
      <c r="Q12" s="17">
        <f t="shared" si="1"/>
        <v>40.799999999999997</v>
      </c>
      <c r="R12" s="18">
        <f t="shared" si="2"/>
        <v>40</v>
      </c>
    </row>
    <row r="13" spans="1:18" customFormat="1" ht="27.75" customHeight="1">
      <c r="A13" s="166">
        <f t="shared" si="3"/>
        <v>3</v>
      </c>
      <c r="B13" s="125" t="s">
        <v>2319</v>
      </c>
      <c r="C13" s="124" t="s">
        <v>2391</v>
      </c>
      <c r="D13" s="122">
        <v>12</v>
      </c>
      <c r="E13" s="168">
        <f>IF($C13="","",VLOOKUP($C13,성분!$B$2:$O$51519,3,FALSE))/100*P13</f>
        <v>16.200000000000003</v>
      </c>
      <c r="F13" s="168">
        <f>IF($C13="","",VLOOKUP($C13,성분!$B$2:$O$51519,5,FALSE))/100*$P13</f>
        <v>1.2E-2</v>
      </c>
      <c r="G13" s="168">
        <f>IF($C13="","",VLOOKUP($C13,성분!$B$2:$O$51519,4,FALSE))/100*$P13</f>
        <v>2.9279999999999999</v>
      </c>
      <c r="H13" s="168">
        <f>IF($C13="","",VLOOKUP($C13,성분!$B$2:$O$51519,6,FALSE))/100*$P13</f>
        <v>7.6080000000000005</v>
      </c>
      <c r="I13" s="168">
        <f>IF($C13="","",VLOOKUP($C13,성분!$B$2:$O$51519,7,FALSE))/100*$P13</f>
        <v>0.96</v>
      </c>
      <c r="J13" s="168">
        <f>IF($C13="","",VLOOKUP($C13,성분!$B$2:$O$51519,8,FALSE))/100*$P13</f>
        <v>0.27600000000000002</v>
      </c>
      <c r="K13" s="168">
        <f>IF($C13="","",VLOOKUP($C13,성분!$B$2:$O$51519,9,FALSE))/100*$P13</f>
        <v>1.44</v>
      </c>
      <c r="L13" s="168">
        <f>IF($C13="","",VLOOKUP($C13,성분!$B$2:$O$51519,10,FALSE))/100*$P13</f>
        <v>9.6000000000000009E-3</v>
      </c>
      <c r="M13" s="168">
        <f>IF($C13="","",VLOOKUP($C13,성분!$B$2:$O$51519,11,FALSE))/100*$P13</f>
        <v>2.2800000000000001E-2</v>
      </c>
      <c r="N13" s="168">
        <f>IF($C13="","",VLOOKUP($C13,성분!$B$2:$O$51519,12,FALSE))/100*$P13</f>
        <v>0.63600000000000001</v>
      </c>
      <c r="O13" s="167">
        <f>IF($C13="","",VLOOKUP($C13,성분!$B$2:$O$51519,13,FALSE))/100*$P13</f>
        <v>0.24</v>
      </c>
      <c r="P13" s="38">
        <f t="shared" si="0"/>
        <v>12</v>
      </c>
      <c r="Q13" s="17">
        <f t="shared" si="1"/>
        <v>4.8959999999999999</v>
      </c>
      <c r="R13" s="18">
        <f t="shared" si="2"/>
        <v>4</v>
      </c>
    </row>
    <row r="14" spans="1:18" customFormat="1" ht="27.75" customHeight="1">
      <c r="A14" s="166">
        <f t="shared" si="3"/>
        <v>4</v>
      </c>
      <c r="B14" s="125"/>
      <c r="C14" s="124" t="s">
        <v>2392</v>
      </c>
      <c r="D14" s="122">
        <v>20</v>
      </c>
      <c r="E14" s="168">
        <f>IF($C14="","",VLOOKUP($C14,성분!$B$2:$O$51519,3,FALSE))/100*P14</f>
        <v>2.2000000000000002</v>
      </c>
      <c r="F14" s="168">
        <f>IF($C14="","",VLOOKUP($C14,성분!$B$2:$O$51519,5,FALSE))/100*$P14</f>
        <v>0.26</v>
      </c>
      <c r="G14" s="168">
        <f>IF($C14="","",VLOOKUP($C14,성분!$B$2:$O$51519,4,FALSE))/100*$P14</f>
        <v>0.44000000000000006</v>
      </c>
      <c r="H14" s="168">
        <f>IF($C14="","",VLOOKUP($C14,성분!$B$2:$O$51519,6,FALSE))/100*$P14</f>
        <v>0.02</v>
      </c>
      <c r="I14" s="168">
        <f>IF($C14="","",VLOOKUP($C14,성분!$B$2:$O$51519,7,FALSE))/100*$P14</f>
        <v>3</v>
      </c>
      <c r="J14" s="168">
        <f>IF($C14="","",VLOOKUP($C14,성분!$B$2:$O$51519,8,FALSE))/100*$P14</f>
        <v>0.12</v>
      </c>
      <c r="K14" s="168">
        <f>IF($C14="","",VLOOKUP($C14,성분!$B$2:$O$51519,9,FALSE))/100*$P14</f>
        <v>0.8</v>
      </c>
      <c r="L14" s="168">
        <f>IF($C14="","",VLOOKUP($C14,성분!$B$2:$O$51519,10,FALSE))/100*$P14</f>
        <v>8.0000000000000002E-3</v>
      </c>
      <c r="M14" s="168">
        <f>IF($C14="","",VLOOKUP($C14,성분!$B$2:$O$51519,11,FALSE))/100*$P14</f>
        <v>0.01</v>
      </c>
      <c r="N14" s="168">
        <f>IF($C14="","",VLOOKUP($C14,성분!$B$2:$O$51519,12,FALSE))/100*$P14</f>
        <v>0.1</v>
      </c>
      <c r="O14" s="167">
        <f>IF($C14="","",VLOOKUP($C14,성분!$B$2:$O$51519,13,FALSE))/100*$P14</f>
        <v>2</v>
      </c>
      <c r="P14" s="38">
        <f t="shared" si="0"/>
        <v>20</v>
      </c>
      <c r="Q14" s="17">
        <f t="shared" si="1"/>
        <v>8.16</v>
      </c>
      <c r="R14" s="18"/>
    </row>
    <row r="15" spans="1:18" customFormat="1" ht="27.75" customHeight="1">
      <c r="A15" s="166">
        <f t="shared" si="3"/>
        <v>5</v>
      </c>
      <c r="B15" s="125"/>
      <c r="C15" s="124" t="s">
        <v>2393</v>
      </c>
      <c r="D15" s="122">
        <v>20</v>
      </c>
      <c r="E15" s="168">
        <f>IF($C15="","",VLOOKUP($C15,성분!$B$2:$O$51519,3,FALSE))/100*P15</f>
        <v>2.8000000000000003</v>
      </c>
      <c r="F15" s="168">
        <f>IF($C15="","",VLOOKUP($C15,성분!$B$2:$O$51519,5,FALSE))/100*$P15</f>
        <v>0.41799999999999998</v>
      </c>
      <c r="G15" s="168">
        <f>IF($C15="","",VLOOKUP($C15,성분!$B$2:$O$51519,4,FALSE))/100*$P15</f>
        <v>0.26</v>
      </c>
      <c r="H15" s="168">
        <f>IF($C15="","",VLOOKUP($C15,성분!$B$2:$O$51519,6,FALSE))/100*$P15</f>
        <v>5.4000000000000006E-2</v>
      </c>
      <c r="I15" s="168">
        <f>IF($C15="","",VLOOKUP($C15,성분!$B$2:$O$51519,7,FALSE))/100*$P15</f>
        <v>18</v>
      </c>
      <c r="J15" s="168">
        <f>IF($C15="","",VLOOKUP($C15,성분!$B$2:$O$51519,8,FALSE))/100*$P15</f>
        <v>0.16</v>
      </c>
      <c r="K15" s="168">
        <f>IF($C15="","",VLOOKUP($C15,성분!$B$2:$O$51519,9,FALSE))/100*$P15</f>
        <v>69</v>
      </c>
      <c r="L15" s="168">
        <f>IF($C15="","",VLOOKUP($C15,성분!$B$2:$O$51519,10,FALSE))/100*$P15</f>
        <v>1.1999999999999999E-2</v>
      </c>
      <c r="M15" s="168">
        <f>IF($C15="","",VLOOKUP($C15,성분!$B$2:$O$51519,11,FALSE))/100*$P15</f>
        <v>1.4000000000000002E-2</v>
      </c>
      <c r="N15" s="168">
        <f>IF($C15="","",VLOOKUP($C15,성분!$B$2:$O$51519,12,FALSE))/100*$P15</f>
        <v>0.12</v>
      </c>
      <c r="O15" s="167">
        <f>IF($C15="","",VLOOKUP($C15,성분!$B$2:$O$51519,13,FALSE))/100*$P15</f>
        <v>9.6</v>
      </c>
      <c r="P15" s="38">
        <f t="shared" si="0"/>
        <v>20</v>
      </c>
      <c r="Q15" s="17">
        <f t="shared" si="1"/>
        <v>8.16</v>
      </c>
      <c r="R15" s="18"/>
    </row>
    <row r="16" spans="1:18" customFormat="1" ht="27.75" customHeight="1">
      <c r="A16" s="166">
        <f t="shared" si="3"/>
        <v>6</v>
      </c>
      <c r="B16" s="125"/>
      <c r="C16" s="124" t="s">
        <v>2394</v>
      </c>
      <c r="D16" s="122">
        <v>20</v>
      </c>
      <c r="E16" s="168">
        <f>IF($C16="","",VLOOKUP($C16,성분!$B$2:$O$51519,3,FALSE))/100*P16</f>
        <v>2.4</v>
      </c>
      <c r="F16" s="168">
        <f>IF($C16="","",VLOOKUP($C16,성분!$B$2:$O$51519,5,FALSE))/100*$P16</f>
        <v>0.34799999999999998</v>
      </c>
      <c r="G16" s="168">
        <f>IF($C16="","",VLOOKUP($C16,성분!$B$2:$O$51519,4,FALSE))/100*$P16</f>
        <v>0.27999999999999997</v>
      </c>
      <c r="H16" s="168">
        <f>IF($C16="","",VLOOKUP($C16,성분!$B$2:$O$51519,6,FALSE))/100*$P16</f>
        <v>1.6E-2</v>
      </c>
      <c r="I16" s="168">
        <f>IF($C16="","",VLOOKUP($C16,성분!$B$2:$O$51519,7,FALSE))/100*$P16</f>
        <v>7.6</v>
      </c>
      <c r="J16" s="168">
        <f>IF($C16="","",VLOOKUP($C16,성분!$B$2:$O$51519,8,FALSE))/100*$P16</f>
        <v>0.08</v>
      </c>
      <c r="K16" s="168">
        <f>IF($C16="","",VLOOKUP($C16,성분!$B$2:$O$51519,9,FALSE))/100*$P16</f>
        <v>1.2</v>
      </c>
      <c r="L16" s="168">
        <f>IF($C16="","",VLOOKUP($C16,성분!$B$2:$O$51519,10,FALSE))/100*$P16</f>
        <v>5.9999999999999993E-3</v>
      </c>
      <c r="M16" s="168">
        <f>IF($C16="","",VLOOKUP($C16,성분!$B$2:$O$51519,11,FALSE))/100*$P16</f>
        <v>5.9999999999999993E-3</v>
      </c>
      <c r="N16" s="168">
        <f>IF($C16="","",VLOOKUP($C16,성분!$B$2:$O$51519,12,FALSE))/100*$P16</f>
        <v>0.12</v>
      </c>
      <c r="O16" s="167">
        <f>IF($C16="","",VLOOKUP($C16,성분!$B$2:$O$51519,13,FALSE))/100*$P16</f>
        <v>5.6000000000000005</v>
      </c>
      <c r="P16" s="38">
        <f t="shared" si="0"/>
        <v>20</v>
      </c>
      <c r="Q16" s="17">
        <f t="shared" si="1"/>
        <v>8.16</v>
      </c>
      <c r="R16" s="18"/>
    </row>
    <row r="17" spans="1:18" s="118" customFormat="1" ht="27.75" customHeight="1">
      <c r="A17" s="166">
        <f t="shared" si="3"/>
        <v>7</v>
      </c>
      <c r="B17" s="125"/>
      <c r="C17" s="124" t="s">
        <v>2315</v>
      </c>
      <c r="D17" s="122">
        <v>16</v>
      </c>
      <c r="E17" s="168">
        <f>IF($C17="","",VLOOKUP($C17,성분!$B$2:$O$51519,3,FALSE))/100*P17</f>
        <v>0</v>
      </c>
      <c r="F17" s="168">
        <f>IF($C17="","",VLOOKUP($C17,성분!$B$2:$O$51519,5,FALSE))/100*$P17</f>
        <v>0</v>
      </c>
      <c r="G17" s="168">
        <f>IF($C17="","",VLOOKUP($C17,성분!$B$2:$O$51519,4,FALSE))/100*$P17</f>
        <v>0</v>
      </c>
      <c r="H17" s="168">
        <f>IF($C17="","",VLOOKUP($C17,성분!$B$2:$O$51519,6,FALSE))/100*$P17</f>
        <v>0</v>
      </c>
      <c r="I17" s="168">
        <f>IF($C17="","",VLOOKUP($C17,성분!$B$2:$O$51519,7,FALSE))/100*$P17</f>
        <v>0</v>
      </c>
      <c r="J17" s="168">
        <f>IF($C17="","",VLOOKUP($C17,성분!$B$2:$O$51519,8,FALSE))/100*$P17</f>
        <v>0</v>
      </c>
      <c r="K17" s="168">
        <f>IF($C17="","",VLOOKUP($C17,성분!$B$2:$O$51519,9,FALSE))/100*$P17</f>
        <v>0</v>
      </c>
      <c r="L17" s="168">
        <f>IF($C17="","",VLOOKUP($C17,성분!$B$2:$O$51519,10,FALSE))/100*$P17</f>
        <v>0</v>
      </c>
      <c r="M17" s="168">
        <f>IF($C17="","",VLOOKUP($C17,성분!$B$2:$O$51519,11,FALSE))/100*$P17</f>
        <v>0</v>
      </c>
      <c r="N17" s="168">
        <f>IF($C17="","",VLOOKUP($C17,성분!$B$2:$O$51519,12,FALSE))/100*$P17</f>
        <v>0</v>
      </c>
      <c r="O17" s="167">
        <f>IF($C17="","",VLOOKUP($C17,성분!$B$2:$O$51519,13,FALSE))/100*$P17</f>
        <v>0</v>
      </c>
      <c r="P17" s="120"/>
      <c r="Q17" s="119">
        <f t="shared" si="1"/>
        <v>0</v>
      </c>
      <c r="R17" s="18"/>
    </row>
    <row r="18" spans="1:18" customFormat="1" ht="27.75" customHeight="1">
      <c r="A18" s="166">
        <f t="shared" si="3"/>
        <v>8</v>
      </c>
      <c r="B18" s="125"/>
      <c r="C18" s="124" t="s">
        <v>2316</v>
      </c>
      <c r="D18" s="122">
        <v>20</v>
      </c>
      <c r="E18" s="168">
        <f>IF($C18="","",VLOOKUP($C18,성분!$B$2:$O$51519,3,FALSE))/100*P18</f>
        <v>25</v>
      </c>
      <c r="F18" s="168">
        <f>IF($C18="","",VLOOKUP($C18,성분!$B$2:$O$51519,5,FALSE))/100*$P18</f>
        <v>9.6</v>
      </c>
      <c r="G18" s="168">
        <f>IF($C18="","",VLOOKUP($C18,성분!$B$2:$O$51519,4,FALSE))/100*$P18</f>
        <v>0.84000000000000008</v>
      </c>
      <c r="H18" s="168">
        <f>IF($C18="","",VLOOKUP($C18,성분!$B$2:$O$51519,6,FALSE))/100*$P18</f>
        <v>0.222</v>
      </c>
      <c r="I18" s="168">
        <f>IF($C18="","",VLOOKUP($C18,성분!$B$2:$O$51519,7,FALSE))/100*$P18</f>
        <v>0.89999999999999991</v>
      </c>
      <c r="J18" s="168">
        <f>IF($C18="","",VLOOKUP($C18,성분!$B$2:$O$51519,8,FALSE))/100*$P18</f>
        <v>0.18000000000000002</v>
      </c>
      <c r="K18" s="168">
        <f>IF($C18="","",VLOOKUP($C18,성분!$B$2:$O$51519,9,FALSE))/100*$P18</f>
        <v>0</v>
      </c>
      <c r="L18" s="168">
        <f>IF($C18="","",VLOOKUP($C18,성분!$B$2:$O$51519,10,FALSE))/100*$P18</f>
        <v>5.9999999999999993E-3</v>
      </c>
      <c r="M18" s="168">
        <f>IF($C18="","",VLOOKUP($C18,성분!$B$2:$O$51519,11,FALSE))/100*$P18</f>
        <v>2E-3</v>
      </c>
      <c r="N18" s="168">
        <f>IF($C18="","",VLOOKUP($C18,성분!$B$2:$O$51519,12,FALSE))/100*$P18</f>
        <v>0.16</v>
      </c>
      <c r="O18" s="167">
        <f>IF($C18="","",VLOOKUP($C18,성분!$B$2:$O$51519,13,FALSE))/100*$P18</f>
        <v>0</v>
      </c>
      <c r="P18" s="38">
        <f t="shared" si="0"/>
        <v>20</v>
      </c>
      <c r="Q18" s="17">
        <f t="shared" si="1"/>
        <v>8.16</v>
      </c>
      <c r="R18" s="18">
        <f t="shared" ref="R18" si="4">INT(Q18)</f>
        <v>8</v>
      </c>
    </row>
    <row r="19" spans="1:18" customFormat="1" ht="27.75" customHeight="1">
      <c r="A19" s="166">
        <f t="shared" si="3"/>
        <v>9</v>
      </c>
      <c r="B19" s="117"/>
      <c r="C19" s="116" t="s">
        <v>2317</v>
      </c>
      <c r="D19" s="115">
        <v>3</v>
      </c>
      <c r="E19" s="168">
        <f>IF($C19="","",VLOOKUP($C19,성분!$B$2:$O$51519,3,FALSE))/100*P19</f>
        <v>12.450000000000001</v>
      </c>
      <c r="F19" s="168">
        <f>IF($C19="","",VLOOKUP($C19,성분!$B$2:$O$51519,5,FALSE))/100*$P19</f>
        <v>0.27</v>
      </c>
      <c r="G19" s="168">
        <f>IF($C19="","",VLOOKUP($C19,성분!$B$2:$O$51519,4,FALSE))/100*$P19</f>
        <v>0.75</v>
      </c>
      <c r="H19" s="168">
        <f>IF($C19="","",VLOOKUP($C19,성분!$B$2:$O$51519,6,FALSE))/100*$P19</f>
        <v>0.92999999999999994</v>
      </c>
      <c r="I19" s="168">
        <f>IF($C19="","",VLOOKUP($C19,성분!$B$2:$O$51519,7,FALSE))/100*$P19</f>
        <v>0</v>
      </c>
      <c r="J19" s="168">
        <f>IF($C19="","",VLOOKUP($C19,성분!$B$2:$O$51519,8,FALSE))/100*$P19</f>
        <v>0</v>
      </c>
      <c r="K19" s="168">
        <f>IF($C19="","",VLOOKUP($C19,성분!$B$2:$O$51519,9,FALSE))/100*$P19</f>
        <v>0</v>
      </c>
      <c r="L19" s="168">
        <f>IF($C19="","",VLOOKUP($C19,성분!$B$2:$O$51519,10,FALSE))/100*$P19</f>
        <v>0</v>
      </c>
      <c r="M19" s="168">
        <f>IF($C19="","",VLOOKUP($C19,성분!$B$2:$O$51519,11,FALSE))/100*$P19</f>
        <v>0</v>
      </c>
      <c r="N19" s="168">
        <f>IF($C19="","",VLOOKUP($C19,성분!$B$2:$O$51519,12,FALSE))/100*$P19</f>
        <v>0</v>
      </c>
      <c r="O19" s="167">
        <f>IF($C19="","",VLOOKUP($C19,성분!$B$2:$O$51519,13,FALSE))/100*$P19</f>
        <v>0</v>
      </c>
      <c r="P19" s="38">
        <f t="shared" si="0"/>
        <v>3</v>
      </c>
      <c r="Q19" s="17">
        <f t="shared" si="1"/>
        <v>1.224</v>
      </c>
      <c r="R19" s="18"/>
    </row>
    <row r="20" spans="1:18" customFormat="1" ht="27.75" customHeight="1">
      <c r="A20" s="166">
        <f t="shared" si="3"/>
        <v>10</v>
      </c>
      <c r="B20" s="30"/>
      <c r="C20" s="22" t="s">
        <v>2395</v>
      </c>
      <c r="D20" s="16">
        <v>10</v>
      </c>
      <c r="E20" s="168">
        <f>IF($C20="","",VLOOKUP($C20,성분!$B$2:$O$51519,3,FALSE))/100*P20</f>
        <v>86</v>
      </c>
      <c r="F20" s="168">
        <f>IF($C20="","",VLOOKUP($C20,성분!$B$2:$O$51519,5,FALSE))/100*$P20</f>
        <v>1.4000000000000001</v>
      </c>
      <c r="G20" s="168">
        <f>IF($C20="","",VLOOKUP($C20,성분!$B$2:$O$51519,4,FALSE))/100*$P20</f>
        <v>1.1000000000000001</v>
      </c>
      <c r="H20" s="168">
        <f>IF($C20="","",VLOOKUP($C20,성분!$B$2:$O$51519,6,FALSE))/100*$P20</f>
        <v>1</v>
      </c>
      <c r="I20" s="168">
        <f>IF($C20="","",VLOOKUP($C20,성분!$B$2:$O$51519,7,FALSE))/100*$P20</f>
        <v>0</v>
      </c>
      <c r="J20" s="168">
        <f>IF($C20="","",VLOOKUP($C20,성분!$B$2:$O$51519,8,FALSE))/100*$P20</f>
        <v>0</v>
      </c>
      <c r="K20" s="168">
        <f>IF($C20="","",VLOOKUP($C20,성분!$B$2:$O$51519,9,FALSE))/100*$P20</f>
        <v>0</v>
      </c>
      <c r="L20" s="168">
        <f>IF($C20="","",VLOOKUP($C20,성분!$B$2:$O$51519,10,FALSE))/100*$P20</f>
        <v>0</v>
      </c>
      <c r="M20" s="168">
        <f>IF($C20="","",VLOOKUP($C20,성분!$B$2:$O$51519,11,FALSE))/100*$P20</f>
        <v>0</v>
      </c>
      <c r="N20" s="168">
        <f>IF($C20="","",VLOOKUP($C20,성분!$B$2:$O$51519,12,FALSE))/100*$P20</f>
        <v>0</v>
      </c>
      <c r="O20" s="167">
        <f>IF($C20="","",VLOOKUP($C20,성분!$B$2:$O$51519,13,FALSE))/100*$P20</f>
        <v>0</v>
      </c>
      <c r="P20" s="38">
        <f t="shared" si="0"/>
        <v>10</v>
      </c>
      <c r="Q20" s="17">
        <f t="shared" si="1"/>
        <v>4.08</v>
      </c>
      <c r="R20" s="18">
        <f t="shared" si="2"/>
        <v>4</v>
      </c>
    </row>
    <row r="21" spans="1:18" customFormat="1" ht="27.75" customHeight="1">
      <c r="A21" s="166">
        <f t="shared" si="3"/>
        <v>11</v>
      </c>
      <c r="B21" s="30"/>
      <c r="C21" s="22" t="s">
        <v>2318</v>
      </c>
      <c r="D21" s="16">
        <v>10</v>
      </c>
      <c r="E21" s="168">
        <f>IF($C21="","",VLOOKUP($C21,성분!$B$2:$O$51519,3,FALSE))/100*P21</f>
        <v>2.25</v>
      </c>
      <c r="F21" s="168">
        <f>IF($C21="","",VLOOKUP($C21,성분!$B$2:$O$51519,5,FALSE))/100*$P21</f>
        <v>0.44999999999999996</v>
      </c>
      <c r="G21" s="168">
        <f>IF($C21="","",VLOOKUP($C21,성분!$B$2:$O$51519,4,FALSE))/100*$P21</f>
        <v>9.5000000000000001E-2</v>
      </c>
      <c r="H21" s="168">
        <f>IF($C21="","",VLOOKUP($C21,성분!$B$2:$O$51519,6,FALSE))/100*$P21</f>
        <v>5.0000000000000001E-3</v>
      </c>
      <c r="I21" s="168">
        <f>IF($C21="","",VLOOKUP($C21,성분!$B$2:$O$51519,7,FALSE))/100*$P21</f>
        <v>0</v>
      </c>
      <c r="J21" s="168">
        <f>IF($C21="","",VLOOKUP($C21,성분!$B$2:$O$51519,8,FALSE))/100*$P21</f>
        <v>0</v>
      </c>
      <c r="K21" s="168">
        <f>IF($C21="","",VLOOKUP($C21,성분!$B$2:$O$51519,9,FALSE))/100*$P21</f>
        <v>0</v>
      </c>
      <c r="L21" s="168">
        <f>IF($C21="","",VLOOKUP($C21,성분!$B$2:$O$51519,10,FALSE))/100*$P21</f>
        <v>0</v>
      </c>
      <c r="M21" s="168">
        <f>IF($C21="","",VLOOKUP($C21,성분!$B$2:$O$51519,11,FALSE))/100*$P21</f>
        <v>0</v>
      </c>
      <c r="N21" s="168">
        <f>IF($C21="","",VLOOKUP($C21,성분!$B$2:$O$51519,12,FALSE))/100*$P21</f>
        <v>0</v>
      </c>
      <c r="O21" s="167">
        <f>IF($C21="","",VLOOKUP($C21,성분!$B$2:$O$51519,13,FALSE))/100*$P21</f>
        <v>0</v>
      </c>
      <c r="P21" s="38">
        <f t="shared" si="0"/>
        <v>10</v>
      </c>
      <c r="Q21" s="17">
        <f t="shared" si="1"/>
        <v>4.08</v>
      </c>
      <c r="R21" s="18"/>
    </row>
    <row r="22" spans="1:18" customFormat="1" ht="27.75" customHeight="1">
      <c r="A22" s="166">
        <f t="shared" si="3"/>
        <v>12</v>
      </c>
      <c r="B22" s="30"/>
      <c r="C22" s="22" t="s">
        <v>2202</v>
      </c>
      <c r="D22" s="16">
        <v>10</v>
      </c>
      <c r="E22" s="168">
        <f>IF($C22="","",VLOOKUP($C22,성분!$B$2:$O$51519,3,FALSE))/100*P22</f>
        <v>16.429000000000002</v>
      </c>
      <c r="F22" s="168">
        <f>IF($C22="","",VLOOKUP($C22,성분!$B$2:$O$51519,5,FALSE))/100*$P22</f>
        <v>1.714</v>
      </c>
      <c r="G22" s="168">
        <f>IF($C22="","",VLOOKUP($C22,성분!$B$2:$O$51519,4,FALSE))/100*$P22</f>
        <v>0.42899999999999999</v>
      </c>
      <c r="H22" s="168">
        <f>IF($C22="","",VLOOKUP($C22,성분!$B$2:$O$51519,6,FALSE))/100*$P22</f>
        <v>0.85699999999999998</v>
      </c>
      <c r="I22" s="168">
        <f>IF($C22="","",VLOOKUP($C22,성분!$B$2:$O$51519,7,FALSE))/100*$P22</f>
        <v>0</v>
      </c>
      <c r="J22" s="168">
        <f>IF($C22="","",VLOOKUP($C22,성분!$B$2:$O$51519,8,FALSE))/100*$P22</f>
        <v>0</v>
      </c>
      <c r="K22" s="168">
        <f>IF($C22="","",VLOOKUP($C22,성분!$B$2:$O$51519,9,FALSE))/100*$P22</f>
        <v>0</v>
      </c>
      <c r="L22" s="168">
        <f>IF($C22="","",VLOOKUP($C22,성분!$B$2:$O$51519,10,FALSE))/100*$P22</f>
        <v>0</v>
      </c>
      <c r="M22" s="168">
        <f>IF($C22="","",VLOOKUP($C22,성분!$B$2:$O$51519,11,FALSE))/100*$P22</f>
        <v>0</v>
      </c>
      <c r="N22" s="168">
        <f>IF($C22="","",VLOOKUP($C22,성분!$B$2:$O$51519,12,FALSE))/100*$P22</f>
        <v>0</v>
      </c>
      <c r="O22" s="167">
        <f>IF($C22="","",VLOOKUP($C22,성분!$B$2:$O$51519,13,FALSE))/100*$P22</f>
        <v>0</v>
      </c>
      <c r="P22" s="38">
        <f t="shared" si="0"/>
        <v>10</v>
      </c>
      <c r="Q22" s="17">
        <f t="shared" si="1"/>
        <v>4.08</v>
      </c>
      <c r="R22" s="18"/>
    </row>
    <row r="23" spans="1:18" customFormat="1" ht="27.75" customHeight="1">
      <c r="A23" s="166">
        <f t="shared" si="3"/>
        <v>13</v>
      </c>
      <c r="B23" s="30" t="s">
        <v>2320</v>
      </c>
      <c r="C23" s="22" t="s">
        <v>2321</v>
      </c>
      <c r="D23" s="16">
        <v>95</v>
      </c>
      <c r="E23" s="168">
        <f>IF($C23="","",VLOOKUP($C23,성분!$B$2:$O$51519,3,FALSE))/100*P23</f>
        <v>142.5</v>
      </c>
      <c r="F23" s="168">
        <f>IF($C23="","",VLOOKUP($C23,성분!$B$2:$O$51519,5,FALSE))/100*$P23</f>
        <v>6.6500000000000004E-2</v>
      </c>
      <c r="G23" s="168">
        <f>IF($C23="","",VLOOKUP($C23,성분!$B$2:$O$51519,4,FALSE))/100*$P23</f>
        <v>11.4</v>
      </c>
      <c r="H23" s="168">
        <f>IF($C23="","",VLOOKUP($C23,성분!$B$2:$O$51519,6,FALSE))/100*$P23</f>
        <v>5.6050000000000004</v>
      </c>
      <c r="I23" s="168">
        <f>IF($C23="","",VLOOKUP($C23,성분!$B$2:$O$51519,7,FALSE))/100*$P23</f>
        <v>10.45</v>
      </c>
      <c r="J23" s="168">
        <f>IF($C23="","",VLOOKUP($C23,성분!$B$2:$O$51519,8,FALSE))/100*$P23</f>
        <v>1.425</v>
      </c>
      <c r="K23" s="168">
        <f>IF($C23="","",VLOOKUP($C23,성분!$B$2:$O$51519,9,FALSE))/100*$P23</f>
        <v>9.5</v>
      </c>
      <c r="L23" s="168">
        <f>IF($C23="","",VLOOKUP($C23,성분!$B$2:$O$51519,10,FALSE))/100*$P23</f>
        <v>8.5499999999999993E-2</v>
      </c>
      <c r="M23" s="168">
        <f>IF($C23="","",VLOOKUP($C23,성분!$B$2:$O$51519,11,FALSE))/100*$P23</f>
        <v>8.5499999999999993E-2</v>
      </c>
      <c r="N23" s="168">
        <f>IF($C23="","",VLOOKUP($C23,성분!$B$2:$O$51519,12,FALSE))/100*$P23</f>
        <v>0.95949999999999991</v>
      </c>
      <c r="O23" s="167">
        <f>IF($C23="","",VLOOKUP($C23,성분!$B$2:$O$51519,13,FALSE))/100*$P23</f>
        <v>1.9000000000000001</v>
      </c>
      <c r="P23" s="38">
        <f t="shared" si="0"/>
        <v>95</v>
      </c>
      <c r="Q23" s="17">
        <f t="shared" si="1"/>
        <v>38.76</v>
      </c>
      <c r="R23" s="18"/>
    </row>
    <row r="24" spans="1:18" customFormat="1" ht="27.75" customHeight="1">
      <c r="A24" s="166">
        <f t="shared" si="3"/>
        <v>14</v>
      </c>
      <c r="B24" s="30"/>
      <c r="C24" s="22" t="s">
        <v>2322</v>
      </c>
      <c r="D24" s="16">
        <v>20</v>
      </c>
      <c r="E24" s="168">
        <f>IF($C24="","",VLOOKUP($C24,성분!$B$2:$O$51519,3,FALSE))/100*P24</f>
        <v>5.6000000000000005</v>
      </c>
      <c r="F24" s="168">
        <f>IF($C24="","",VLOOKUP($C24,성분!$B$2:$O$51519,5,FALSE))/100*$P24</f>
        <v>0.78</v>
      </c>
      <c r="G24" s="168">
        <f>IF($C24="","",VLOOKUP($C24,성분!$B$2:$O$51519,4,FALSE))/100*$P24</f>
        <v>0.48</v>
      </c>
      <c r="H24" s="168">
        <f>IF($C24="","",VLOOKUP($C24,성분!$B$2:$O$51519,6,FALSE))/100*$P24</f>
        <v>0.1</v>
      </c>
      <c r="I24" s="168">
        <f>IF($C24="","",VLOOKUP($C24,성분!$B$2:$O$51519,7,FALSE))/100*$P24</f>
        <v>1</v>
      </c>
      <c r="J24" s="168">
        <f>IF($C24="","",VLOOKUP($C24,성분!$B$2:$O$51519,8,FALSE))/100*$P24</f>
        <v>0.34</v>
      </c>
      <c r="K24" s="168">
        <f>IF($C24="","",VLOOKUP($C24,성분!$B$2:$O$51519,9,FALSE))/100*$P24</f>
        <v>0</v>
      </c>
      <c r="L24" s="168">
        <f>IF($C24="","",VLOOKUP($C24,성분!$B$2:$O$51519,10,FALSE))/100*$P24</f>
        <v>1.7999999999999999E-2</v>
      </c>
      <c r="M24" s="168">
        <f>IF($C24="","",VLOOKUP($C24,성분!$B$2:$O$51519,11,FALSE))/100*$P24</f>
        <v>6.6000000000000003E-2</v>
      </c>
      <c r="N24" s="168">
        <f>IF($C24="","",VLOOKUP($C24,성분!$B$2:$O$51519,12,FALSE))/100*$P24</f>
        <v>0.96</v>
      </c>
      <c r="O24" s="167">
        <f>IF($C24="","",VLOOKUP($C24,성분!$B$2:$O$51519,13,FALSE))/100*$P24</f>
        <v>0</v>
      </c>
      <c r="P24" s="38">
        <f t="shared" si="0"/>
        <v>20</v>
      </c>
      <c r="Q24" s="17">
        <f t="shared" si="1"/>
        <v>8.16</v>
      </c>
      <c r="R24" s="18"/>
    </row>
    <row r="25" spans="1:18" customFormat="1" ht="27.75" customHeight="1">
      <c r="A25" s="166">
        <f t="shared" si="3"/>
        <v>15</v>
      </c>
      <c r="B25" s="30"/>
      <c r="C25" s="22" t="s">
        <v>1186</v>
      </c>
      <c r="D25" s="16">
        <v>30</v>
      </c>
      <c r="E25" s="168">
        <f>IF($C25="","",VLOOKUP($C25,성분!$B$2:$O$51519,3,FALSE))/100*P25</f>
        <v>9.3000000000000007</v>
      </c>
      <c r="F25" s="168">
        <f>IF($C25="","",VLOOKUP($C25,성분!$B$2:$O$51519,5,FALSE))/100*$P25</f>
        <v>1.8840000000000003</v>
      </c>
      <c r="G25" s="168">
        <f>IF($C25="","",VLOOKUP($C25,성분!$B$2:$O$51519,4,FALSE))/100*$P25</f>
        <v>0.41999999999999993</v>
      </c>
      <c r="H25" s="168">
        <f>IF($C25="","",VLOOKUP($C25,성분!$B$2:$O$51519,6,FALSE))/100*$P25</f>
        <v>0.40200000000000002</v>
      </c>
      <c r="I25" s="168">
        <f>IF($C25="","",VLOOKUP($C25,성분!$B$2:$O$51519,7,FALSE))/100*$P25</f>
        <v>11.4</v>
      </c>
      <c r="J25" s="168">
        <f>IF($C25="","",VLOOKUP($C25,성분!$B$2:$O$51519,8,FALSE))/100*$P25</f>
        <v>0.12</v>
      </c>
      <c r="K25" s="168">
        <f>IF($C25="","",VLOOKUP($C25,성분!$B$2:$O$51519,9,FALSE))/100*$P25</f>
        <v>0.89999999999999991</v>
      </c>
      <c r="L25" s="168">
        <f>IF($C25="","",VLOOKUP($C25,성분!$B$2:$O$51519,10,FALSE))/100*$P25</f>
        <v>1.2E-2</v>
      </c>
      <c r="M25" s="168">
        <f>IF($C25="","",VLOOKUP($C25,성분!$B$2:$O$51519,11,FALSE))/100*$P25</f>
        <v>1.2E-2</v>
      </c>
      <c r="N25" s="168">
        <f>IF($C25="","",VLOOKUP($C25,성분!$B$2:$O$51519,12,FALSE))/100*$P25</f>
        <v>0.09</v>
      </c>
      <c r="O25" s="167">
        <f>IF($C25="","",VLOOKUP($C25,성분!$B$2:$O$51519,13,FALSE))/100*$P25</f>
        <v>8.6999999999999993</v>
      </c>
      <c r="P25" s="38">
        <f t="shared" si="0"/>
        <v>30</v>
      </c>
      <c r="Q25" s="17">
        <f t="shared" si="1"/>
        <v>12.24</v>
      </c>
      <c r="R25" s="18"/>
    </row>
    <row r="26" spans="1:18" customFormat="1" ht="27.75" customHeight="1">
      <c r="A26" s="166">
        <f t="shared" si="3"/>
        <v>16</v>
      </c>
      <c r="B26" s="30"/>
      <c r="C26" s="22" t="s">
        <v>1190</v>
      </c>
      <c r="D26" s="16">
        <v>20</v>
      </c>
      <c r="E26" s="168">
        <f>IF($C26="","",VLOOKUP($C26,성분!$B$2:$O$51519,3,FALSE))/100*P26</f>
        <v>7</v>
      </c>
      <c r="F26" s="168">
        <f>IF($C26="","",VLOOKUP($C26,성분!$B$2:$O$51519,5,FALSE))/100*$P26</f>
        <v>1.532</v>
      </c>
      <c r="G26" s="168">
        <f>IF($C26="","",VLOOKUP($C26,성분!$B$2:$O$51519,4,FALSE))/100*$P26</f>
        <v>0.2</v>
      </c>
      <c r="H26" s="168">
        <f>IF($C26="","",VLOOKUP($C26,성분!$B$2:$O$51519,6,FALSE))/100*$P26</f>
        <v>3.7999999999999999E-2</v>
      </c>
      <c r="I26" s="168">
        <f>IF($C26="","",VLOOKUP($C26,성분!$B$2:$O$51519,7,FALSE))/100*$P26</f>
        <v>3</v>
      </c>
      <c r="J26" s="168">
        <f>IF($C26="","",VLOOKUP($C26,성분!$B$2:$O$51519,8,FALSE))/100*$P26</f>
        <v>0.06</v>
      </c>
      <c r="K26" s="168">
        <f>IF($C26="","",VLOOKUP($C26,성분!$B$2:$O$51519,9,FALSE))/100*$P26</f>
        <v>0</v>
      </c>
      <c r="L26" s="168">
        <f>IF($C26="","",VLOOKUP($C26,성분!$B$2:$O$51519,10,FALSE))/100*$P26</f>
        <v>8.0000000000000002E-3</v>
      </c>
      <c r="M26" s="168">
        <f>IF($C26="","",VLOOKUP($C26,성분!$B$2:$O$51519,11,FALSE))/100*$P26</f>
        <v>2E-3</v>
      </c>
      <c r="N26" s="168">
        <f>IF($C26="","",VLOOKUP($C26,성분!$B$2:$O$51519,12,FALSE))/100*$P26</f>
        <v>0.04</v>
      </c>
      <c r="O26" s="167">
        <f>IF($C26="","",VLOOKUP($C26,성분!$B$2:$O$51519,13,FALSE))/100*$P26</f>
        <v>1.6</v>
      </c>
      <c r="P26" s="38">
        <f t="shared" si="0"/>
        <v>20</v>
      </c>
      <c r="Q26" s="17">
        <f t="shared" si="1"/>
        <v>8.16</v>
      </c>
      <c r="R26" s="18"/>
    </row>
    <row r="27" spans="1:18" customFormat="1" ht="27.75" customHeight="1">
      <c r="A27" s="166">
        <f t="shared" si="3"/>
        <v>17</v>
      </c>
      <c r="B27" s="30"/>
      <c r="C27" s="22" t="s">
        <v>1980</v>
      </c>
      <c r="D27" s="16">
        <v>10</v>
      </c>
      <c r="E27" s="168">
        <f>IF($C27="","",VLOOKUP($C27,성분!$B$2:$O$51519,3,FALSE))/100*P27</f>
        <v>3.4000000000000004</v>
      </c>
      <c r="F27" s="168">
        <f>IF($C27="","",VLOOKUP($C27,성분!$B$2:$O$51519,5,FALSE))/100*$P27</f>
        <v>0.70300000000000007</v>
      </c>
      <c r="G27" s="168">
        <f>IF($C27="","",VLOOKUP($C27,성분!$B$2:$O$51519,4,FALSE))/100*$P27</f>
        <v>0.1</v>
      </c>
      <c r="H27" s="168">
        <f>IF($C27="","",VLOOKUP($C27,성분!$B$2:$O$51519,6,FALSE))/100*$P27</f>
        <v>1.2999999999999999E-2</v>
      </c>
      <c r="I27" s="168">
        <f>IF($C27="","",VLOOKUP($C27,성분!$B$2:$O$51519,7,FALSE))/100*$P27</f>
        <v>3.8</v>
      </c>
      <c r="J27" s="168">
        <f>IF($C27="","",VLOOKUP($C27,성분!$B$2:$O$51519,8,FALSE))/100*$P27</f>
        <v>6.9999999999999993E-2</v>
      </c>
      <c r="K27" s="168">
        <f>IF($C27="","",VLOOKUP($C27,성분!$B$2:$O$51519,9,FALSE))/100*$P27</f>
        <v>125.7</v>
      </c>
      <c r="L27" s="168">
        <f>IF($C27="","",VLOOKUP($C27,성분!$B$2:$O$51519,10,FALSE))/100*$P27</f>
        <v>5.9999999999999993E-3</v>
      </c>
      <c r="M27" s="168">
        <f>IF($C27="","",VLOOKUP($C27,성분!$B$2:$O$51519,11,FALSE))/100*$P27</f>
        <v>4.0000000000000001E-3</v>
      </c>
      <c r="N27" s="168">
        <f>IF($C27="","",VLOOKUP($C27,성분!$B$2:$O$51519,12,FALSE))/100*$P27</f>
        <v>0.08</v>
      </c>
      <c r="O27" s="167">
        <f>IF($C27="","",VLOOKUP($C27,성분!$B$2:$O$51519,13,FALSE))/100*$P27</f>
        <v>0.6</v>
      </c>
      <c r="P27" s="38">
        <f t="shared" si="0"/>
        <v>10</v>
      </c>
      <c r="Q27" s="17">
        <f t="shared" si="1"/>
        <v>4.08</v>
      </c>
      <c r="R27" s="18"/>
    </row>
    <row r="28" spans="1:18" customFormat="1" ht="27.75" customHeight="1">
      <c r="A28" s="166">
        <f t="shared" si="3"/>
        <v>18</v>
      </c>
      <c r="B28" s="30"/>
      <c r="C28" s="22" t="s">
        <v>1153</v>
      </c>
      <c r="D28" s="16">
        <v>7</v>
      </c>
      <c r="E28" s="168">
        <f>IF($C28="","",VLOOKUP($C28,성분!$B$2:$O$51519,3,FALSE))/100*P28</f>
        <v>2.17</v>
      </c>
      <c r="F28" s="168">
        <f>IF($C28="","",VLOOKUP($C28,성분!$B$2:$O$51519,5,FALSE))/100*$P28</f>
        <v>0.25900000000000001</v>
      </c>
      <c r="G28" s="168">
        <f>IF($C28="","",VLOOKUP($C28,성분!$B$2:$O$51519,4,FALSE))/100*$P28</f>
        <v>0.30099999999999999</v>
      </c>
      <c r="H28" s="168">
        <f>IF($C28="","",VLOOKUP($C28,성분!$B$2:$O$51519,6,FALSE))/100*$P28</f>
        <v>2.8000000000000001E-2</v>
      </c>
      <c r="I28" s="168">
        <f>IF($C28="","",VLOOKUP($C28,성분!$B$2:$O$51519,7,FALSE))/100*$P28</f>
        <v>2.3800000000000003</v>
      </c>
      <c r="J28" s="168">
        <f>IF($C28="","",VLOOKUP($C28,성분!$B$2:$O$51519,8,FALSE))/100*$P28</f>
        <v>0.20299999999999999</v>
      </c>
      <c r="K28" s="168">
        <f>IF($C28="","",VLOOKUP($C28,성분!$B$2:$O$51519,9,FALSE))/100*$P28</f>
        <v>44.66</v>
      </c>
      <c r="L28" s="168">
        <f>IF($C28="","",VLOOKUP($C28,성분!$B$2:$O$51519,10,FALSE))/100*$P28</f>
        <v>2.8699999999999996E-2</v>
      </c>
      <c r="M28" s="168">
        <f>IF($C28="","",VLOOKUP($C28,성분!$B$2:$O$51519,11,FALSE))/100*$P28</f>
        <v>4.1999999999999997E-3</v>
      </c>
      <c r="N28" s="168">
        <f>IF($C28="","",VLOOKUP($C28,성분!$B$2:$O$51519,12,FALSE))/100*$P28</f>
        <v>0</v>
      </c>
      <c r="O28" s="167">
        <f>IF($C28="","",VLOOKUP($C28,성분!$B$2:$O$51519,13,FALSE))/100*$P28</f>
        <v>2.8699999999999997</v>
      </c>
      <c r="P28" s="38">
        <f t="shared" si="0"/>
        <v>7</v>
      </c>
      <c r="Q28" s="17">
        <f t="shared" si="1"/>
        <v>2.8559999999999999</v>
      </c>
      <c r="R28" s="18"/>
    </row>
    <row r="29" spans="1:18" customFormat="1" ht="27.75" customHeight="1">
      <c r="A29" s="166">
        <f t="shared" si="3"/>
        <v>19</v>
      </c>
      <c r="B29" s="30" t="s">
        <v>2323</v>
      </c>
      <c r="C29" s="22" t="s">
        <v>2198</v>
      </c>
      <c r="D29" s="16">
        <v>40</v>
      </c>
      <c r="E29" s="168">
        <f>IF($C29="","",VLOOKUP($C29,성분!$B$2:$O$51519,3,FALSE))/100*P29</f>
        <v>52</v>
      </c>
      <c r="F29" s="168">
        <f>IF($C29="","",VLOOKUP($C29,성분!$B$2:$O$51519,5,FALSE))/100*$P29</f>
        <v>5.6000000000000005</v>
      </c>
      <c r="G29" s="168">
        <f>IF($C29="","",VLOOKUP($C29,성분!$B$2:$O$51519,4,FALSE))/100*$P29</f>
        <v>1</v>
      </c>
      <c r="H29" s="168">
        <f>IF($C29="","",VLOOKUP($C29,성분!$B$2:$O$51519,6,FALSE))/100*$P29</f>
        <v>3.5999999999999997E-2</v>
      </c>
      <c r="I29" s="168">
        <f>IF($C29="","",VLOOKUP($C29,성분!$B$2:$O$51519,7,FALSE))/100*$P29</f>
        <v>2.4</v>
      </c>
      <c r="J29" s="168">
        <f>IF($C29="","",VLOOKUP($C29,성분!$B$2:$O$51519,8,FALSE))/100*$P29</f>
        <v>0.32</v>
      </c>
      <c r="K29" s="168">
        <f>IF($C29="","",VLOOKUP($C29,성분!$B$2:$O$51519,9,FALSE))/100*$P29</f>
        <v>0</v>
      </c>
      <c r="L29" s="168">
        <f>IF($C29="","",VLOOKUP($C29,성분!$B$2:$O$51519,10,FALSE))/100*$P29</f>
        <v>3.2000000000000001E-2</v>
      </c>
      <c r="M29" s="168">
        <f>IF($C29="","",VLOOKUP($C29,성분!$B$2:$O$51519,11,FALSE))/100*$P29</f>
        <v>1.1999999999999999E-2</v>
      </c>
      <c r="N29" s="168">
        <f>IF($C29="","",VLOOKUP($C29,성분!$B$2:$O$51519,12,FALSE))/100*$P29</f>
        <v>0.52</v>
      </c>
      <c r="O29" s="167">
        <f>IF($C29="","",VLOOKUP($C29,성분!$B$2:$O$51519,13,FALSE))/100*$P29</f>
        <v>8.4</v>
      </c>
      <c r="P29" s="38">
        <f t="shared" si="0"/>
        <v>40</v>
      </c>
      <c r="Q29" s="17">
        <f t="shared" si="1"/>
        <v>16.32</v>
      </c>
      <c r="R29" s="18"/>
    </row>
    <row r="30" spans="1:18" customFormat="1" ht="27.75" customHeight="1">
      <c r="A30" s="166">
        <f t="shared" si="3"/>
        <v>20</v>
      </c>
      <c r="B30" s="29"/>
      <c r="C30" s="32" t="s">
        <v>1039</v>
      </c>
      <c r="D30" s="16">
        <v>30</v>
      </c>
      <c r="E30" s="168">
        <f>IF($C30="","",VLOOKUP($C30,성분!$B$2:$O$51519,3,FALSE))/100*P30</f>
        <v>4.8</v>
      </c>
      <c r="F30" s="168">
        <f>IF($C30="","",VLOOKUP($C30,성분!$B$2:$O$51519,5,FALSE))/100*$P30</f>
        <v>1.1399999999999999</v>
      </c>
      <c r="G30" s="168">
        <f>IF($C30="","",VLOOKUP($C30,성분!$B$2:$O$51519,4,FALSE))/100*$P30</f>
        <v>0.24</v>
      </c>
      <c r="H30" s="168">
        <f>IF($C30="","",VLOOKUP($C30,성분!$B$2:$O$51519,6,FALSE))/100*$P30</f>
        <v>0.03</v>
      </c>
      <c r="I30" s="168">
        <f>IF($C30="","",VLOOKUP($C30,성분!$B$2:$O$51519,7,FALSE))/100*$P30</f>
        <v>5.3999999999999995</v>
      </c>
      <c r="J30" s="168">
        <f>IF($C30="","",VLOOKUP($C30,성분!$B$2:$O$51519,8,FALSE))/100*$P30</f>
        <v>0.06</v>
      </c>
      <c r="K30" s="168">
        <f>IF($C30="","",VLOOKUP($C30,성분!$B$2:$O$51519,9,FALSE))/100*$P30</f>
        <v>1.7999999999999998</v>
      </c>
      <c r="L30" s="168">
        <f>IF($C30="","",VLOOKUP($C30,성분!$B$2:$O$51519,10,FALSE))/100*$P30</f>
        <v>8.9999999999999993E-3</v>
      </c>
      <c r="M30" s="168">
        <f>IF($C30="","",VLOOKUP($C30,성분!$B$2:$O$51519,11,FALSE))/100*$P30</f>
        <v>6.0000000000000001E-3</v>
      </c>
      <c r="N30" s="168">
        <f>IF($C30="","",VLOOKUP($C30,성분!$B$2:$O$51519,12,FALSE))/100*$P30</f>
        <v>0.12</v>
      </c>
      <c r="O30" s="167">
        <f>IF($C30="","",VLOOKUP($C30,성분!$B$2:$O$51519,13,FALSE))/100*$P30</f>
        <v>1.2</v>
      </c>
      <c r="P30" s="38">
        <f t="shared" si="0"/>
        <v>30</v>
      </c>
      <c r="Q30" s="17">
        <f t="shared" si="1"/>
        <v>12.24</v>
      </c>
      <c r="R30" s="18"/>
    </row>
    <row r="31" spans="1:18" customFormat="1" ht="27.75" customHeight="1">
      <c r="A31" s="166">
        <f t="shared" si="3"/>
        <v>21</v>
      </c>
      <c r="B31" s="29"/>
      <c r="C31" s="32" t="s">
        <v>1190</v>
      </c>
      <c r="D31" s="16">
        <v>10</v>
      </c>
      <c r="E31" s="168">
        <f>IF($C31="","",VLOOKUP($C31,성분!$B$2:$O$51519,3,FALSE))/100*P31</f>
        <v>3.5</v>
      </c>
      <c r="F31" s="168">
        <f>IF($C31="","",VLOOKUP($C31,성분!$B$2:$O$51519,5,FALSE))/100*$P31</f>
        <v>0.76600000000000001</v>
      </c>
      <c r="G31" s="168">
        <f>IF($C31="","",VLOOKUP($C31,성분!$B$2:$O$51519,4,FALSE))/100*$P31</f>
        <v>0.1</v>
      </c>
      <c r="H31" s="168">
        <f>IF($C31="","",VLOOKUP($C31,성분!$B$2:$O$51519,6,FALSE))/100*$P31</f>
        <v>1.9E-2</v>
      </c>
      <c r="I31" s="168">
        <f>IF($C31="","",VLOOKUP($C31,성분!$B$2:$O$51519,7,FALSE))/100*$P31</f>
        <v>1.5</v>
      </c>
      <c r="J31" s="168">
        <f>IF($C31="","",VLOOKUP($C31,성분!$B$2:$O$51519,8,FALSE))/100*$P31</f>
        <v>0.03</v>
      </c>
      <c r="K31" s="168">
        <f>IF($C31="","",VLOOKUP($C31,성분!$B$2:$O$51519,9,FALSE))/100*$P31</f>
        <v>0</v>
      </c>
      <c r="L31" s="168">
        <f>IF($C31="","",VLOOKUP($C31,성분!$B$2:$O$51519,10,FALSE))/100*$P31</f>
        <v>4.0000000000000001E-3</v>
      </c>
      <c r="M31" s="168">
        <f>IF($C31="","",VLOOKUP($C31,성분!$B$2:$O$51519,11,FALSE))/100*$P31</f>
        <v>1E-3</v>
      </c>
      <c r="N31" s="168">
        <f>IF($C31="","",VLOOKUP($C31,성분!$B$2:$O$51519,12,FALSE))/100*$P31</f>
        <v>0.02</v>
      </c>
      <c r="O31" s="167">
        <f>IF($C31="","",VLOOKUP($C31,성분!$B$2:$O$51519,13,FALSE))/100*$P31</f>
        <v>0.8</v>
      </c>
      <c r="P31" s="38">
        <f t="shared" ref="P31:P35" si="5">D31</f>
        <v>10</v>
      </c>
      <c r="Q31" s="17">
        <f t="shared" ref="Q31:Q35" si="6">($O$8*P31)/1000</f>
        <v>4.08</v>
      </c>
      <c r="R31" s="18"/>
    </row>
    <row r="32" spans="1:18" customFormat="1" ht="27.75" customHeight="1">
      <c r="A32" s="166">
        <f t="shared" si="3"/>
        <v>22</v>
      </c>
      <c r="B32" s="29"/>
      <c r="C32" s="32" t="s">
        <v>2262</v>
      </c>
      <c r="D32" s="16">
        <v>7</v>
      </c>
      <c r="E32" s="168">
        <f>IF($C32="","",VLOOKUP($C32,성분!$B$2:$O$51519,3,FALSE))/100*P32</f>
        <v>1.54</v>
      </c>
      <c r="F32" s="168">
        <f>IF($C32="","",VLOOKUP($C32,성분!$B$2:$O$51519,5,FALSE))/100*$P32</f>
        <v>0.37520000000000003</v>
      </c>
      <c r="G32" s="168">
        <f>IF($C32="","",VLOOKUP($C32,성분!$B$2:$O$51519,4,FALSE))/100*$P32</f>
        <v>6.3E-2</v>
      </c>
      <c r="H32" s="168">
        <f>IF($C32="","",VLOOKUP($C32,성분!$B$2:$O$51519,6,FALSE))/100*$P32</f>
        <v>2.8E-3</v>
      </c>
      <c r="I32" s="168">
        <f>IF($C32="","",VLOOKUP($C32,성분!$B$2:$O$51519,7,FALSE))/100*$P32</f>
        <v>0.98000000000000009</v>
      </c>
      <c r="J32" s="168">
        <f>IF($C32="","",VLOOKUP($C32,성분!$B$2:$O$51519,8,FALSE))/100*$P32</f>
        <v>3.5000000000000003E-2</v>
      </c>
      <c r="K32" s="168">
        <f>IF($C32="","",VLOOKUP($C32,성분!$B$2:$O$51519,9,FALSE))/100*$P32</f>
        <v>13.86</v>
      </c>
      <c r="L32" s="168">
        <f>IF($C32="","",VLOOKUP($C32,성분!$B$2:$O$51519,10,FALSE))/100*$P32</f>
        <v>6.9999999999999999E-4</v>
      </c>
      <c r="M32" s="168">
        <f>IF($C32="","",VLOOKUP($C32,성분!$B$2:$O$51519,11,FALSE))/100*$P32</f>
        <v>2.8E-3</v>
      </c>
      <c r="N32" s="168">
        <f>IF($C32="","",VLOOKUP($C32,성분!$B$2:$O$51519,12,FALSE))/100*$P32</f>
        <v>6.4399999999999999E-2</v>
      </c>
      <c r="O32" s="167">
        <f>IF($C32="","",VLOOKUP($C32,성분!$B$2:$O$51519,13,FALSE))/100*$P32</f>
        <v>1.5064</v>
      </c>
      <c r="P32" s="38">
        <f t="shared" si="5"/>
        <v>7</v>
      </c>
      <c r="Q32" s="17">
        <f t="shared" si="6"/>
        <v>2.8559999999999999</v>
      </c>
      <c r="R32" s="18"/>
    </row>
    <row r="33" spans="1:19" customFormat="1" ht="27.75" customHeight="1">
      <c r="A33" s="166">
        <f t="shared" si="3"/>
        <v>23</v>
      </c>
      <c r="B33" s="29"/>
      <c r="C33" s="32" t="s">
        <v>2387</v>
      </c>
      <c r="D33" s="16">
        <v>1</v>
      </c>
      <c r="E33" s="168">
        <f>IF($C33="","",VLOOKUP($C33,성분!$B$2:$O$51519,3,FALSE))/100*P33</f>
        <v>0.5</v>
      </c>
      <c r="F33" s="168">
        <f>IF($C33="","",VLOOKUP($C33,성분!$B$2:$O$51519,5,FALSE))/100*$P33</f>
        <v>4.9000000000000002E-2</v>
      </c>
      <c r="G33" s="168">
        <f>IF($C33="","",VLOOKUP($C33,성분!$B$2:$O$51519,4,FALSE))/100*$P33</f>
        <v>6.3E-2</v>
      </c>
      <c r="H33" s="168">
        <f>IF($C33="","",VLOOKUP($C33,성분!$B$2:$O$51519,6,FALSE))/100*$P33</f>
        <v>3.0000000000000001E-3</v>
      </c>
      <c r="I33" s="168">
        <f>IF($C33="","",VLOOKUP($C33,성분!$B$2:$O$51519,7,FALSE))/100*$P33</f>
        <v>0.39</v>
      </c>
      <c r="J33" s="168">
        <f>IF($C33="","",VLOOKUP($C33,성분!$B$2:$O$51519,8,FALSE))/100*$P33</f>
        <v>2.1000000000000001E-2</v>
      </c>
      <c r="K33" s="168">
        <f>IF($C33="","",VLOOKUP($C33,성분!$B$2:$O$51519,9,FALSE))/100*$P33</f>
        <v>0</v>
      </c>
      <c r="L33" s="168">
        <f>IF($C33="","",VLOOKUP($C33,성분!$B$2:$O$51519,10,FALSE))/100*$P33</f>
        <v>2.9999999999999997E-4</v>
      </c>
      <c r="M33" s="168">
        <f>IF($C33="","",VLOOKUP($C33,성분!$B$2:$O$51519,11,FALSE))/100*$P33</f>
        <v>8.0000000000000004E-4</v>
      </c>
      <c r="N33" s="168">
        <f>IF($C33="","",VLOOKUP($C33,성분!$B$2:$O$51519,12,FALSE))/100*$P33</f>
        <v>1.2E-2</v>
      </c>
      <c r="O33" s="167">
        <f>IF($C33="","",VLOOKUP($C33,성분!$B$2:$O$51519,13,FALSE))/100*$P33</f>
        <v>0</v>
      </c>
      <c r="P33" s="38">
        <f t="shared" si="5"/>
        <v>1</v>
      </c>
      <c r="Q33" s="17">
        <f t="shared" si="6"/>
        <v>0.40799999999999997</v>
      </c>
      <c r="R33" s="18"/>
    </row>
    <row r="34" spans="1:19" customFormat="1" ht="27.75" customHeight="1">
      <c r="A34" s="166">
        <f t="shared" si="3"/>
        <v>24</v>
      </c>
      <c r="B34" s="29" t="s">
        <v>2472</v>
      </c>
      <c r="C34" s="32" t="s">
        <v>620</v>
      </c>
      <c r="D34" s="16">
        <v>15</v>
      </c>
      <c r="E34" s="168">
        <f>IF($C34="","",VLOOKUP($C34,성분!$B$2:$O$51519,3,FALSE))/100*P34</f>
        <v>19.5</v>
      </c>
      <c r="F34" s="168">
        <f>IF($C34="","",VLOOKUP($C34,성분!$B$2:$O$51519,5,FALSE))/100*$P34</f>
        <v>8.9999999999999993E-3</v>
      </c>
      <c r="G34" s="168">
        <f>IF($C34="","",VLOOKUP($C34,성분!$B$2:$O$51519,4,FALSE))/100*$P34</f>
        <v>1.44</v>
      </c>
      <c r="H34" s="168">
        <f>IF($C34="","",VLOOKUP($C34,성분!$B$2:$O$51519,6,FALSE))/100*$P34</f>
        <v>0.70499999999999996</v>
      </c>
      <c r="I34" s="168">
        <f>IF($C34="","",VLOOKUP($C34,성분!$B$2:$O$51519,7,FALSE))/100*$P34</f>
        <v>0.44999999999999996</v>
      </c>
      <c r="J34" s="168">
        <f>IF($C34="","",VLOOKUP($C34,성분!$B$2:$O$51519,8,FALSE))/100*$P34</f>
        <v>0.16500000000000001</v>
      </c>
      <c r="K34" s="168">
        <f>IF($C34="","",VLOOKUP($C34,성분!$B$2:$O$51519,9,FALSE))/100*$P34</f>
        <v>0</v>
      </c>
      <c r="L34" s="168">
        <f>IF($C34="","",VLOOKUP($C34,성분!$B$2:$O$51519,10,FALSE))/100*$P34</f>
        <v>1.5E-3</v>
      </c>
      <c r="M34" s="168">
        <f>IF($C34="","",VLOOKUP($C34,성분!$B$2:$O$51519,11,FALSE))/100*$P34</f>
        <v>1.7999999999999999E-2</v>
      </c>
      <c r="N34" s="168">
        <f>IF($C34="","",VLOOKUP($C34,성분!$B$2:$O$51519,12,FALSE))/100*$P34</f>
        <v>0.06</v>
      </c>
      <c r="O34" s="167">
        <f>IF($C34="","",VLOOKUP($C34,성분!$B$2:$O$51519,13,FALSE))/100*$P34</f>
        <v>0</v>
      </c>
      <c r="P34" s="38">
        <f t="shared" si="5"/>
        <v>15</v>
      </c>
      <c r="Q34" s="17">
        <f t="shared" si="6"/>
        <v>6.12</v>
      </c>
      <c r="R34" s="18"/>
    </row>
    <row r="35" spans="1:19" s="160" customFormat="1" ht="27.75" customHeight="1">
      <c r="A35" s="166">
        <f t="shared" si="3"/>
        <v>25</v>
      </c>
      <c r="B35" s="170"/>
      <c r="C35" s="172" t="s">
        <v>2473</v>
      </c>
      <c r="D35" s="168">
        <v>60</v>
      </c>
      <c r="E35" s="168">
        <f>IF($C35="","",VLOOKUP($C35,성분!$B$2:$O$51519,3,FALSE))/100*P35</f>
        <v>30</v>
      </c>
      <c r="F35" s="168">
        <f>IF($C35="","",VLOOKUP($C35,성분!$B$2:$O$51519,5,FALSE))/100*$P35</f>
        <v>2.64</v>
      </c>
      <c r="G35" s="168">
        <f>IF($C35="","",VLOOKUP($C35,성분!$B$2:$O$51519,4,FALSE))/100*$P35</f>
        <v>1.2</v>
      </c>
      <c r="H35" s="168">
        <f>IF($C35="","",VLOOKUP($C35,성분!$B$2:$O$51519,6,FALSE))/100*$P35</f>
        <v>0.12</v>
      </c>
      <c r="I35" s="168">
        <f>IF($C35="","",VLOOKUP($C35,성분!$B$2:$O$51519,7,FALSE))/100*$P35</f>
        <v>28.2</v>
      </c>
      <c r="J35" s="168">
        <f>IF($C35="","",VLOOKUP($C35,성분!$B$2:$O$51519,8,FALSE))/100*$P35</f>
        <v>0.48</v>
      </c>
      <c r="K35" s="168">
        <f>IF($C35="","",VLOOKUP($C35,성분!$B$2:$O$51519,9,FALSE))/100*$P35</f>
        <v>28.799999999999997</v>
      </c>
      <c r="L35" s="168">
        <f>IF($C35="","",VLOOKUP($C35,성분!$B$2:$O$51519,10,FALSE))/100*$P35</f>
        <v>3.5999999999999997E-2</v>
      </c>
      <c r="M35" s="168">
        <f>IF($C35="","",VLOOKUP($C35,성분!$B$2:$O$51519,11,FALSE))/100*$P35</f>
        <v>3.5999999999999997E-2</v>
      </c>
      <c r="N35" s="168">
        <f>IF($C35="","",VLOOKUP($C35,성분!$B$2:$O$51519,12,FALSE))/100*$P35</f>
        <v>0.48</v>
      </c>
      <c r="O35" s="167">
        <f>IF($C35="","",VLOOKUP($C35,성분!$B$2:$O$51519,13,FALSE))/100*$P35</f>
        <v>8.4</v>
      </c>
      <c r="P35" s="165">
        <f t="shared" si="5"/>
        <v>60</v>
      </c>
      <c r="Q35" s="162">
        <f t="shared" si="6"/>
        <v>24.48</v>
      </c>
      <c r="R35" s="18"/>
    </row>
    <row r="36" spans="1:19" s="160" customFormat="1" ht="27.75" customHeight="1">
      <c r="A36" s="166">
        <f t="shared" si="3"/>
        <v>26</v>
      </c>
      <c r="B36" s="170"/>
      <c r="C36" s="172" t="s">
        <v>1190</v>
      </c>
      <c r="D36" s="168">
        <v>7</v>
      </c>
      <c r="E36" s="168">
        <f>IF($C36="","",VLOOKUP($C36,성분!$B$2:$O$51519,3,FALSE))/100*P36</f>
        <v>2.4499999999999997</v>
      </c>
      <c r="F36" s="168">
        <f>IF($C36="","",VLOOKUP($C36,성분!$B$2:$O$51519,5,FALSE))/100*$P36</f>
        <v>0.53620000000000001</v>
      </c>
      <c r="G36" s="168">
        <f>IF($C36="","",VLOOKUP($C36,성분!$B$2:$O$51519,4,FALSE))/100*$P36</f>
        <v>7.0000000000000007E-2</v>
      </c>
      <c r="H36" s="168">
        <f>IF($C36="","",VLOOKUP($C36,성분!$B$2:$O$51519,6,FALSE))/100*$P36</f>
        <v>1.3299999999999999E-2</v>
      </c>
      <c r="I36" s="168">
        <f>IF($C36="","",VLOOKUP($C36,성분!$B$2:$O$51519,7,FALSE))/100*$P36</f>
        <v>1.05</v>
      </c>
      <c r="J36" s="168">
        <f>IF($C36="","",VLOOKUP($C36,성분!$B$2:$O$51519,8,FALSE))/100*$P36</f>
        <v>2.1000000000000001E-2</v>
      </c>
      <c r="K36" s="168">
        <f>IF($C36="","",VLOOKUP($C36,성분!$B$2:$O$51519,9,FALSE))/100*$P36</f>
        <v>0</v>
      </c>
      <c r="L36" s="168">
        <f>IF($C36="","",VLOOKUP($C36,성분!$B$2:$O$51519,10,FALSE))/100*$P36</f>
        <v>2.8E-3</v>
      </c>
      <c r="M36" s="168">
        <f>IF($C36="","",VLOOKUP($C36,성분!$B$2:$O$51519,11,FALSE))/100*$P36</f>
        <v>6.9999999999999999E-4</v>
      </c>
      <c r="N36" s="168">
        <f>IF($C36="","",VLOOKUP($C36,성분!$B$2:$O$51519,12,FALSE))/100*$P36</f>
        <v>1.4E-2</v>
      </c>
      <c r="O36" s="167">
        <f>IF($C36="","",VLOOKUP($C36,성분!$B$2:$O$51519,13,FALSE))/100*$P36</f>
        <v>0.56000000000000005</v>
      </c>
      <c r="P36" s="165">
        <f t="shared" ref="P36:P38" si="7">D36</f>
        <v>7</v>
      </c>
      <c r="Q36" s="162">
        <f t="shared" ref="Q36:Q38" si="8">($O$8*P36)/1000</f>
        <v>2.8559999999999999</v>
      </c>
      <c r="R36" s="18"/>
    </row>
    <row r="37" spans="1:19" s="160" customFormat="1" ht="27.75" customHeight="1">
      <c r="A37" s="166">
        <f t="shared" si="3"/>
        <v>27</v>
      </c>
      <c r="B37" s="170" t="s">
        <v>1084</v>
      </c>
      <c r="C37" s="172" t="s">
        <v>1084</v>
      </c>
      <c r="D37" s="168">
        <v>30</v>
      </c>
      <c r="E37" s="168">
        <f>IF($C37="","",VLOOKUP($C37,성분!$B$2:$O$51519,3,FALSE))/100*P37</f>
        <v>15</v>
      </c>
      <c r="F37" s="168">
        <f>IF($C37="","",VLOOKUP($C37,성분!$B$2:$O$51519,5,FALSE))/100*$P37</f>
        <v>1.32</v>
      </c>
      <c r="G37" s="168">
        <f>IF($C37="","",VLOOKUP($C37,성분!$B$2:$O$51519,4,FALSE))/100*$P37</f>
        <v>0.6</v>
      </c>
      <c r="H37" s="168">
        <f>IF($C37="","",VLOOKUP($C37,성분!$B$2:$O$51519,6,FALSE))/100*$P37</f>
        <v>0.06</v>
      </c>
      <c r="I37" s="168">
        <f>IF($C37="","",VLOOKUP($C37,성분!$B$2:$O$51519,7,FALSE))/100*$P37</f>
        <v>14.1</v>
      </c>
      <c r="J37" s="168">
        <f>IF($C37="","",VLOOKUP($C37,성분!$B$2:$O$51519,8,FALSE))/100*$P37</f>
        <v>0.89999999999999991</v>
      </c>
      <c r="K37" s="168">
        <f>IF($C37="","",VLOOKUP($C37,성분!$B$2:$O$51519,9,FALSE))/100*$P37</f>
        <v>14.399999999999999</v>
      </c>
      <c r="L37" s="168">
        <f>IF($C37="","",VLOOKUP($C37,성분!$B$2:$O$51519,10,FALSE))/100*$P37</f>
        <v>1.7999999999999999E-2</v>
      </c>
      <c r="M37" s="168">
        <f>IF($C37="","",VLOOKUP($C37,성분!$B$2:$O$51519,11,FALSE))/100*$P37</f>
        <v>1.7999999999999999E-2</v>
      </c>
      <c r="N37" s="168">
        <f>IF($C37="","",VLOOKUP($C37,성분!$B$2:$O$51519,12,FALSE))/100*$P37</f>
        <v>0.24</v>
      </c>
      <c r="O37" s="167">
        <f>IF($C37="","",VLOOKUP($C37,성분!$B$2:$O$51519,13,FALSE))/100*$P37</f>
        <v>4.2</v>
      </c>
      <c r="P37" s="165">
        <f t="shared" si="7"/>
        <v>30</v>
      </c>
      <c r="Q37" s="162">
        <f t="shared" si="8"/>
        <v>12.24</v>
      </c>
      <c r="R37" s="18"/>
    </row>
    <row r="38" spans="1:19" s="160" customFormat="1" ht="27.75" customHeight="1">
      <c r="A38" s="166">
        <f t="shared" si="3"/>
        <v>28</v>
      </c>
      <c r="B38" s="170" t="s">
        <v>2537</v>
      </c>
      <c r="C38" s="170" t="s">
        <v>2537</v>
      </c>
      <c r="D38" s="168">
        <v>200</v>
      </c>
      <c r="E38" s="168">
        <f>IF($C38="","",VLOOKUP($C38,성분!$B$2:$O$51519,3,FALSE))/100*P38</f>
        <v>150</v>
      </c>
      <c r="F38" s="168">
        <f>IF($C38="","",VLOOKUP($C38,성분!$B$2:$O$51519,5,FALSE))/100*$P38</f>
        <v>27</v>
      </c>
      <c r="G38" s="168">
        <f>IF($C38="","",VLOOKUP($C38,성분!$B$2:$O$51519,4,FALSE))/100*$P38</f>
        <v>3.4000000000000004</v>
      </c>
      <c r="H38" s="168">
        <f>IF($C38="","",VLOOKUP($C38,성분!$B$2:$O$51519,6,FALSE))/100*$P38</f>
        <v>3.1</v>
      </c>
      <c r="I38" s="168">
        <f>IF($C38="","",VLOOKUP($C38,성분!$B$2:$O$51519,7,FALSE))/100*$P38</f>
        <v>0</v>
      </c>
      <c r="J38" s="168">
        <f>IF($C38="","",VLOOKUP($C38,성분!$B$2:$O$51519,8,FALSE))/100*$P38</f>
        <v>0</v>
      </c>
      <c r="K38" s="168">
        <f>IF($C38="","",VLOOKUP($C38,성분!$B$2:$O$51519,9,FALSE))/100*$P38</f>
        <v>0</v>
      </c>
      <c r="L38" s="168">
        <f>IF($C38="","",VLOOKUP($C38,성분!$B$2:$O$51519,10,FALSE))/100*$P38</f>
        <v>0</v>
      </c>
      <c r="M38" s="168">
        <f>IF($C38="","",VLOOKUP($C38,성분!$B$2:$O$51519,11,FALSE))/100*$P38</f>
        <v>0</v>
      </c>
      <c r="N38" s="168">
        <f>IF($C38="","",VLOOKUP($C38,성분!$B$2:$O$51519,12,FALSE))/100*$P38</f>
        <v>0</v>
      </c>
      <c r="O38" s="167">
        <f>IF($C38="","",VLOOKUP($C38,성분!$B$2:$O$51519,13,FALSE))/100*$P38</f>
        <v>0</v>
      </c>
      <c r="P38" s="165">
        <f t="shared" si="7"/>
        <v>200</v>
      </c>
      <c r="Q38" s="162">
        <f t="shared" si="8"/>
        <v>81.599999999999994</v>
      </c>
      <c r="R38" s="18"/>
    </row>
    <row r="39" spans="1:19" customFormat="1" ht="32.25" customHeight="1">
      <c r="A39" s="235" t="s">
        <v>1628</v>
      </c>
      <c r="B39" s="236"/>
      <c r="C39" s="236"/>
      <c r="D39" s="237"/>
      <c r="E39" s="19">
        <f>SUM(E11:E38)</f>
        <v>868.94899999999984</v>
      </c>
      <c r="F39" s="19">
        <f t="shared" ref="F39:O39" si="9">SUM(F11:F38)</f>
        <v>140.63190000000003</v>
      </c>
      <c r="G39" s="19">
        <f t="shared" si="9"/>
        <v>34.991</v>
      </c>
      <c r="H39" s="19">
        <f t="shared" si="9"/>
        <v>21.447100000000006</v>
      </c>
      <c r="I39" s="44">
        <f t="shared" si="9"/>
        <v>123.96000000000001</v>
      </c>
      <c r="J39" s="19">
        <f t="shared" si="9"/>
        <v>5.5659999999999989</v>
      </c>
      <c r="K39" s="44">
        <f t="shared" si="9"/>
        <v>312.06</v>
      </c>
      <c r="L39" s="19">
        <f t="shared" si="9"/>
        <v>0.43290000000000006</v>
      </c>
      <c r="M39" s="19">
        <f t="shared" si="9"/>
        <v>0.32740000000000008</v>
      </c>
      <c r="N39" s="19">
        <f t="shared" si="9"/>
        <v>6.1959000000000009</v>
      </c>
      <c r="O39" s="19">
        <f t="shared" si="9"/>
        <v>58.176400000000001</v>
      </c>
      <c r="P39" s="38">
        <f t="shared" si="0"/>
        <v>0</v>
      </c>
      <c r="Q39" s="17">
        <f t="shared" si="1"/>
        <v>0</v>
      </c>
      <c r="R39" s="18">
        <f t="shared" si="2"/>
        <v>0</v>
      </c>
    </row>
    <row r="40" spans="1:19" s="21" customFormat="1" ht="32.25" customHeight="1">
      <c r="A40" s="238" t="s">
        <v>1790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40"/>
      <c r="P40" s="20"/>
      <c r="Q40"/>
      <c r="R40" s="18">
        <f>INT(Q40)</f>
        <v>0</v>
      </c>
    </row>
    <row r="41" spans="1:19" customFormat="1" ht="19.5" customHeight="1">
      <c r="A41" s="220" t="s">
        <v>1629</v>
      </c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2"/>
      <c r="S41" s="18">
        <f>INT(R41)</f>
        <v>0</v>
      </c>
    </row>
    <row r="42" spans="1:19" customFormat="1" ht="20.100000000000001" customHeight="1">
      <c r="A42" s="247" t="s">
        <v>1630</v>
      </c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9"/>
      <c r="P42" s="244" t="s">
        <v>5</v>
      </c>
      <c r="Q42" s="245"/>
      <c r="R42" s="250">
        <v>5000</v>
      </c>
      <c r="S42" s="250"/>
    </row>
    <row r="43" spans="1:19" customFormat="1" ht="20.100000000000001" customHeight="1">
      <c r="A43" s="251" t="s">
        <v>1769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3"/>
      <c r="P43" s="244" t="s">
        <v>6</v>
      </c>
      <c r="Q43" s="245"/>
      <c r="R43" s="250">
        <f>R42*0.72</f>
        <v>3600</v>
      </c>
      <c r="S43" s="250"/>
    </row>
    <row r="44" spans="1:19" customFormat="1" ht="20.100000000000001" customHeight="1">
      <c r="A44" s="241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244" t="s">
        <v>1631</v>
      </c>
      <c r="Q44" s="245"/>
      <c r="R44" s="246">
        <v>0.72</v>
      </c>
      <c r="S44" s="246"/>
    </row>
    <row r="45" spans="1:19" customFormat="1" ht="20.100000000000001" customHeight="1">
      <c r="C45" s="3"/>
      <c r="D45" s="24"/>
      <c r="E45" s="25"/>
      <c r="F45" s="25"/>
      <c r="G45" s="22">
        <v>667</v>
      </c>
      <c r="H45" s="22">
        <v>15</v>
      </c>
      <c r="I45" s="22">
        <v>300</v>
      </c>
      <c r="J45" s="22">
        <v>5.4</v>
      </c>
      <c r="K45" s="22">
        <v>234</v>
      </c>
      <c r="L45" s="22">
        <v>0.34</v>
      </c>
      <c r="M45" s="22">
        <v>0.4</v>
      </c>
      <c r="N45" s="22">
        <v>5.26</v>
      </c>
      <c r="O45" s="22">
        <v>33.4</v>
      </c>
      <c r="P45" s="37"/>
      <c r="Q45" s="37"/>
      <c r="R45" s="23"/>
      <c r="S45" s="23"/>
    </row>
    <row r="46" spans="1:19" customFormat="1" ht="20.100000000000001" customHeight="1">
      <c r="A46" s="2"/>
      <c r="B46" s="2"/>
      <c r="C46" s="3"/>
      <c r="D46" s="4"/>
      <c r="E46" s="5"/>
      <c r="F46" s="5"/>
      <c r="G46" s="5"/>
      <c r="H46" s="5"/>
      <c r="I46" s="5"/>
      <c r="J46" s="2"/>
      <c r="K46" s="5"/>
      <c r="L46" s="5"/>
      <c r="M46" s="5"/>
      <c r="N46" s="5"/>
      <c r="O46" s="6"/>
    </row>
    <row r="47" spans="1:19" customFormat="1" ht="20.100000000000001" customHeight="1">
      <c r="A47" s="2"/>
      <c r="B47" s="2"/>
      <c r="C47" s="2"/>
      <c r="D47" s="4"/>
      <c r="E47" s="2"/>
      <c r="F47" s="2"/>
      <c r="G47" s="5"/>
      <c r="H47" s="5"/>
      <c r="I47" s="5"/>
      <c r="J47" s="5"/>
      <c r="K47" s="5"/>
      <c r="L47" s="5"/>
      <c r="M47" s="5"/>
      <c r="N47" s="5"/>
      <c r="O47" s="6"/>
    </row>
    <row r="48" spans="1:19" ht="12">
      <c r="C48" s="2"/>
    </row>
    <row r="49" spans="3:3" ht="12">
      <c r="C49" s="2"/>
    </row>
    <row r="1355" spans="4:4">
      <c r="D1355" s="2">
        <v>240</v>
      </c>
    </row>
  </sheetData>
  <mergeCells count="41">
    <mergeCell ref="A1:B1"/>
    <mergeCell ref="C1:D1"/>
    <mergeCell ref="K1:K4"/>
    <mergeCell ref="D2:E2"/>
    <mergeCell ref="L2:L4"/>
    <mergeCell ref="A39:D39"/>
    <mergeCell ref="A40:O40"/>
    <mergeCell ref="A41:O41"/>
    <mergeCell ref="N2:N4"/>
    <mergeCell ref="O2:O4"/>
    <mergeCell ref="A3:B3"/>
    <mergeCell ref="C3:D3"/>
    <mergeCell ref="L5:M5"/>
    <mergeCell ref="M2:M4"/>
    <mergeCell ref="M7:N7"/>
    <mergeCell ref="K7:L7"/>
    <mergeCell ref="H7:J7"/>
    <mergeCell ref="F7:G7"/>
    <mergeCell ref="D7:E7"/>
    <mergeCell ref="M8:N8"/>
    <mergeCell ref="K8:L8"/>
    <mergeCell ref="P6:R7"/>
    <mergeCell ref="A7:C7"/>
    <mergeCell ref="A8:C8"/>
    <mergeCell ref="O8:O9"/>
    <mergeCell ref="A9:C9"/>
    <mergeCell ref="D9:N9"/>
    <mergeCell ref="A6:N6"/>
    <mergeCell ref="O6:O7"/>
    <mergeCell ref="H8:J8"/>
    <mergeCell ref="F8:G8"/>
    <mergeCell ref="D8:E8"/>
    <mergeCell ref="A44:O44"/>
    <mergeCell ref="P44:Q44"/>
    <mergeCell ref="R44:S44"/>
    <mergeCell ref="A42:O42"/>
    <mergeCell ref="P42:Q42"/>
    <mergeCell ref="A43:O43"/>
    <mergeCell ref="P43:Q43"/>
    <mergeCell ref="R43:S43"/>
    <mergeCell ref="R42:S42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4" orientation="portrait" r:id="rId1"/>
  <headerFooter alignWithMargins="0">
    <oddHeader>&amp;C&amp;"굴림체,굵게"&amp;18
학    교    급    식    일    지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688-D831-4F14-B9AD-27276E7C122E}">
  <sheetPr>
    <tabColor rgb="FFFFFF00"/>
    <pageSetUpPr fitToPage="1"/>
  </sheetPr>
  <dimension ref="A1:S1352"/>
  <sheetViews>
    <sheetView view="pageBreakPreview" zoomScale="85" zoomScaleNormal="85" zoomScaleSheetLayoutView="85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D8" sqref="D8:J8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05"/>
      <c r="F1" s="105"/>
      <c r="G1" s="39"/>
      <c r="K1" s="202"/>
      <c r="L1" s="108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05"/>
      <c r="D2" s="203"/>
      <c r="E2" s="203"/>
      <c r="F2" s="10"/>
      <c r="G2" s="10"/>
      <c r="H2" s="11"/>
      <c r="K2" s="202"/>
      <c r="L2" s="208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45761</v>
      </c>
      <c r="D3" s="201"/>
      <c r="E3" s="105" t="s">
        <v>2253</v>
      </c>
      <c r="F3" s="31"/>
      <c r="G3" s="31"/>
      <c r="H3" s="31"/>
      <c r="I3" s="13"/>
      <c r="J3" s="13"/>
      <c r="K3" s="202"/>
      <c r="L3" s="208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8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116</v>
      </c>
      <c r="G8" s="226"/>
      <c r="H8" s="226">
        <v>108</v>
      </c>
      <c r="I8" s="226"/>
      <c r="J8" s="226"/>
      <c r="K8" s="226">
        <f>SUM(D8:J8)</f>
        <v>406</v>
      </c>
      <c r="L8" s="226"/>
      <c r="M8" s="226">
        <v>2</v>
      </c>
      <c r="N8" s="227"/>
      <c r="O8" s="228">
        <f>SUM(K8:N8)</f>
        <v>408</v>
      </c>
    </row>
    <row r="9" spans="1:18" customFormat="1" ht="20.100000000000001" customHeight="1">
      <c r="A9" s="230" t="s">
        <v>0</v>
      </c>
      <c r="B9" s="231"/>
      <c r="C9" s="232"/>
      <c r="D9" s="233" t="s">
        <v>2477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02" t="s">
        <v>1626</v>
      </c>
      <c r="Q10" s="103" t="s">
        <v>1627</v>
      </c>
      <c r="R10" s="15"/>
    </row>
    <row r="11" spans="1:18" customFormat="1" ht="27.75" customHeight="1">
      <c r="A11" s="42">
        <f>ROW()-10</f>
        <v>1</v>
      </c>
      <c r="B11" s="30" t="s">
        <v>2206</v>
      </c>
      <c r="C11" s="22" t="s">
        <v>140</v>
      </c>
      <c r="D11" s="16">
        <v>100</v>
      </c>
      <c r="E11" s="16">
        <f>IF($C11="","",VLOOKUP($C11,성분!$B$2:$O$51519,3,FALSE))/100*P11</f>
        <v>240</v>
      </c>
      <c r="F11" s="16">
        <f>IF($C11="","",VLOOKUP($C11,성분!$B$2:$O$51519,5,FALSE))/100*$P11</f>
        <v>78.5</v>
      </c>
      <c r="G11" s="16">
        <f>IF($C11="","",VLOOKUP($C11,성분!$B$2:$O$51519,4,FALSE))/100*$P11</f>
        <v>6.4</v>
      </c>
      <c r="H11" s="16">
        <f>IF($C11="","",VLOOKUP($C11,성분!$B$2:$O$51519,6,FALSE))/100*$P11</f>
        <v>0.4</v>
      </c>
      <c r="I11" s="16">
        <f>IF($C11="","",VLOOKUP($C11,성분!$B$2:$O$51519,7,FALSE))/100*$P11</f>
        <v>7.0000000000000009</v>
      </c>
      <c r="J11" s="16">
        <f>IF($C11="","",VLOOKUP($C11,성분!$B$2:$O$51519,8,FALSE))/100*$P11</f>
        <v>0.5</v>
      </c>
      <c r="K11" s="16">
        <f>IF($C11="","",VLOOKUP($C11,성분!$B$2:$O$51519,9,FALSE))/100*$P11</f>
        <v>0</v>
      </c>
      <c r="L11" s="16">
        <f>IF($C11="","",VLOOKUP($C11,성분!$B$2:$O$51519,10,FALSE))/100*$P11</f>
        <v>0.12</v>
      </c>
      <c r="M11" s="16">
        <f>IF($C11="","",VLOOKUP($C11,성분!$B$2:$O$51519,11,FALSE))/100*$P11</f>
        <v>0</v>
      </c>
      <c r="N11" s="16">
        <f>IF($C11="","",VLOOKUP($C11,성분!$B$2:$O$51519,12,FALSE))/100*$P11</f>
        <v>1.4</v>
      </c>
      <c r="O11" s="43">
        <f>IF($C11="","",VLOOKUP($C11,성분!$B$2:$O$51519,13,FALSE))/100*$P11</f>
        <v>0</v>
      </c>
      <c r="P11" s="38">
        <f t="shared" ref="P11:P36" si="0">D11</f>
        <v>100</v>
      </c>
      <c r="Q11" s="17">
        <f t="shared" ref="Q11:Q36" si="1">($O$8*P11)/1000</f>
        <v>40.799999999999997</v>
      </c>
      <c r="R11" s="18">
        <f t="shared" ref="R11:R36" si="2">INT(Q11)</f>
        <v>40</v>
      </c>
    </row>
    <row r="12" spans="1:18" customFormat="1" ht="27.75" customHeight="1">
      <c r="A12" s="42">
        <f t="shared" ref="A12:A33" si="3">ROW()-10</f>
        <v>2</v>
      </c>
      <c r="B12" s="30"/>
      <c r="C12" s="22" t="s">
        <v>237</v>
      </c>
      <c r="D12" s="16">
        <v>4</v>
      </c>
      <c r="E12" s="168">
        <f>IF($C12="","",VLOOKUP($C12,성분!$B$2:$O$51519,3,FALSE))/100*P12</f>
        <v>14.36</v>
      </c>
      <c r="F12" s="168">
        <f>IF($C12="","",VLOOKUP($C12,성분!$B$2:$O$51519,5,FALSE))/100*$P12</f>
        <v>2.9960000000000004</v>
      </c>
      <c r="G12" s="168">
        <f>IF($C12="","",VLOOKUP($C12,성분!$B$2:$O$51519,4,FALSE))/100*$P12</f>
        <v>0.32799999999999996</v>
      </c>
      <c r="H12" s="168">
        <f>IF($C12="","",VLOOKUP($C12,성분!$B$2:$O$51519,6,FALSE))/100*$P12</f>
        <v>0.12</v>
      </c>
      <c r="I12" s="168">
        <f>IF($C12="","",VLOOKUP($C12,성분!$B$2:$O$51519,7,FALSE))/100*$P12</f>
        <v>0.64</v>
      </c>
      <c r="J12" s="168">
        <f>IF($C12="","",VLOOKUP($C12,성분!$B$2:$O$51519,8,FALSE))/100*$P12</f>
        <v>7.5999999999999998E-2</v>
      </c>
      <c r="K12" s="168">
        <f>IF($C12="","",VLOOKUP($C12,성분!$B$2:$O$51519,9,FALSE))/100*$P12</f>
        <v>0</v>
      </c>
      <c r="L12" s="168">
        <f>IF($C12="","",VLOOKUP($C12,성분!$B$2:$O$51519,10,FALSE))/100*$P12</f>
        <v>1.2E-2</v>
      </c>
      <c r="M12" s="168">
        <f>IF($C12="","",VLOOKUP($C12,성분!$B$2:$O$51519,11,FALSE))/100*$P12</f>
        <v>4.7999999999999996E-3</v>
      </c>
      <c r="N12" s="168">
        <f>IF($C12="","",VLOOKUP($C12,성분!$B$2:$O$51519,12,FALSE))/100*$P12</f>
        <v>0.2</v>
      </c>
      <c r="O12" s="167">
        <f>IF($C12="","",VLOOKUP($C12,성분!$B$2:$O$51519,13,FALSE))/100*$P12</f>
        <v>0</v>
      </c>
      <c r="P12" s="38">
        <f t="shared" ref="P12" si="4">D12</f>
        <v>4</v>
      </c>
      <c r="Q12" s="17">
        <f t="shared" ref="Q12" si="5">($O$8*P12)/1000</f>
        <v>1.6319999999999999</v>
      </c>
      <c r="R12" s="18">
        <f t="shared" ref="R12" si="6">INT(Q12)</f>
        <v>1</v>
      </c>
    </row>
    <row r="13" spans="1:18" customFormat="1" ht="27.75" customHeight="1">
      <c r="A13" s="42">
        <f t="shared" si="3"/>
        <v>3</v>
      </c>
      <c r="B13" s="30" t="s">
        <v>2324</v>
      </c>
      <c r="C13" s="22" t="s">
        <v>2237</v>
      </c>
      <c r="D13" s="16">
        <v>60</v>
      </c>
      <c r="E13" s="168">
        <f>IF($C13="","",VLOOKUP($C13,성분!$B$2:$O$51519,3,FALSE))/100*P13</f>
        <v>106.8</v>
      </c>
      <c r="F13" s="168">
        <f>IF($C13="","",VLOOKUP($C13,성분!$B$2:$O$51519,5,FALSE))/100*$P13</f>
        <v>30.72</v>
      </c>
      <c r="G13" s="168">
        <f>IF($C13="","",VLOOKUP($C13,성분!$B$2:$O$51519,4,FALSE))/100*$P13</f>
        <v>1.8599999999999999</v>
      </c>
      <c r="H13" s="168">
        <f>IF($C13="","",VLOOKUP($C13,성분!$B$2:$O$51519,6,FALSE))/100*$P13</f>
        <v>0.3</v>
      </c>
      <c r="I13" s="168">
        <f>IF($C13="","",VLOOKUP($C13,성분!$B$2:$O$51519,7,FALSE))/100*$P13</f>
        <v>3</v>
      </c>
      <c r="J13" s="168">
        <f>IF($C13="","",VLOOKUP($C13,성분!$B$2:$O$51519,8,FALSE))/100*$P13</f>
        <v>0.54</v>
      </c>
      <c r="K13" s="168">
        <f>IF($C13="","",VLOOKUP($C13,성분!$B$2:$O$51519,9,FALSE))/100*$P13</f>
        <v>0</v>
      </c>
      <c r="L13" s="168">
        <f>IF($C13="","",VLOOKUP($C13,성분!$B$2:$O$51519,10,FALSE))/100*$P13</f>
        <v>1.2E-2</v>
      </c>
      <c r="M13" s="168">
        <f>IF($C13="","",VLOOKUP($C13,성분!$B$2:$O$51519,11,FALSE))/100*$P13</f>
        <v>6.0000000000000001E-3</v>
      </c>
      <c r="N13" s="168">
        <f>IF($C13="","",VLOOKUP($C13,성분!$B$2:$O$51519,12,FALSE))/100*$P13</f>
        <v>1.08</v>
      </c>
      <c r="O13" s="167">
        <f>IF($C13="","",VLOOKUP($C13,성분!$B$2:$O$51519,13,FALSE))/100*$P13</f>
        <v>0</v>
      </c>
      <c r="P13" s="38">
        <f t="shared" si="0"/>
        <v>60</v>
      </c>
      <c r="Q13" s="17">
        <f t="shared" si="1"/>
        <v>24.48</v>
      </c>
      <c r="R13" s="18">
        <f t="shared" si="2"/>
        <v>24</v>
      </c>
    </row>
    <row r="14" spans="1:18" customFormat="1" ht="27.75" customHeight="1">
      <c r="A14" s="42">
        <f t="shared" si="3"/>
        <v>4</v>
      </c>
      <c r="B14" s="30"/>
      <c r="C14" s="22" t="s">
        <v>2325</v>
      </c>
      <c r="D14" s="16">
        <v>7</v>
      </c>
      <c r="E14" s="168">
        <f>IF($C14="","",VLOOKUP($C14,성분!$B$2:$O$51519,3,FALSE))/100*P14</f>
        <v>10.780000000000001</v>
      </c>
      <c r="F14" s="168">
        <f>IF($C14="","",VLOOKUP($C14,성분!$B$2:$O$51519,5,FALSE))/100*$P14</f>
        <v>1.4E-2</v>
      </c>
      <c r="G14" s="168">
        <f>IF($C14="","",VLOOKUP($C14,성분!$B$2:$O$51519,4,FALSE))/100*$P14</f>
        <v>1.47</v>
      </c>
      <c r="H14" s="168">
        <f>IF($C14="","",VLOOKUP($C14,성분!$B$2:$O$51519,6,FALSE))/100*$P14</f>
        <v>0.98699999999999988</v>
      </c>
      <c r="I14" s="168">
        <f>IF($C14="","",VLOOKUP($C14,성분!$B$2:$O$51519,7,FALSE))/100*$P14</f>
        <v>0.42</v>
      </c>
      <c r="J14" s="168">
        <f>IF($C14="","",VLOOKUP($C14,성분!$B$2:$O$51519,8,FALSE))/100*$P14</f>
        <v>0.15400000000000003</v>
      </c>
      <c r="K14" s="168">
        <f>IF($C14="","",VLOOKUP($C14,성분!$B$2:$O$51519,9,FALSE))/100*$P14</f>
        <v>0.77</v>
      </c>
      <c r="L14" s="168">
        <f>IF($C14="","",VLOOKUP($C14,성분!$B$2:$O$51519,10,FALSE))/100*$P14</f>
        <v>7.7000000000000002E-3</v>
      </c>
      <c r="M14" s="168">
        <f>IF($C14="","",VLOOKUP($C14,성분!$B$2:$O$51519,11,FALSE))/100*$P14</f>
        <v>1.61E-2</v>
      </c>
      <c r="N14" s="168">
        <f>IF($C14="","",VLOOKUP($C14,성분!$B$2:$O$51519,12,FALSE))/100*$P14</f>
        <v>0.315</v>
      </c>
      <c r="O14" s="167">
        <f>IF($C14="","",VLOOKUP($C14,성분!$B$2:$O$51519,13,FALSE))/100*$P14</f>
        <v>7.0000000000000007E-2</v>
      </c>
      <c r="P14" s="38">
        <f t="shared" si="0"/>
        <v>7</v>
      </c>
      <c r="Q14" s="17">
        <f t="shared" si="1"/>
        <v>2.8559999999999999</v>
      </c>
      <c r="R14" s="18">
        <f t="shared" si="2"/>
        <v>2</v>
      </c>
    </row>
    <row r="15" spans="1:18" customFormat="1" ht="27.75" customHeight="1">
      <c r="A15" s="42">
        <f t="shared" si="3"/>
        <v>5</v>
      </c>
      <c r="B15" s="30"/>
      <c r="C15" s="22" t="s">
        <v>357</v>
      </c>
      <c r="D15" s="16">
        <v>12</v>
      </c>
      <c r="E15" s="168">
        <f>IF($C15="","",VLOOKUP($C15,성분!$B$2:$O$51519,3,FALSE))/100*P15</f>
        <v>16.799999999999997</v>
      </c>
      <c r="F15" s="168">
        <f>IF($C15="","",VLOOKUP($C15,성분!$B$2:$O$51519,5,FALSE))/100*$P15</f>
        <v>5.28</v>
      </c>
      <c r="G15" s="168">
        <f>IF($C15="","",VLOOKUP($C15,성분!$B$2:$O$51519,4,FALSE))/100*$P15</f>
        <v>1.524</v>
      </c>
      <c r="H15" s="168">
        <f>IF($C15="","",VLOOKUP($C15,성분!$B$2:$O$51519,6,FALSE))/100*$P15</f>
        <v>1.0835999999999999</v>
      </c>
      <c r="I15" s="168">
        <f>IF($C15="","",VLOOKUP($C15,성분!$B$2:$O$51519,7,FALSE))/100*$P15</f>
        <v>5.64</v>
      </c>
      <c r="J15" s="168">
        <f>IF($C15="","",VLOOKUP($C15,성분!$B$2:$O$51519,8,FALSE))/100*$P15</f>
        <v>0.21600000000000003</v>
      </c>
      <c r="K15" s="168">
        <f>IF($C15="","",VLOOKUP($C15,성분!$B$2:$O$51519,9,FALSE))/100*$P15</f>
        <v>18.72</v>
      </c>
      <c r="L15" s="168">
        <f>IF($C15="","",VLOOKUP($C15,성분!$B$2:$O$51519,10,FALSE))/100*$P15</f>
        <v>1.2E-2</v>
      </c>
      <c r="M15" s="168">
        <f>IF($C15="","",VLOOKUP($C15,성분!$B$2:$O$51519,11,FALSE))/100*$P15</f>
        <v>3.1199999999999999E-2</v>
      </c>
      <c r="N15" s="168">
        <f>IF($C15="","",VLOOKUP($C15,성분!$B$2:$O$51519,12,FALSE))/100*$P15</f>
        <v>1.2E-2</v>
      </c>
      <c r="O15" s="167">
        <f>IF($C15="","",VLOOKUP($C15,성분!$B$2:$O$51519,13,FALSE))/100*$P15</f>
        <v>0</v>
      </c>
      <c r="P15" s="38">
        <f t="shared" si="0"/>
        <v>12</v>
      </c>
      <c r="Q15" s="17">
        <f t="shared" si="1"/>
        <v>4.8959999999999999</v>
      </c>
      <c r="R15" s="18"/>
    </row>
    <row r="16" spans="1:18" customFormat="1" ht="27.75" customHeight="1">
      <c r="A16" s="42">
        <f t="shared" si="3"/>
        <v>6</v>
      </c>
      <c r="B16" s="30"/>
      <c r="C16" s="22" t="s">
        <v>1190</v>
      </c>
      <c r="D16" s="16">
        <v>7</v>
      </c>
      <c r="E16" s="168">
        <f>IF($C16="","",VLOOKUP($C16,성분!$B$2:$O$51519,3,FALSE))/100*P16</f>
        <v>2.4499999999999997</v>
      </c>
      <c r="F16" s="168">
        <f>IF($C16="","",VLOOKUP($C16,성분!$B$2:$O$51519,5,FALSE))/100*$P16</f>
        <v>0.53620000000000001</v>
      </c>
      <c r="G16" s="168">
        <f>IF($C16="","",VLOOKUP($C16,성분!$B$2:$O$51519,4,FALSE))/100*$P16</f>
        <v>7.0000000000000007E-2</v>
      </c>
      <c r="H16" s="168">
        <f>IF($C16="","",VLOOKUP($C16,성분!$B$2:$O$51519,6,FALSE))/100*$P16</f>
        <v>1.3299999999999999E-2</v>
      </c>
      <c r="I16" s="168">
        <f>IF($C16="","",VLOOKUP($C16,성분!$B$2:$O$51519,7,FALSE))/100*$P16</f>
        <v>1.05</v>
      </c>
      <c r="J16" s="168">
        <f>IF($C16="","",VLOOKUP($C16,성분!$B$2:$O$51519,8,FALSE))/100*$P16</f>
        <v>2.1000000000000001E-2</v>
      </c>
      <c r="K16" s="168">
        <f>IF($C16="","",VLOOKUP($C16,성분!$B$2:$O$51519,9,FALSE))/100*$P16</f>
        <v>0</v>
      </c>
      <c r="L16" s="168">
        <f>IF($C16="","",VLOOKUP($C16,성분!$B$2:$O$51519,10,FALSE))/100*$P16</f>
        <v>2.8E-3</v>
      </c>
      <c r="M16" s="168">
        <f>IF($C16="","",VLOOKUP($C16,성분!$B$2:$O$51519,11,FALSE))/100*$P16</f>
        <v>6.9999999999999999E-4</v>
      </c>
      <c r="N16" s="168">
        <f>IF($C16="","",VLOOKUP($C16,성분!$B$2:$O$51519,12,FALSE))/100*$P16</f>
        <v>1.4E-2</v>
      </c>
      <c r="O16" s="167">
        <f>IF($C16="","",VLOOKUP($C16,성분!$B$2:$O$51519,13,FALSE))/100*$P16</f>
        <v>0.56000000000000005</v>
      </c>
      <c r="P16" s="38">
        <f t="shared" si="0"/>
        <v>7</v>
      </c>
      <c r="Q16" s="17">
        <f t="shared" si="1"/>
        <v>2.8559999999999999</v>
      </c>
      <c r="R16" s="18"/>
    </row>
    <row r="17" spans="1:18" customFormat="1" ht="27.75" customHeight="1">
      <c r="A17" s="42">
        <f t="shared" si="3"/>
        <v>7</v>
      </c>
      <c r="B17" s="30"/>
      <c r="C17" s="22" t="s">
        <v>1980</v>
      </c>
      <c r="D17" s="16">
        <v>7</v>
      </c>
      <c r="E17" s="168">
        <f>IF($C17="","",VLOOKUP($C17,성분!$B$2:$O$51519,3,FALSE))/100*P17</f>
        <v>2.3800000000000003</v>
      </c>
      <c r="F17" s="168">
        <f>IF($C17="","",VLOOKUP($C17,성분!$B$2:$O$51519,5,FALSE))/100*$P17</f>
        <v>0.49209999999999998</v>
      </c>
      <c r="G17" s="168">
        <f>IF($C17="","",VLOOKUP($C17,성분!$B$2:$O$51519,4,FALSE))/100*$P17</f>
        <v>7.0000000000000007E-2</v>
      </c>
      <c r="H17" s="168">
        <f>IF($C17="","",VLOOKUP($C17,성분!$B$2:$O$51519,6,FALSE))/100*$P17</f>
        <v>9.1000000000000004E-3</v>
      </c>
      <c r="I17" s="168">
        <f>IF($C17="","",VLOOKUP($C17,성분!$B$2:$O$51519,7,FALSE))/100*$P17</f>
        <v>2.66</v>
      </c>
      <c r="J17" s="168">
        <f>IF($C17="","",VLOOKUP($C17,성분!$B$2:$O$51519,8,FALSE))/100*$P17</f>
        <v>4.8999999999999995E-2</v>
      </c>
      <c r="K17" s="168">
        <f>IF($C17="","",VLOOKUP($C17,성분!$B$2:$O$51519,9,FALSE))/100*$P17</f>
        <v>87.990000000000009</v>
      </c>
      <c r="L17" s="168">
        <f>IF($C17="","",VLOOKUP($C17,성분!$B$2:$O$51519,10,FALSE))/100*$P17</f>
        <v>4.1999999999999997E-3</v>
      </c>
      <c r="M17" s="168">
        <f>IF($C17="","",VLOOKUP($C17,성분!$B$2:$O$51519,11,FALSE))/100*$P17</f>
        <v>2.8E-3</v>
      </c>
      <c r="N17" s="168">
        <f>IF($C17="","",VLOOKUP($C17,성분!$B$2:$O$51519,12,FALSE))/100*$P17</f>
        <v>5.6000000000000001E-2</v>
      </c>
      <c r="O17" s="167">
        <f>IF($C17="","",VLOOKUP($C17,성분!$B$2:$O$51519,13,FALSE))/100*$P17</f>
        <v>0.42</v>
      </c>
      <c r="P17" s="38">
        <f t="shared" si="0"/>
        <v>7</v>
      </c>
      <c r="Q17" s="17">
        <f t="shared" si="1"/>
        <v>2.8559999999999999</v>
      </c>
      <c r="R17" s="18">
        <f t="shared" ref="R17" si="7">INT(Q17)</f>
        <v>2</v>
      </c>
    </row>
    <row r="18" spans="1:18" customFormat="1" ht="27.75" customHeight="1">
      <c r="A18" s="42">
        <f t="shared" si="3"/>
        <v>8</v>
      </c>
      <c r="B18" s="30"/>
      <c r="C18" s="22" t="s">
        <v>1239</v>
      </c>
      <c r="D18" s="16">
        <v>5</v>
      </c>
      <c r="E18" s="168">
        <f>IF($C18="","",VLOOKUP($C18,성분!$B$2:$O$51519,3,FALSE))/100*P18</f>
        <v>1.3</v>
      </c>
      <c r="F18" s="168">
        <f>IF($C18="","",VLOOKUP($C18,성분!$B$2:$O$51519,5,FALSE))/100*$P18</f>
        <v>0.223</v>
      </c>
      <c r="G18" s="168">
        <f>IF($C18="","",VLOOKUP($C18,성분!$B$2:$O$51519,4,FALSE))/100*$P18</f>
        <v>0</v>
      </c>
      <c r="H18" s="168">
        <f>IF($C18="","",VLOOKUP($C18,성분!$B$2:$O$51519,6,FALSE))/100*$P18</f>
        <v>1.2999999999999999E-2</v>
      </c>
      <c r="I18" s="168">
        <f>IF($C18="","",VLOOKUP($C18,성분!$B$2:$O$51519,7,FALSE))/100*$P18</f>
        <v>4.0500000000000007</v>
      </c>
      <c r="J18" s="168">
        <f>IF($C18="","",VLOOKUP($C18,성분!$B$2:$O$51519,8,FALSE))/100*$P18</f>
        <v>0.05</v>
      </c>
      <c r="K18" s="168">
        <f>IF($C18="","",VLOOKUP($C18,성분!$B$2:$O$51519,9,FALSE))/100*$P18</f>
        <v>6.45</v>
      </c>
      <c r="L18" s="168">
        <f>IF($C18="","",VLOOKUP($C18,성분!$B$2:$O$51519,10,FALSE))/100*$P18</f>
        <v>2.9999999999999996E-3</v>
      </c>
      <c r="M18" s="168">
        <f>IF($C18="","",VLOOKUP($C18,성분!$B$2:$O$51519,11,FALSE))/100*$P18</f>
        <v>4.4999999999999997E-3</v>
      </c>
      <c r="N18" s="168">
        <f>IF($C18="","",VLOOKUP($C18,성분!$B$2:$O$51519,12,FALSE))/100*$P18</f>
        <v>0.03</v>
      </c>
      <c r="O18" s="167">
        <f>IF($C18="","",VLOOKUP($C18,성분!$B$2:$O$51519,13,FALSE))/100*$P18</f>
        <v>1.05</v>
      </c>
      <c r="P18" s="38">
        <f t="shared" si="0"/>
        <v>5</v>
      </c>
      <c r="Q18" s="17">
        <f t="shared" si="1"/>
        <v>2.04</v>
      </c>
      <c r="R18" s="18"/>
    </row>
    <row r="19" spans="1:18" s="160" customFormat="1" ht="27.75" customHeight="1">
      <c r="A19" s="166">
        <f t="shared" si="3"/>
        <v>9</v>
      </c>
      <c r="B19" s="171"/>
      <c r="C19" s="169" t="s">
        <v>2396</v>
      </c>
      <c r="D19" s="168">
        <v>3</v>
      </c>
      <c r="E19" s="168">
        <f>IF($C19="","",VLOOKUP($C19,성분!$B$2:$O$51519,3,FALSE))/100*P19</f>
        <v>5.67</v>
      </c>
      <c r="F19" s="168">
        <f>IF($C19="","",VLOOKUP($C19,성분!$B$2:$O$51519,5,FALSE))/100*$P19</f>
        <v>1.3560000000000001</v>
      </c>
      <c r="G19" s="168">
        <f>IF($C19="","",VLOOKUP($C19,성분!$B$2:$O$51519,4,FALSE))/100*$P19</f>
        <v>0.22200000000000003</v>
      </c>
      <c r="H19" s="168">
        <f>IF($C19="","",VLOOKUP($C19,성분!$B$2:$O$51519,6,FALSE))/100*$P19</f>
        <v>3.3000000000000002E-2</v>
      </c>
      <c r="I19" s="168">
        <f>IF($C19="","",VLOOKUP($C19,성분!$B$2:$O$51519,7,FALSE))/100*$P19</f>
        <v>21.240000000000002</v>
      </c>
      <c r="J19" s="168">
        <f>IF($C19="","",VLOOKUP($C19,성분!$B$2:$O$51519,8,FALSE))/100*$P19</f>
        <v>0.189</v>
      </c>
      <c r="K19" s="168">
        <f>IF($C19="","",VLOOKUP($C19,성분!$B$2:$O$51519,9,FALSE))/100*$P19</f>
        <v>2.88</v>
      </c>
      <c r="L19" s="168">
        <f>IF($C19="","",VLOOKUP($C19,성분!$B$2:$O$51519,10,FALSE))/100*$P19</f>
        <v>6.6E-3</v>
      </c>
      <c r="M19" s="168">
        <f>IF($C19="","",VLOOKUP($C19,성분!$B$2:$O$51519,11,FALSE))/100*$P19</f>
        <v>1.3500000000000002E-2</v>
      </c>
      <c r="N19" s="168">
        <f>IF($C19="","",VLOOKUP($C19,성분!$B$2:$O$51519,12,FALSE))/100*$P19</f>
        <v>0.13500000000000001</v>
      </c>
      <c r="O19" s="167">
        <f>IF($C19="","",VLOOKUP($C19,성분!$B$2:$O$51519,13,FALSE))/100*$P19</f>
        <v>0.54</v>
      </c>
      <c r="P19" s="165">
        <f t="shared" ref="P19:P20" si="8">D19</f>
        <v>3</v>
      </c>
      <c r="Q19" s="162">
        <f t="shared" ref="Q19:Q20" si="9">($O$8*P19)/1000</f>
        <v>1.224</v>
      </c>
      <c r="R19" s="18">
        <f t="shared" ref="R19" si="10">INT(Q19)</f>
        <v>1</v>
      </c>
    </row>
    <row r="20" spans="1:18" s="160" customFormat="1" ht="27.75" customHeight="1">
      <c r="A20" s="166">
        <f t="shared" si="3"/>
        <v>10</v>
      </c>
      <c r="B20" s="171"/>
      <c r="C20" s="169" t="s">
        <v>2397</v>
      </c>
      <c r="D20" s="168">
        <v>3</v>
      </c>
      <c r="E20" s="168">
        <f>IF($C20="","",VLOOKUP($C20,성분!$B$2:$O$51519,3,FALSE))/100*P20</f>
        <v>9.09</v>
      </c>
      <c r="F20" s="168">
        <f>IF($C20="","",VLOOKUP($C20,성분!$B$2:$O$51519,5,FALSE))/100*$P20</f>
        <v>9.0000000000000011E-3</v>
      </c>
      <c r="G20" s="168">
        <f>IF($C20="","",VLOOKUP($C20,성분!$B$2:$O$51519,4,FALSE))/100*$P20</f>
        <v>0.99</v>
      </c>
      <c r="H20" s="168">
        <f>IF($C20="","",VLOOKUP($C20,성분!$B$2:$O$51519,6,FALSE))/100*$P20</f>
        <v>0.21899999999999997</v>
      </c>
      <c r="I20" s="168">
        <f>IF($C20="","",VLOOKUP($C20,성분!$B$2:$O$51519,7,FALSE))/100*$P20</f>
        <v>51</v>
      </c>
      <c r="J20" s="168">
        <f>IF($C20="","",VLOOKUP($C20,성분!$B$2:$O$51519,8,FALSE))/100*$P20</f>
        <v>0.12</v>
      </c>
      <c r="K20" s="168">
        <f>IF($C20="","",VLOOKUP($C20,성분!$B$2:$O$51519,9,FALSE))/100*$P20</f>
        <v>0</v>
      </c>
      <c r="L20" s="168">
        <f>IF($C20="","",VLOOKUP($C20,성분!$B$2:$O$51519,10,FALSE))/100*$P20</f>
        <v>4.2000000000000006E-3</v>
      </c>
      <c r="M20" s="168">
        <f>IF($C20="","",VLOOKUP($C20,성분!$B$2:$O$51519,11,FALSE))/100*$P20</f>
        <v>3.5999999999999999E-3</v>
      </c>
      <c r="N20" s="168">
        <f>IF($C20="","",VLOOKUP($C20,성분!$B$2:$O$51519,12,FALSE))/100*$P20</f>
        <v>0.06</v>
      </c>
      <c r="O20" s="167">
        <f>IF($C20="","",VLOOKUP($C20,성분!$B$2:$O$51519,13,FALSE))/100*$P20</f>
        <v>0</v>
      </c>
      <c r="P20" s="165">
        <f t="shared" si="8"/>
        <v>3</v>
      </c>
      <c r="Q20" s="162">
        <f t="shared" si="9"/>
        <v>1.224</v>
      </c>
      <c r="R20" s="18"/>
    </row>
    <row r="21" spans="1:18" customFormat="1" ht="27.75" customHeight="1">
      <c r="A21" s="42">
        <f t="shared" si="3"/>
        <v>11</v>
      </c>
      <c r="B21" s="30" t="s">
        <v>2326</v>
      </c>
      <c r="C21" s="22" t="s">
        <v>2398</v>
      </c>
      <c r="D21" s="16">
        <v>40</v>
      </c>
      <c r="E21" s="168">
        <f>IF($C21="","",VLOOKUP($C21,성분!$B$2:$O$51519,3,FALSE))/100*P21</f>
        <v>72.400000000000006</v>
      </c>
      <c r="F21" s="168">
        <f>IF($C21="","",VLOOKUP($C21,성분!$B$2:$O$51519,5,FALSE))/100*$P21</f>
        <v>0</v>
      </c>
      <c r="G21" s="168">
        <f>IF($C21="","",VLOOKUP($C21,성분!$B$2:$O$51519,4,FALSE))/100*$P21</f>
        <v>6</v>
      </c>
      <c r="H21" s="168">
        <f>IF($C21="","",VLOOKUP($C21,성분!$B$2:$O$51519,6,FALSE))/100*$P21</f>
        <v>4.9200000000000008</v>
      </c>
      <c r="I21" s="168">
        <f>IF($C21="","",VLOOKUP($C21,성분!$B$2:$O$51519,7,FALSE))/100*$P21</f>
        <v>0.4</v>
      </c>
      <c r="J21" s="168">
        <f>IF($C21="","",VLOOKUP($C21,성분!$B$2:$O$51519,8,FALSE))/100*$P21</f>
        <v>0.8</v>
      </c>
      <c r="K21" s="168">
        <f>IF($C21="","",VLOOKUP($C21,성분!$B$2:$O$51519,9,FALSE))/100*$P21</f>
        <v>0.8</v>
      </c>
      <c r="L21" s="168">
        <f>IF($C21="","",VLOOKUP($C21,성분!$B$2:$O$51519,10,FALSE))/100*$P21</f>
        <v>0.17600000000000002</v>
      </c>
      <c r="M21" s="168">
        <f>IF($C21="","",VLOOKUP($C21,성분!$B$2:$O$51519,11,FALSE))/100*$P21</f>
        <v>6.8000000000000005E-2</v>
      </c>
      <c r="N21" s="168">
        <f>IF($C21="","",VLOOKUP($C21,성분!$B$2:$O$51519,12,FALSE))/100*$P21</f>
        <v>1.36</v>
      </c>
      <c r="O21" s="167">
        <f>IF($C21="","",VLOOKUP($C21,성분!$B$2:$O$51519,13,FALSE))/100*$P21</f>
        <v>0</v>
      </c>
      <c r="P21" s="38">
        <f t="shared" si="0"/>
        <v>40</v>
      </c>
      <c r="Q21" s="17">
        <f t="shared" si="1"/>
        <v>16.32</v>
      </c>
      <c r="R21" s="18">
        <f t="shared" si="2"/>
        <v>16</v>
      </c>
    </row>
    <row r="22" spans="1:18" customFormat="1" ht="27.75" customHeight="1">
      <c r="A22" s="42">
        <f t="shared" si="3"/>
        <v>12</v>
      </c>
      <c r="B22" s="30"/>
      <c r="C22" s="22" t="s">
        <v>2399</v>
      </c>
      <c r="D22" s="16">
        <v>80</v>
      </c>
      <c r="E22" s="168">
        <f>IF($C22="","",VLOOKUP($C22,성분!$B$2:$O$51519,3,FALSE))/100*P22</f>
        <v>98.4</v>
      </c>
      <c r="F22" s="168">
        <f>IF($C22="","",VLOOKUP($C22,성분!$B$2:$O$51519,5,FALSE))/100*$P22</f>
        <v>0</v>
      </c>
      <c r="G22" s="168">
        <f>IF($C22="","",VLOOKUP($C22,성분!$B$2:$O$51519,4,FALSE))/100*$P22</f>
        <v>5.7600000000000007</v>
      </c>
      <c r="H22" s="168">
        <f>IF($C22="","",VLOOKUP($C22,성분!$B$2:$O$51519,6,FALSE))/100*$P22</f>
        <v>13.200000000000001</v>
      </c>
      <c r="I22" s="168">
        <f>IF($C22="","",VLOOKUP($C22,성분!$B$2:$O$51519,7,FALSE))/100*$P22</f>
        <v>0.8</v>
      </c>
      <c r="J22" s="168">
        <f>IF($C22="","",VLOOKUP($C22,성분!$B$2:$O$51519,8,FALSE))/100*$P22</f>
        <v>0.8</v>
      </c>
      <c r="K22" s="168">
        <f>IF($C22="","",VLOOKUP($C22,성분!$B$2:$O$51519,9,FALSE))/100*$P22</f>
        <v>12.8</v>
      </c>
      <c r="L22" s="168">
        <f>IF($C22="","",VLOOKUP($C22,성분!$B$2:$O$51519,10,FALSE))/100*$P22</f>
        <v>0.08</v>
      </c>
      <c r="M22" s="168">
        <f>IF($C22="","",VLOOKUP($C22,성분!$B$2:$O$51519,11,FALSE))/100*$P22</f>
        <v>6.4000000000000001E-2</v>
      </c>
      <c r="N22" s="168">
        <f>IF($C22="","",VLOOKUP($C22,성분!$B$2:$O$51519,12,FALSE))/100*$P22</f>
        <v>0.69599999999999995</v>
      </c>
      <c r="O22" s="167">
        <f>IF($C22="","",VLOOKUP($C22,성분!$B$2:$O$51519,13,FALSE))/100*$P22</f>
        <v>0</v>
      </c>
      <c r="P22" s="38">
        <f t="shared" si="0"/>
        <v>80</v>
      </c>
      <c r="Q22" s="17">
        <f t="shared" si="1"/>
        <v>32.64</v>
      </c>
      <c r="R22" s="18"/>
    </row>
    <row r="23" spans="1:18" customFormat="1" ht="27.75" customHeight="1">
      <c r="A23" s="42">
        <f t="shared" si="3"/>
        <v>13</v>
      </c>
      <c r="B23" s="30"/>
      <c r="C23" s="22" t="s">
        <v>1190</v>
      </c>
      <c r="D23" s="16">
        <v>20</v>
      </c>
      <c r="E23" s="168">
        <f>IF($C23="","",VLOOKUP($C23,성분!$B$2:$O$51519,3,FALSE))/100*P23</f>
        <v>7</v>
      </c>
      <c r="F23" s="168">
        <f>IF($C23="","",VLOOKUP($C23,성분!$B$2:$O$51519,5,FALSE))/100*$P23</f>
        <v>1.532</v>
      </c>
      <c r="G23" s="168">
        <f>IF($C23="","",VLOOKUP($C23,성분!$B$2:$O$51519,4,FALSE))/100*$P23</f>
        <v>0.2</v>
      </c>
      <c r="H23" s="168">
        <f>IF($C23="","",VLOOKUP($C23,성분!$B$2:$O$51519,6,FALSE))/100*$P23</f>
        <v>3.7999999999999999E-2</v>
      </c>
      <c r="I23" s="168">
        <f>IF($C23="","",VLOOKUP($C23,성분!$B$2:$O$51519,7,FALSE))/100*$P23</f>
        <v>3</v>
      </c>
      <c r="J23" s="168">
        <f>IF($C23="","",VLOOKUP($C23,성분!$B$2:$O$51519,8,FALSE))/100*$P23</f>
        <v>0.06</v>
      </c>
      <c r="K23" s="168">
        <f>IF($C23="","",VLOOKUP($C23,성분!$B$2:$O$51519,9,FALSE))/100*$P23</f>
        <v>0</v>
      </c>
      <c r="L23" s="168">
        <f>IF($C23="","",VLOOKUP($C23,성분!$B$2:$O$51519,10,FALSE))/100*$P23</f>
        <v>8.0000000000000002E-3</v>
      </c>
      <c r="M23" s="168">
        <f>IF($C23="","",VLOOKUP($C23,성분!$B$2:$O$51519,11,FALSE))/100*$P23</f>
        <v>2E-3</v>
      </c>
      <c r="N23" s="168">
        <f>IF($C23="","",VLOOKUP($C23,성분!$B$2:$O$51519,12,FALSE))/100*$P23</f>
        <v>0.04</v>
      </c>
      <c r="O23" s="167">
        <f>IF($C23="","",VLOOKUP($C23,성분!$B$2:$O$51519,13,FALSE))/100*$P23</f>
        <v>1.6</v>
      </c>
      <c r="P23" s="38">
        <f t="shared" si="0"/>
        <v>20</v>
      </c>
      <c r="Q23" s="17">
        <f t="shared" si="1"/>
        <v>8.16</v>
      </c>
      <c r="R23" s="18"/>
    </row>
    <row r="24" spans="1:18" customFormat="1" ht="27.75" customHeight="1">
      <c r="A24" s="42">
        <f t="shared" si="3"/>
        <v>14</v>
      </c>
      <c r="B24" s="30"/>
      <c r="C24" s="22" t="s">
        <v>1980</v>
      </c>
      <c r="D24" s="16">
        <v>15</v>
      </c>
      <c r="E24" s="168">
        <f>IF($C24="","",VLOOKUP($C24,성분!$B$2:$O$51519,3,FALSE))/100*P24</f>
        <v>5.1000000000000005</v>
      </c>
      <c r="F24" s="168">
        <f>IF($C24="","",VLOOKUP($C24,성분!$B$2:$O$51519,5,FALSE))/100*$P24</f>
        <v>1.0545</v>
      </c>
      <c r="G24" s="168">
        <f>IF($C24="","",VLOOKUP($C24,성분!$B$2:$O$51519,4,FALSE))/100*$P24</f>
        <v>0.15</v>
      </c>
      <c r="H24" s="168">
        <f>IF($C24="","",VLOOKUP($C24,성분!$B$2:$O$51519,6,FALSE))/100*$P24</f>
        <v>1.95E-2</v>
      </c>
      <c r="I24" s="168">
        <f>IF($C24="","",VLOOKUP($C24,성분!$B$2:$O$51519,7,FALSE))/100*$P24</f>
        <v>5.7</v>
      </c>
      <c r="J24" s="168">
        <f>IF($C24="","",VLOOKUP($C24,성분!$B$2:$O$51519,8,FALSE))/100*$P24</f>
        <v>0.10499999999999998</v>
      </c>
      <c r="K24" s="168">
        <f>IF($C24="","",VLOOKUP($C24,성분!$B$2:$O$51519,9,FALSE))/100*$P24</f>
        <v>188.55</v>
      </c>
      <c r="L24" s="168">
        <f>IF($C24="","",VLOOKUP($C24,성분!$B$2:$O$51519,10,FALSE))/100*$P24</f>
        <v>8.9999999999999993E-3</v>
      </c>
      <c r="M24" s="168">
        <f>IF($C24="","",VLOOKUP($C24,성분!$B$2:$O$51519,11,FALSE))/100*$P24</f>
        <v>6.0000000000000001E-3</v>
      </c>
      <c r="N24" s="168">
        <f>IF($C24="","",VLOOKUP($C24,성분!$B$2:$O$51519,12,FALSE))/100*$P24</f>
        <v>0.12</v>
      </c>
      <c r="O24" s="167">
        <f>IF($C24="","",VLOOKUP($C24,성분!$B$2:$O$51519,13,FALSE))/100*$P24</f>
        <v>0.89999999999999991</v>
      </c>
      <c r="P24" s="38">
        <f t="shared" si="0"/>
        <v>15</v>
      </c>
      <c r="Q24" s="17">
        <f t="shared" si="1"/>
        <v>6.12</v>
      </c>
      <c r="R24" s="18"/>
    </row>
    <row r="25" spans="1:18" customFormat="1" ht="27.75" customHeight="1">
      <c r="A25" s="42">
        <f t="shared" si="3"/>
        <v>15</v>
      </c>
      <c r="B25" s="30"/>
      <c r="C25" s="22" t="s">
        <v>1186</v>
      </c>
      <c r="D25" s="16">
        <v>15</v>
      </c>
      <c r="E25" s="168">
        <f>IF($C25="","",VLOOKUP($C25,성분!$B$2:$O$51519,3,FALSE))/100*P25</f>
        <v>4.6500000000000004</v>
      </c>
      <c r="F25" s="168">
        <f>IF($C25="","",VLOOKUP($C25,성분!$B$2:$O$51519,5,FALSE))/100*$P25</f>
        <v>0.94200000000000017</v>
      </c>
      <c r="G25" s="168">
        <f>IF($C25="","",VLOOKUP($C25,성분!$B$2:$O$51519,4,FALSE))/100*$P25</f>
        <v>0.20999999999999996</v>
      </c>
      <c r="H25" s="168">
        <f>IF($C25="","",VLOOKUP($C25,성분!$B$2:$O$51519,6,FALSE))/100*$P25</f>
        <v>0.20100000000000001</v>
      </c>
      <c r="I25" s="168">
        <f>IF($C25="","",VLOOKUP($C25,성분!$B$2:$O$51519,7,FALSE))/100*$P25</f>
        <v>5.7</v>
      </c>
      <c r="J25" s="168">
        <f>IF($C25="","",VLOOKUP($C25,성분!$B$2:$O$51519,8,FALSE))/100*$P25</f>
        <v>0.06</v>
      </c>
      <c r="K25" s="168">
        <f>IF($C25="","",VLOOKUP($C25,성분!$B$2:$O$51519,9,FALSE))/100*$P25</f>
        <v>0.44999999999999996</v>
      </c>
      <c r="L25" s="168">
        <f>IF($C25="","",VLOOKUP($C25,성분!$B$2:$O$51519,10,FALSE))/100*$P25</f>
        <v>6.0000000000000001E-3</v>
      </c>
      <c r="M25" s="168">
        <f>IF($C25="","",VLOOKUP($C25,성분!$B$2:$O$51519,11,FALSE))/100*$P25</f>
        <v>6.0000000000000001E-3</v>
      </c>
      <c r="N25" s="168">
        <f>IF($C25="","",VLOOKUP($C25,성분!$B$2:$O$51519,12,FALSE))/100*$P25</f>
        <v>4.4999999999999998E-2</v>
      </c>
      <c r="O25" s="167">
        <f>IF($C25="","",VLOOKUP($C25,성분!$B$2:$O$51519,13,FALSE))/100*$P25</f>
        <v>4.3499999999999996</v>
      </c>
      <c r="P25" s="38">
        <f t="shared" si="0"/>
        <v>15</v>
      </c>
      <c r="Q25" s="17">
        <f t="shared" si="1"/>
        <v>6.12</v>
      </c>
      <c r="R25" s="18"/>
    </row>
    <row r="26" spans="1:18" customFormat="1" ht="27.75" customHeight="1">
      <c r="A26" s="42">
        <f t="shared" si="3"/>
        <v>16</v>
      </c>
      <c r="B26" s="30"/>
      <c r="C26" s="22" t="s">
        <v>2263</v>
      </c>
      <c r="D26" s="16">
        <v>7</v>
      </c>
      <c r="E26" s="168">
        <f>IF($C26="","",VLOOKUP($C26,성분!$B$2:$O$51519,3,FALSE))/100*P26</f>
        <v>0.91</v>
      </c>
      <c r="F26" s="168">
        <f>IF($C26="","",VLOOKUP($C26,성분!$B$2:$O$51519,5,FALSE))/100*$P26</f>
        <v>0.31220000000000003</v>
      </c>
      <c r="G26" s="168">
        <f>IF($C26="","",VLOOKUP($C26,성분!$B$2:$O$51519,4,FALSE))/100*$P26</f>
        <v>0</v>
      </c>
      <c r="H26" s="168">
        <f>IF($C26="","",VLOOKUP($C26,성분!$B$2:$O$51519,6,FALSE))/100*$P26</f>
        <v>2.5899999999999999E-2</v>
      </c>
      <c r="I26" s="168">
        <f>IF($C26="","",VLOOKUP($C26,성분!$B$2:$O$51519,7,FALSE))/100*$P26</f>
        <v>5.25</v>
      </c>
      <c r="J26" s="168">
        <f>IF($C26="","",VLOOKUP($C26,성분!$B$2:$O$51519,8,FALSE))/100*$P26</f>
        <v>5.6000000000000001E-2</v>
      </c>
      <c r="K26" s="168">
        <f>IF($C26="","",VLOOKUP($C26,성분!$B$2:$O$51519,9,FALSE))/100*$P26</f>
        <v>8.4</v>
      </c>
      <c r="L26" s="168">
        <f>IF($C26="","",VLOOKUP($C26,성분!$B$2:$O$51519,10,FALSE))/100*$P26</f>
        <v>3.5000000000000001E-3</v>
      </c>
      <c r="M26" s="168">
        <f>IF($C26="","",VLOOKUP($C26,성분!$B$2:$O$51519,11,FALSE))/100*$P26</f>
        <v>5.5999999999999999E-3</v>
      </c>
      <c r="N26" s="168">
        <f>IF($C26="","",VLOOKUP($C26,성분!$B$2:$O$51519,12,FALSE))/100*$P26</f>
        <v>2.8000000000000001E-2</v>
      </c>
      <c r="O26" s="167">
        <f>IF($C26="","",VLOOKUP($C26,성분!$B$2:$O$51519,13,FALSE))/100*$P26</f>
        <v>1.68</v>
      </c>
      <c r="P26" s="38">
        <f t="shared" si="0"/>
        <v>7</v>
      </c>
      <c r="Q26" s="17">
        <f t="shared" si="1"/>
        <v>2.8559999999999999</v>
      </c>
      <c r="R26" s="18"/>
    </row>
    <row r="27" spans="1:18" customFormat="1" ht="27.75" customHeight="1">
      <c r="A27" s="42">
        <f t="shared" si="3"/>
        <v>17</v>
      </c>
      <c r="B27" s="30" t="s">
        <v>2327</v>
      </c>
      <c r="C27" s="22" t="s">
        <v>2400</v>
      </c>
      <c r="D27" s="16">
        <v>125</v>
      </c>
      <c r="E27" s="168">
        <f>IF($C27="","",VLOOKUP($C27,성분!$B$2:$O$51519,3,FALSE))/100*P27</f>
        <v>51.25</v>
      </c>
      <c r="F27" s="168">
        <f>IF($C27="","",VLOOKUP($C27,성분!$B$2:$O$51519,5,FALSE))/100*$P27</f>
        <v>5.875</v>
      </c>
      <c r="G27" s="168">
        <f>IF($C27="","",VLOOKUP($C27,성분!$B$2:$O$51519,4,FALSE))/100*$P27</f>
        <v>6.5000000000000009</v>
      </c>
      <c r="H27" s="168">
        <f>IF($C27="","",VLOOKUP($C27,성분!$B$2:$O$51519,6,FALSE))/100*$P27</f>
        <v>4.375</v>
      </c>
      <c r="I27" s="168">
        <f>IF($C27="","",VLOOKUP($C27,성분!$B$2:$O$51519,7,FALSE))/100*$P27</f>
        <v>77.5</v>
      </c>
      <c r="J27" s="168">
        <f>IF($C27="","",VLOOKUP($C27,성분!$B$2:$O$51519,8,FALSE))/100*$P27</f>
        <v>1.7499999999999998</v>
      </c>
      <c r="K27" s="168">
        <f>IF($C27="","",VLOOKUP($C27,성분!$B$2:$O$51519,9,FALSE))/100*$P27</f>
        <v>0</v>
      </c>
      <c r="L27" s="168">
        <f>IF($C27="","",VLOOKUP($C27,성분!$B$2:$O$51519,10,FALSE))/100*$P27</f>
        <v>2.5000000000000001E-2</v>
      </c>
      <c r="M27" s="168">
        <f>IF($C27="","",VLOOKUP($C27,성분!$B$2:$O$51519,11,FALSE))/100*$P27</f>
        <v>3.7499999999999999E-2</v>
      </c>
      <c r="N27" s="168">
        <f>IF($C27="","",VLOOKUP($C27,성분!$B$2:$O$51519,12,FALSE))/100*$P27</f>
        <v>0.375</v>
      </c>
      <c r="O27" s="167">
        <f>IF($C27="","",VLOOKUP($C27,성분!$B$2:$O$51519,13,FALSE))/100*$P27</f>
        <v>0</v>
      </c>
      <c r="P27" s="38">
        <f t="shared" si="0"/>
        <v>125</v>
      </c>
      <c r="Q27" s="17">
        <f t="shared" si="1"/>
        <v>51</v>
      </c>
      <c r="R27" s="18"/>
    </row>
    <row r="28" spans="1:18" customFormat="1" ht="27.75" customHeight="1">
      <c r="A28" s="42">
        <f t="shared" si="3"/>
        <v>18</v>
      </c>
      <c r="B28" s="30"/>
      <c r="C28" s="22" t="s">
        <v>2328</v>
      </c>
      <c r="D28" s="16">
        <v>4</v>
      </c>
      <c r="E28" s="168">
        <f>IF($C28="","",VLOOKUP($C28,성분!$B$2:$O$51519,3,FALSE))/100*P28</f>
        <v>10.92</v>
      </c>
      <c r="F28" s="168">
        <f>IF($C28="","",VLOOKUP($C28,성분!$B$2:$O$51519,5,FALSE))/100*$P28</f>
        <v>1.72</v>
      </c>
      <c r="G28" s="168">
        <f>IF($C28="","",VLOOKUP($C28,성분!$B$2:$O$51519,4,FALSE))/100*$P28</f>
        <v>0.84</v>
      </c>
      <c r="H28" s="168">
        <f>IF($C28="","",VLOOKUP($C28,성분!$B$2:$O$51519,6,FALSE))/100*$P28</f>
        <v>0.08</v>
      </c>
      <c r="I28" s="168">
        <f>IF($C28="","",VLOOKUP($C28,성분!$B$2:$O$51519,7,FALSE))/100*$P28</f>
        <v>0</v>
      </c>
      <c r="J28" s="168">
        <f>IF($C28="","",VLOOKUP($C28,성분!$B$2:$O$51519,8,FALSE))/100*$P28</f>
        <v>0</v>
      </c>
      <c r="K28" s="168">
        <f>IF($C28="","",VLOOKUP($C28,성분!$B$2:$O$51519,9,FALSE))/100*$P28</f>
        <v>0</v>
      </c>
      <c r="L28" s="168">
        <f>IF($C28="","",VLOOKUP($C28,성분!$B$2:$O$51519,10,FALSE))/100*$P28</f>
        <v>0</v>
      </c>
      <c r="M28" s="168">
        <f>IF($C28="","",VLOOKUP($C28,성분!$B$2:$O$51519,11,FALSE))/100*$P28</f>
        <v>0</v>
      </c>
      <c r="N28" s="168">
        <f>IF($C28="","",VLOOKUP($C28,성분!$B$2:$O$51519,12,FALSE))/100*$P28</f>
        <v>0</v>
      </c>
      <c r="O28" s="167">
        <f>IF($C28="","",VLOOKUP($C28,성분!$B$2:$O$51519,13,FALSE))/100*$P28</f>
        <v>0</v>
      </c>
      <c r="P28" s="38">
        <f t="shared" si="0"/>
        <v>4</v>
      </c>
      <c r="Q28" s="17">
        <f t="shared" si="1"/>
        <v>1.6319999999999999</v>
      </c>
      <c r="R28" s="18"/>
    </row>
    <row r="29" spans="1:18" customFormat="1" ht="27.75" customHeight="1">
      <c r="A29" s="42">
        <f t="shared" si="3"/>
        <v>19</v>
      </c>
      <c r="B29" s="30"/>
      <c r="C29" s="22" t="s">
        <v>1242</v>
      </c>
      <c r="D29" s="16">
        <v>4</v>
      </c>
      <c r="E29" s="168">
        <f>IF($C29="","",VLOOKUP($C29,성분!$B$2:$O$51519,3,FALSE))/100*P29</f>
        <v>0.96</v>
      </c>
      <c r="F29" s="168">
        <f>IF($C29="","",VLOOKUP($C29,성분!$B$2:$O$51519,5,FALSE))/100*$P29</f>
        <v>0.17760000000000001</v>
      </c>
      <c r="G29" s="168">
        <f>IF($C29="","",VLOOKUP($C29,성분!$B$2:$O$51519,4,FALSE))/100*$P29</f>
        <v>0</v>
      </c>
      <c r="H29" s="168">
        <f>IF($C29="","",VLOOKUP($C29,성분!$B$2:$O$51519,6,FALSE))/100*$P29</f>
        <v>3.2000000000000002E-3</v>
      </c>
      <c r="I29" s="168">
        <f>IF($C29="","",VLOOKUP($C29,성분!$B$2:$O$51519,7,FALSE))/100*$P29</f>
        <v>0.32</v>
      </c>
      <c r="J29" s="168">
        <f>IF($C29="","",VLOOKUP($C29,성분!$B$2:$O$51519,8,FALSE))/100*$P29</f>
        <v>2.7999999999999997E-2</v>
      </c>
      <c r="K29" s="168">
        <f>IF($C29="","",VLOOKUP($C29,성분!$B$2:$O$51519,9,FALSE))/100*$P29</f>
        <v>15.56</v>
      </c>
      <c r="L29" s="168">
        <f>IF($C29="","",VLOOKUP($C29,성분!$B$2:$O$51519,10,FALSE))/100*$P29</f>
        <v>2.3999999999999998E-3</v>
      </c>
      <c r="M29" s="168">
        <f>IF($C29="","",VLOOKUP($C29,성분!$B$2:$O$51519,11,FALSE))/100*$P29</f>
        <v>3.5999999999999999E-3</v>
      </c>
      <c r="N29" s="168">
        <f>IF($C29="","",VLOOKUP($C29,성분!$B$2:$O$51519,12,FALSE))/100*$P29</f>
        <v>4.4000000000000004E-2</v>
      </c>
      <c r="O29" s="167">
        <f>IF($C29="","",VLOOKUP($C29,성분!$B$2:$O$51519,13,FALSE))/100*$P29</f>
        <v>7.64</v>
      </c>
      <c r="P29" s="38">
        <f t="shared" si="0"/>
        <v>4</v>
      </c>
      <c r="Q29" s="17">
        <f t="shared" si="1"/>
        <v>1.6319999999999999</v>
      </c>
      <c r="R29" s="18"/>
    </row>
    <row r="30" spans="1:18" customFormat="1" ht="27.75" customHeight="1">
      <c r="A30" s="42">
        <f t="shared" si="3"/>
        <v>20</v>
      </c>
      <c r="B30" s="30"/>
      <c r="C30" s="22" t="s">
        <v>2231</v>
      </c>
      <c r="D30" s="16">
        <v>5</v>
      </c>
      <c r="E30" s="168">
        <f>IF($C30="","",VLOOKUP($C30,성분!$B$2:$O$51519,3,FALSE))/100*P30</f>
        <v>5.5</v>
      </c>
      <c r="F30" s="168">
        <f>IF($C30="","",VLOOKUP($C30,성분!$B$2:$O$51519,5,FALSE))/100*$P30</f>
        <v>1</v>
      </c>
      <c r="G30" s="168">
        <f>IF($C30="","",VLOOKUP($C30,성분!$B$2:$O$51519,4,FALSE))/100*$P30</f>
        <v>0.1</v>
      </c>
      <c r="H30" s="168">
        <f>IF($C30="","",VLOOKUP($C30,성분!$B$2:$O$51519,6,FALSE))/100*$P30</f>
        <v>0.12</v>
      </c>
      <c r="I30" s="168">
        <f>IF($C30="","",VLOOKUP($C30,성분!$B$2:$O$51519,7,FALSE))/100*$P30</f>
        <v>0</v>
      </c>
      <c r="J30" s="168">
        <f>IF($C30="","",VLOOKUP($C30,성분!$B$2:$O$51519,8,FALSE))/100*$P30</f>
        <v>0</v>
      </c>
      <c r="K30" s="168">
        <f>IF($C30="","",VLOOKUP($C30,성분!$B$2:$O$51519,9,FALSE))/100*$P30</f>
        <v>0</v>
      </c>
      <c r="L30" s="168">
        <f>IF($C30="","",VLOOKUP($C30,성분!$B$2:$O$51519,10,FALSE))/100*$P30</f>
        <v>0</v>
      </c>
      <c r="M30" s="168">
        <f>IF($C30="","",VLOOKUP($C30,성분!$B$2:$O$51519,11,FALSE))/100*$P30</f>
        <v>0</v>
      </c>
      <c r="N30" s="168">
        <f>IF($C30="","",VLOOKUP($C30,성분!$B$2:$O$51519,12,FALSE))/100*$P30</f>
        <v>0</v>
      </c>
      <c r="O30" s="167">
        <f>IF($C30="","",VLOOKUP($C30,성분!$B$2:$O$51519,13,FALSE))/100*$P30</f>
        <v>0</v>
      </c>
      <c r="P30" s="38">
        <f t="shared" si="0"/>
        <v>5</v>
      </c>
      <c r="Q30" s="17">
        <f t="shared" si="1"/>
        <v>2.04</v>
      </c>
      <c r="R30" s="18"/>
    </row>
    <row r="31" spans="1:18" customFormat="1" ht="27.75" customHeight="1">
      <c r="A31" s="42">
        <f t="shared" si="3"/>
        <v>21</v>
      </c>
      <c r="B31" s="30" t="s">
        <v>2475</v>
      </c>
      <c r="C31" s="22" t="s">
        <v>2476</v>
      </c>
      <c r="D31" s="16">
        <v>40</v>
      </c>
      <c r="E31" s="168">
        <f>IF($C31="","",VLOOKUP($C31,성분!$B$2:$O$51519,3,FALSE))/100*P31</f>
        <v>64.52000000000001</v>
      </c>
      <c r="F31" s="168">
        <f>IF($C31="","",VLOOKUP($C31,성분!$B$2:$O$51519,5,FALSE))/100*$P31</f>
        <v>4.96</v>
      </c>
      <c r="G31" s="168">
        <f>IF($C31="","",VLOOKUP($C31,성분!$B$2:$O$51519,4,FALSE))/100*$P31</f>
        <v>2.6</v>
      </c>
      <c r="H31" s="168">
        <f>IF($C31="","",VLOOKUP($C31,성분!$B$2:$O$51519,6,FALSE))/100*$P31</f>
        <v>0.27999999999999997</v>
      </c>
      <c r="I31" s="168">
        <f>IF($C31="","",VLOOKUP($C31,성분!$B$2:$O$51519,7,FALSE))/100*$P31</f>
        <v>40.96</v>
      </c>
      <c r="J31" s="168">
        <f>IF($C31="","",VLOOKUP($C31,성분!$B$2:$O$51519,8,FALSE))/100*$P31</f>
        <v>1.04</v>
      </c>
      <c r="K31" s="168">
        <f>IF($C31="","",VLOOKUP($C31,성분!$B$2:$O$51519,9,FALSE))/100*$P31</f>
        <v>0</v>
      </c>
      <c r="L31" s="168">
        <f>IF($C31="","",VLOOKUP($C31,성분!$B$2:$O$51519,10,FALSE))/100*$P31</f>
        <v>0.04</v>
      </c>
      <c r="M31" s="168">
        <f>IF($C31="","",VLOOKUP($C31,성분!$B$2:$O$51519,11,FALSE))/100*$P31</f>
        <v>0.04</v>
      </c>
      <c r="N31" s="168">
        <f>IF($C31="","",VLOOKUP($C31,성분!$B$2:$O$51519,12,FALSE))/100*$P31</f>
        <v>9.1999999999999998E-2</v>
      </c>
      <c r="O31" s="167">
        <f>IF($C31="","",VLOOKUP($C31,성분!$B$2:$O$51519,13,FALSE))/100*$P31</f>
        <v>0</v>
      </c>
      <c r="P31" s="38">
        <f t="shared" si="0"/>
        <v>40</v>
      </c>
      <c r="Q31" s="17">
        <f t="shared" si="1"/>
        <v>16.32</v>
      </c>
      <c r="R31" s="18"/>
    </row>
    <row r="32" spans="1:18" customFormat="1" ht="27.75" customHeight="1">
      <c r="A32" s="42">
        <f t="shared" si="3"/>
        <v>22</v>
      </c>
      <c r="B32" s="30"/>
      <c r="C32" s="22" t="s">
        <v>1190</v>
      </c>
      <c r="D32" s="16">
        <v>3</v>
      </c>
      <c r="E32" s="168">
        <f>IF($C32="","",VLOOKUP($C32,성분!$B$2:$O$51519,3,FALSE))/100*P32</f>
        <v>1.0499999999999998</v>
      </c>
      <c r="F32" s="168">
        <f>IF($C32="","",VLOOKUP($C32,성분!$B$2:$O$51519,5,FALSE))/100*$P32</f>
        <v>0.2298</v>
      </c>
      <c r="G32" s="168">
        <f>IF($C32="","",VLOOKUP($C32,성분!$B$2:$O$51519,4,FALSE))/100*$P32</f>
        <v>0.03</v>
      </c>
      <c r="H32" s="168">
        <f>IF($C32="","",VLOOKUP($C32,성분!$B$2:$O$51519,6,FALSE))/100*$P32</f>
        <v>5.7000000000000002E-3</v>
      </c>
      <c r="I32" s="168">
        <f>IF($C32="","",VLOOKUP($C32,성분!$B$2:$O$51519,7,FALSE))/100*$P32</f>
        <v>0.44999999999999996</v>
      </c>
      <c r="J32" s="168">
        <f>IF($C32="","",VLOOKUP($C32,성분!$B$2:$O$51519,8,FALSE))/100*$P32</f>
        <v>9.0000000000000011E-3</v>
      </c>
      <c r="K32" s="168">
        <f>IF($C32="","",VLOOKUP($C32,성분!$B$2:$O$51519,9,FALSE))/100*$P32</f>
        <v>0</v>
      </c>
      <c r="L32" s="168">
        <f>IF($C32="","",VLOOKUP($C32,성분!$B$2:$O$51519,10,FALSE))/100*$P32</f>
        <v>1.2000000000000001E-3</v>
      </c>
      <c r="M32" s="168">
        <f>IF($C32="","",VLOOKUP($C32,성분!$B$2:$O$51519,11,FALSE))/100*$P32</f>
        <v>3.0000000000000003E-4</v>
      </c>
      <c r="N32" s="168">
        <f>IF($C32="","",VLOOKUP($C32,성분!$B$2:$O$51519,12,FALSE))/100*$P32</f>
        <v>6.0000000000000001E-3</v>
      </c>
      <c r="O32" s="167">
        <f>IF($C32="","",VLOOKUP($C32,성분!$B$2:$O$51519,13,FALSE))/100*$P32</f>
        <v>0.24</v>
      </c>
      <c r="P32" s="165">
        <f t="shared" si="0"/>
        <v>3</v>
      </c>
      <c r="Q32" s="17">
        <f t="shared" si="1"/>
        <v>1.224</v>
      </c>
      <c r="R32" s="18"/>
    </row>
    <row r="33" spans="1:19" customFormat="1" ht="27.75" customHeight="1">
      <c r="A33" s="42">
        <f t="shared" si="3"/>
        <v>23</v>
      </c>
      <c r="B33" s="132"/>
      <c r="C33" s="130" t="s">
        <v>1980</v>
      </c>
      <c r="D33" s="128">
        <v>2</v>
      </c>
      <c r="E33" s="168">
        <f>IF($C33="","",VLOOKUP($C33,성분!$B$2:$O$51519,3,FALSE))/100*P33</f>
        <v>0.68</v>
      </c>
      <c r="F33" s="168">
        <f>IF($C33="","",VLOOKUP($C33,성분!$B$2:$O$51519,5,FALSE))/100*$P33</f>
        <v>0.1406</v>
      </c>
      <c r="G33" s="168">
        <f>IF($C33="","",VLOOKUP($C33,성분!$B$2:$O$51519,4,FALSE))/100*$P33</f>
        <v>0.02</v>
      </c>
      <c r="H33" s="168">
        <f>IF($C33="","",VLOOKUP($C33,성분!$B$2:$O$51519,6,FALSE))/100*$P33</f>
        <v>2.5999999999999999E-3</v>
      </c>
      <c r="I33" s="168">
        <f>IF($C33="","",VLOOKUP($C33,성분!$B$2:$O$51519,7,FALSE))/100*$P33</f>
        <v>0.76</v>
      </c>
      <c r="J33" s="168">
        <f>IF($C33="","",VLOOKUP($C33,성분!$B$2:$O$51519,8,FALSE))/100*$P33</f>
        <v>1.3999999999999999E-2</v>
      </c>
      <c r="K33" s="168">
        <f>IF($C33="","",VLOOKUP($C33,성분!$B$2:$O$51519,9,FALSE))/100*$P33</f>
        <v>25.14</v>
      </c>
      <c r="L33" s="168">
        <f>IF($C33="","",VLOOKUP($C33,성분!$B$2:$O$51519,10,FALSE))/100*$P33</f>
        <v>1.1999999999999999E-3</v>
      </c>
      <c r="M33" s="168">
        <f>IF($C33="","",VLOOKUP($C33,성분!$B$2:$O$51519,11,FALSE))/100*$P33</f>
        <v>8.0000000000000004E-4</v>
      </c>
      <c r="N33" s="168">
        <f>IF($C33="","",VLOOKUP($C33,성분!$B$2:$O$51519,12,FALSE))/100*$P33</f>
        <v>1.6E-2</v>
      </c>
      <c r="O33" s="167">
        <f>IF($C33="","",VLOOKUP($C33,성분!$B$2:$O$51519,13,FALSE))/100*$P33</f>
        <v>0.12</v>
      </c>
      <c r="P33" s="165">
        <f t="shared" si="0"/>
        <v>2</v>
      </c>
      <c r="Q33" s="17">
        <f t="shared" si="1"/>
        <v>0.81599999999999995</v>
      </c>
      <c r="R33" s="18"/>
    </row>
    <row r="34" spans="1:19" s="121" customFormat="1" ht="27.75" customHeight="1">
      <c r="A34" s="126">
        <v>23</v>
      </c>
      <c r="B34" s="131" t="s">
        <v>1084</v>
      </c>
      <c r="C34" s="133" t="s">
        <v>1084</v>
      </c>
      <c r="D34" s="128">
        <v>30</v>
      </c>
      <c r="E34" s="168">
        <f>IF($C34="","",VLOOKUP($C34,성분!$B$2:$O$51519,3,FALSE))/100*P34</f>
        <v>15</v>
      </c>
      <c r="F34" s="168">
        <f>IF($C34="","",VLOOKUP($C34,성분!$B$2:$O$51519,5,FALSE))/100*$P34</f>
        <v>1.32</v>
      </c>
      <c r="G34" s="168">
        <f>IF($C34="","",VLOOKUP($C34,성분!$B$2:$O$51519,4,FALSE))/100*$P34</f>
        <v>0.6</v>
      </c>
      <c r="H34" s="168">
        <f>IF($C34="","",VLOOKUP($C34,성분!$B$2:$O$51519,6,FALSE))/100*$P34</f>
        <v>0.06</v>
      </c>
      <c r="I34" s="168">
        <f>IF($C34="","",VLOOKUP($C34,성분!$B$2:$O$51519,7,FALSE))/100*$P34</f>
        <v>14.1</v>
      </c>
      <c r="J34" s="168">
        <f>IF($C34="","",VLOOKUP($C34,성분!$B$2:$O$51519,8,FALSE))/100*$P34</f>
        <v>0.89999999999999991</v>
      </c>
      <c r="K34" s="168">
        <f>IF($C34="","",VLOOKUP($C34,성분!$B$2:$O$51519,9,FALSE))/100*$P34</f>
        <v>14.399999999999999</v>
      </c>
      <c r="L34" s="168">
        <f>IF($C34="","",VLOOKUP($C34,성분!$B$2:$O$51519,10,FALSE))/100*$P34</f>
        <v>1.7999999999999999E-2</v>
      </c>
      <c r="M34" s="168">
        <f>IF($C34="","",VLOOKUP($C34,성분!$B$2:$O$51519,11,FALSE))/100*$P34</f>
        <v>1.7999999999999999E-2</v>
      </c>
      <c r="N34" s="168">
        <f>IF($C34="","",VLOOKUP($C34,성분!$B$2:$O$51519,12,FALSE))/100*$P34</f>
        <v>0.24</v>
      </c>
      <c r="O34" s="167">
        <f>IF($C34="","",VLOOKUP($C34,성분!$B$2:$O$51519,13,FALSE))/100*$P34</f>
        <v>4.2</v>
      </c>
      <c r="P34" s="165">
        <f t="shared" si="0"/>
        <v>30</v>
      </c>
      <c r="Q34" s="123"/>
      <c r="R34" s="18"/>
    </row>
    <row r="35" spans="1:19" s="121" customFormat="1" ht="27.75" customHeight="1">
      <c r="A35" s="126">
        <v>24</v>
      </c>
      <c r="B35" s="131" t="s">
        <v>2330</v>
      </c>
      <c r="C35" s="133" t="s">
        <v>2401</v>
      </c>
      <c r="D35" s="128">
        <v>110</v>
      </c>
      <c r="E35" s="168">
        <f>IF($C35="","",VLOOKUP($C35,성분!$B$2:$O$51519,3,FALSE))/100*P35</f>
        <v>51.699999999999996</v>
      </c>
      <c r="F35" s="168">
        <f>IF($C35="","",VLOOKUP($C35,성분!$B$2:$O$51519,5,FALSE))/100*$P35</f>
        <v>11.440000000000001</v>
      </c>
      <c r="G35" s="168">
        <f>IF($C35="","",VLOOKUP($C35,성분!$B$2:$O$51519,4,FALSE))/100*$P35</f>
        <v>0.66</v>
      </c>
      <c r="H35" s="168">
        <f>IF($C35="","",VLOOKUP($C35,성분!$B$2:$O$51519,6,FALSE))/100*$P35</f>
        <v>0.11</v>
      </c>
      <c r="I35" s="168">
        <f>IF($C35="","",VLOOKUP($C35,성분!$B$2:$O$51519,7,FALSE))/100*$P35</f>
        <v>12.1</v>
      </c>
      <c r="J35" s="168">
        <f>IF($C35="","",VLOOKUP($C35,성분!$B$2:$O$51519,8,FALSE))/100*$P35</f>
        <v>0.22</v>
      </c>
      <c r="K35" s="168">
        <f>IF($C35="","",VLOOKUP($C35,성분!$B$2:$O$51519,9,FALSE))/100*$P35</f>
        <v>19.8</v>
      </c>
      <c r="L35" s="168">
        <f>IF($C35="","",VLOOKUP($C35,성분!$B$2:$O$51519,10,FALSE))/100*$P35</f>
        <v>9.8999999999999991E-2</v>
      </c>
      <c r="M35" s="168">
        <f>IF($C35="","",VLOOKUP($C35,성분!$B$2:$O$51519,11,FALSE))/100*$P35</f>
        <v>3.2999999999999995E-2</v>
      </c>
      <c r="N35" s="168">
        <f>IF($C35="","",VLOOKUP($C35,성분!$B$2:$O$51519,12,FALSE))/100*$P35</f>
        <v>1.87</v>
      </c>
      <c r="O35" s="167">
        <f>IF($C35="","",VLOOKUP($C35,성분!$B$2:$O$51519,13,FALSE))/100*$P35</f>
        <v>27.5</v>
      </c>
      <c r="P35" s="165">
        <f t="shared" si="0"/>
        <v>110</v>
      </c>
      <c r="Q35" s="123"/>
      <c r="R35" s="18"/>
    </row>
    <row r="36" spans="1:19" customFormat="1" ht="32.25" customHeight="1">
      <c r="A36" s="235" t="s">
        <v>1628</v>
      </c>
      <c r="B36" s="236"/>
      <c r="C36" s="236"/>
      <c r="D36" s="237"/>
      <c r="E36" s="19">
        <f t="shared" ref="E36:O36" si="11">SUM(E11:E35)</f>
        <v>799.67</v>
      </c>
      <c r="F36" s="19">
        <f t="shared" si="11"/>
        <v>150.83000000000001</v>
      </c>
      <c r="G36" s="19">
        <f t="shared" si="11"/>
        <v>36.604000000000006</v>
      </c>
      <c r="H36" s="19">
        <f t="shared" si="11"/>
        <v>26.618900000000004</v>
      </c>
      <c r="I36" s="44">
        <f t="shared" si="11"/>
        <v>263.74</v>
      </c>
      <c r="J36" s="19">
        <f t="shared" si="11"/>
        <v>7.7569999999999988</v>
      </c>
      <c r="K36" s="44">
        <f t="shared" si="11"/>
        <v>402.71</v>
      </c>
      <c r="L36" s="19">
        <f t="shared" si="11"/>
        <v>0.65380000000000005</v>
      </c>
      <c r="M36" s="19">
        <f t="shared" si="11"/>
        <v>0.36799999999999999</v>
      </c>
      <c r="N36" s="19">
        <f t="shared" si="11"/>
        <v>8.2339999999999982</v>
      </c>
      <c r="O36" s="19">
        <f t="shared" si="11"/>
        <v>50.87</v>
      </c>
      <c r="P36" s="38">
        <f t="shared" si="0"/>
        <v>0</v>
      </c>
      <c r="Q36" s="17">
        <f t="shared" si="1"/>
        <v>0</v>
      </c>
      <c r="R36" s="18">
        <f t="shared" si="2"/>
        <v>0</v>
      </c>
    </row>
    <row r="37" spans="1:19" s="21" customFormat="1" ht="32.25" customHeight="1">
      <c r="A37" s="238" t="s">
        <v>1790</v>
      </c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7"/>
      <c r="P37" s="20"/>
      <c r="Q37"/>
      <c r="R37" s="18">
        <f>INT(Q37)</f>
        <v>0</v>
      </c>
    </row>
    <row r="38" spans="1:19" customFormat="1" ht="19.5" customHeight="1">
      <c r="A38" s="220" t="s">
        <v>1629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2"/>
      <c r="S38" s="18">
        <f>INT(R38)</f>
        <v>0</v>
      </c>
    </row>
    <row r="39" spans="1:19" customFormat="1" ht="20.100000000000001" customHeight="1">
      <c r="A39" s="247" t="s">
        <v>1630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9"/>
      <c r="P39" s="244" t="s">
        <v>5</v>
      </c>
      <c r="Q39" s="245"/>
      <c r="R39" s="250">
        <v>5000</v>
      </c>
      <c r="S39" s="250"/>
    </row>
    <row r="40" spans="1:19" customFormat="1" ht="20.100000000000001" customHeight="1">
      <c r="A40" s="251" t="s">
        <v>1769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3"/>
      <c r="P40" s="244" t="s">
        <v>6</v>
      </c>
      <c r="Q40" s="245"/>
      <c r="R40" s="250">
        <f>R39*0.72</f>
        <v>3600</v>
      </c>
      <c r="S40" s="250"/>
    </row>
    <row r="41" spans="1:19" customFormat="1" ht="20.100000000000001" customHeight="1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3"/>
      <c r="P41" s="244" t="s">
        <v>1631</v>
      </c>
      <c r="Q41" s="245"/>
      <c r="R41" s="246">
        <v>0.72</v>
      </c>
      <c r="S41" s="246"/>
    </row>
    <row r="42" spans="1:19" customFormat="1" ht="20.100000000000001" customHeight="1">
      <c r="C42" s="3"/>
      <c r="D42" s="24"/>
      <c r="E42" s="25"/>
      <c r="F42" s="25"/>
      <c r="G42" s="22">
        <v>667</v>
      </c>
      <c r="H42" s="22">
        <v>15</v>
      </c>
      <c r="I42" s="22">
        <v>300</v>
      </c>
      <c r="J42" s="22">
        <v>5.4</v>
      </c>
      <c r="K42" s="22">
        <v>234</v>
      </c>
      <c r="L42" s="22">
        <v>0.34</v>
      </c>
      <c r="M42" s="22">
        <v>0.4</v>
      </c>
      <c r="N42" s="22">
        <v>5.26</v>
      </c>
      <c r="O42" s="22">
        <v>33.4</v>
      </c>
      <c r="P42" s="104"/>
      <c r="Q42" s="104"/>
      <c r="R42" s="23"/>
      <c r="S42" s="23"/>
    </row>
    <row r="43" spans="1:19" customFormat="1" ht="20.100000000000001" customHeight="1">
      <c r="A43" s="2"/>
      <c r="B43" s="2"/>
      <c r="C43" s="3"/>
      <c r="D43" s="4"/>
      <c r="E43" s="5"/>
      <c r="F43" s="5"/>
      <c r="G43" s="5"/>
      <c r="H43" s="5"/>
      <c r="I43" s="5"/>
      <c r="J43" s="2"/>
      <c r="K43" s="5"/>
      <c r="L43" s="5"/>
      <c r="M43" s="5"/>
      <c r="N43" s="5"/>
      <c r="O43" s="6"/>
    </row>
    <row r="44" spans="1:19" customFormat="1" ht="20.100000000000001" customHeight="1">
      <c r="A44" s="2"/>
      <c r="B44" s="2"/>
      <c r="C44" s="2"/>
      <c r="D44" s="4"/>
      <c r="E44" s="2"/>
      <c r="F44" s="2"/>
      <c r="G44" s="5"/>
      <c r="H44" s="5"/>
      <c r="I44" s="5"/>
      <c r="J44" s="5"/>
      <c r="K44" s="5"/>
      <c r="L44" s="5"/>
      <c r="M44" s="5"/>
      <c r="N44" s="5"/>
      <c r="O44" s="6"/>
    </row>
    <row r="45" spans="1:19" ht="12">
      <c r="C45" s="2"/>
    </row>
    <row r="46" spans="1:19" ht="12">
      <c r="C46" s="2"/>
    </row>
    <row r="1352" spans="4:4">
      <c r="D1352" s="2">
        <v>240</v>
      </c>
    </row>
  </sheetData>
  <mergeCells count="41">
    <mergeCell ref="P39:Q39"/>
    <mergeCell ref="A40:O40"/>
    <mergeCell ref="P40:Q40"/>
    <mergeCell ref="R40:S40"/>
    <mergeCell ref="A41:O41"/>
    <mergeCell ref="P41:Q41"/>
    <mergeCell ref="R41:S41"/>
    <mergeCell ref="R39:S39"/>
    <mergeCell ref="P6:R7"/>
    <mergeCell ref="A7:C7"/>
    <mergeCell ref="A8:C8"/>
    <mergeCell ref="O8:O9"/>
    <mergeCell ref="A9:C9"/>
    <mergeCell ref="D9:N9"/>
    <mergeCell ref="A6:N6"/>
    <mergeCell ref="O6:O7"/>
    <mergeCell ref="M7:N7"/>
    <mergeCell ref="K7:L7"/>
    <mergeCell ref="H7:J7"/>
    <mergeCell ref="F7:G7"/>
    <mergeCell ref="D7:E7"/>
    <mergeCell ref="M8:N8"/>
    <mergeCell ref="K8:L8"/>
    <mergeCell ref="H8:J8"/>
    <mergeCell ref="A36:D36"/>
    <mergeCell ref="A37:O37"/>
    <mergeCell ref="A38:O38"/>
    <mergeCell ref="A39:O39"/>
    <mergeCell ref="N2:N4"/>
    <mergeCell ref="O2:O4"/>
    <mergeCell ref="A3:B3"/>
    <mergeCell ref="C3:D3"/>
    <mergeCell ref="L5:M5"/>
    <mergeCell ref="M2:M4"/>
    <mergeCell ref="F8:G8"/>
    <mergeCell ref="D8:E8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49CD-E838-4A97-9A13-B0305B98E8B7}">
  <sheetPr>
    <pageSetUpPr fitToPage="1"/>
  </sheetPr>
  <dimension ref="A1:S1347"/>
  <sheetViews>
    <sheetView view="pageBreakPreview" zoomScale="85" zoomScaleNormal="85" zoomScaleSheetLayoutView="85" workbookViewId="0">
      <pane xSplit="3" ySplit="10" topLeftCell="D20" activePane="bottomRight" state="frozen"/>
      <selection activeCell="K24" sqref="K24"/>
      <selection pane="topRight" activeCell="K24" sqref="K24"/>
      <selection pane="bottomLeft" activeCell="K24" sqref="K24"/>
      <selection pane="bottomRight" activeCell="D8" sqref="D8:J8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05"/>
      <c r="F1" s="105"/>
      <c r="G1" s="39"/>
      <c r="K1" s="202"/>
      <c r="L1" s="106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05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45762</v>
      </c>
      <c r="D3" s="201"/>
      <c r="E3" s="105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116</v>
      </c>
      <c r="G8" s="226"/>
      <c r="H8" s="226">
        <v>108</v>
      </c>
      <c r="I8" s="226"/>
      <c r="J8" s="226"/>
      <c r="K8" s="226">
        <f>SUM(D8:J8)</f>
        <v>406</v>
      </c>
      <c r="L8" s="226"/>
      <c r="M8" s="226">
        <v>2</v>
      </c>
      <c r="N8" s="227"/>
      <c r="O8" s="228">
        <f>K8+M8</f>
        <v>408</v>
      </c>
    </row>
    <row r="9" spans="1:18" customFormat="1" ht="20.100000000000001" customHeight="1">
      <c r="A9" s="230" t="s">
        <v>0</v>
      </c>
      <c r="B9" s="231"/>
      <c r="C9" s="232"/>
      <c r="D9" s="233" t="s">
        <v>2478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02" t="s">
        <v>1626</v>
      </c>
      <c r="Q10" s="103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IF($C11="","",VLOOKUP($C11,성분!$B$2:$O$51519,3,FALSE))/100*P11</f>
        <v>240</v>
      </c>
      <c r="F11" s="16">
        <f>IF($C11="","",VLOOKUP($C11,성분!$B$2:$O$51519,5,FALSE))/100*$P11</f>
        <v>78.5</v>
      </c>
      <c r="G11" s="16">
        <f>IF($C11="","",VLOOKUP($C11,성분!$B$2:$O$51519,4,FALSE))/100*$P11</f>
        <v>6.4</v>
      </c>
      <c r="H11" s="16">
        <f>IF($C11="","",VLOOKUP($C11,성분!$B$2:$O$51519,6,FALSE))/100*$P11</f>
        <v>0.4</v>
      </c>
      <c r="I11" s="16">
        <f>IF($C11="","",VLOOKUP($C11,성분!$B$2:$O$51519,7,FALSE))/100*$P11</f>
        <v>7.0000000000000009</v>
      </c>
      <c r="J11" s="16">
        <f>IF($C11="","",VLOOKUP($C11,성분!$B$2:$O$51519,8,FALSE))/100*$P11</f>
        <v>0.5</v>
      </c>
      <c r="K11" s="16">
        <f>IF($C11="","",VLOOKUP($C11,성분!$B$2:$O$51519,9,FALSE))/100*$P11</f>
        <v>0</v>
      </c>
      <c r="L11" s="16">
        <f>IF($C11="","",VLOOKUP($C11,성분!$B$2:$O$51519,10,FALSE))/100*$P11</f>
        <v>0.12</v>
      </c>
      <c r="M11" s="16">
        <f>IF($C11="","",VLOOKUP($C11,성분!$B$2:$O$51519,11,FALSE))/100*$P11</f>
        <v>0</v>
      </c>
      <c r="N11" s="16">
        <f>IF($C11="","",VLOOKUP($C11,성분!$B$2:$O$51519,12,FALSE))/100*$P11</f>
        <v>1.4</v>
      </c>
      <c r="O11" s="43">
        <f>IF($C11="","",VLOOKUP($C11,성분!$B$2:$O$51519,13,FALSE))/100*$P11</f>
        <v>0</v>
      </c>
      <c r="P11" s="38">
        <f t="shared" ref="P11:P31" si="0">D11</f>
        <v>100</v>
      </c>
      <c r="Q11" s="17">
        <f t="shared" ref="Q11:Q31" si="1">($O$8*P11)/1000</f>
        <v>40.799999999999997</v>
      </c>
      <c r="R11" s="18">
        <f t="shared" ref="R11:R31" si="2">INT(Q11)</f>
        <v>40</v>
      </c>
    </row>
    <row r="12" spans="1:18" customFormat="1" ht="27.75" customHeight="1">
      <c r="A12" s="42">
        <f t="shared" ref="A12:A30" si="3">ROW()-10</f>
        <v>2</v>
      </c>
      <c r="B12" s="30" t="s">
        <v>2331</v>
      </c>
      <c r="C12" s="22" t="s">
        <v>651</v>
      </c>
      <c r="D12" s="16">
        <v>100</v>
      </c>
      <c r="E12" s="168">
        <f>IF($C12="","",VLOOKUP($C12,성분!$B$2:$O$51519,3,FALSE))/100*P12</f>
        <v>47</v>
      </c>
      <c r="F12" s="168">
        <f>IF($C12="","",VLOOKUP($C12,성분!$B$2:$O$51519,5,FALSE))/100*$P12</f>
        <v>0.22999999999999998</v>
      </c>
      <c r="G12" s="168">
        <f>IF($C12="","",VLOOKUP($C12,성분!$B$2:$O$51519,4,FALSE))/100*$P12</f>
        <v>9</v>
      </c>
      <c r="H12" s="168">
        <f>IF($C12="","",VLOOKUP($C12,성분!$B$2:$O$51519,6,FALSE))/100*$P12</f>
        <v>0.61</v>
      </c>
      <c r="I12" s="168">
        <f>IF($C12="","",VLOOKUP($C12,성분!$B$2:$O$51519,7,FALSE))/100*$P12</f>
        <v>14.000000000000002</v>
      </c>
      <c r="J12" s="168">
        <f>IF($C12="","",VLOOKUP($C12,성분!$B$2:$O$51519,8,FALSE))/100*$P12</f>
        <v>0.7</v>
      </c>
      <c r="K12" s="168">
        <f>IF($C12="","",VLOOKUP($C12,성분!$B$2:$O$51519,9,FALSE))/100*$P12</f>
        <v>14.000000000000002</v>
      </c>
      <c r="L12" s="168">
        <f>IF($C12="","",VLOOKUP($C12,성분!$B$2:$O$51519,10,FALSE))/100*$P12</f>
        <v>0.03</v>
      </c>
      <c r="M12" s="168">
        <f>IF($C12="","",VLOOKUP($C12,성분!$B$2:$O$51519,11,FALSE))/100*$P12</f>
        <v>7.0000000000000007E-2</v>
      </c>
      <c r="N12" s="168">
        <f>IF($C12="","",VLOOKUP($C12,성분!$B$2:$O$51519,12,FALSE))/100*$P12</f>
        <v>1.1000000000000001</v>
      </c>
      <c r="O12" s="167">
        <f>IF($C12="","",VLOOKUP($C12,성분!$B$2:$O$51519,13,FALSE))/100*$P12</f>
        <v>0</v>
      </c>
      <c r="P12" s="38">
        <f t="shared" ref="P12" si="4">D12</f>
        <v>100</v>
      </c>
      <c r="Q12" s="17">
        <f t="shared" ref="Q12" si="5">($O$8*P12)/1000</f>
        <v>40.799999999999997</v>
      </c>
      <c r="R12" s="18">
        <f t="shared" ref="R12" si="6">INT(Q12)</f>
        <v>40</v>
      </c>
    </row>
    <row r="13" spans="1:18" customFormat="1" ht="27.75" customHeight="1">
      <c r="A13" s="42">
        <f t="shared" si="3"/>
        <v>3</v>
      </c>
      <c r="B13" s="30"/>
      <c r="C13" s="22" t="s">
        <v>1190</v>
      </c>
      <c r="D13" s="16">
        <v>20</v>
      </c>
      <c r="E13" s="168">
        <f>IF($C13="","",VLOOKUP($C13,성분!$B$2:$O$51519,3,FALSE))/100*P13</f>
        <v>7</v>
      </c>
      <c r="F13" s="168">
        <f>IF($C13="","",VLOOKUP($C13,성분!$B$2:$O$51519,5,FALSE))/100*$P13</f>
        <v>1.532</v>
      </c>
      <c r="G13" s="168">
        <f>IF($C13="","",VLOOKUP($C13,성분!$B$2:$O$51519,4,FALSE))/100*$P13</f>
        <v>0.2</v>
      </c>
      <c r="H13" s="168">
        <f>IF($C13="","",VLOOKUP($C13,성분!$B$2:$O$51519,6,FALSE))/100*$P13</f>
        <v>3.7999999999999999E-2</v>
      </c>
      <c r="I13" s="168">
        <f>IF($C13="","",VLOOKUP($C13,성분!$B$2:$O$51519,7,FALSE))/100*$P13</f>
        <v>3</v>
      </c>
      <c r="J13" s="168">
        <f>IF($C13="","",VLOOKUP($C13,성분!$B$2:$O$51519,8,FALSE))/100*$P13</f>
        <v>0.06</v>
      </c>
      <c r="K13" s="168">
        <f>IF($C13="","",VLOOKUP($C13,성분!$B$2:$O$51519,9,FALSE))/100*$P13</f>
        <v>0</v>
      </c>
      <c r="L13" s="168">
        <f>IF($C13="","",VLOOKUP($C13,성분!$B$2:$O$51519,10,FALSE))/100*$P13</f>
        <v>8.0000000000000002E-3</v>
      </c>
      <c r="M13" s="168">
        <f>IF($C13="","",VLOOKUP($C13,성분!$B$2:$O$51519,11,FALSE))/100*$P13</f>
        <v>2E-3</v>
      </c>
      <c r="N13" s="168">
        <f>IF($C13="","",VLOOKUP($C13,성분!$B$2:$O$51519,12,FALSE))/100*$P13</f>
        <v>0.04</v>
      </c>
      <c r="O13" s="167">
        <f>IF($C13="","",VLOOKUP($C13,성분!$B$2:$O$51519,13,FALSE))/100*$P13</f>
        <v>1.6</v>
      </c>
      <c r="P13" s="38">
        <f t="shared" si="0"/>
        <v>20</v>
      </c>
      <c r="Q13" s="17">
        <f t="shared" si="1"/>
        <v>8.16</v>
      </c>
      <c r="R13" s="18">
        <f t="shared" si="2"/>
        <v>8</v>
      </c>
    </row>
    <row r="14" spans="1:18" customFormat="1" ht="27.75" customHeight="1">
      <c r="A14" s="42">
        <f t="shared" si="3"/>
        <v>4</v>
      </c>
      <c r="B14" s="30"/>
      <c r="C14" s="22" t="s">
        <v>1980</v>
      </c>
      <c r="D14" s="16">
        <v>10</v>
      </c>
      <c r="E14" s="168">
        <f>IF($C14="","",VLOOKUP($C14,성분!$B$2:$O$51519,3,FALSE))/100*P14</f>
        <v>3.4000000000000004</v>
      </c>
      <c r="F14" s="168">
        <f>IF($C14="","",VLOOKUP($C14,성분!$B$2:$O$51519,5,FALSE))/100*$P14</f>
        <v>0.70300000000000007</v>
      </c>
      <c r="G14" s="168">
        <f>IF($C14="","",VLOOKUP($C14,성분!$B$2:$O$51519,4,FALSE))/100*$P14</f>
        <v>0.1</v>
      </c>
      <c r="H14" s="168">
        <f>IF($C14="","",VLOOKUP($C14,성분!$B$2:$O$51519,6,FALSE))/100*$P14</f>
        <v>1.2999999999999999E-2</v>
      </c>
      <c r="I14" s="168">
        <f>IF($C14="","",VLOOKUP($C14,성분!$B$2:$O$51519,7,FALSE))/100*$P14</f>
        <v>3.8</v>
      </c>
      <c r="J14" s="168">
        <f>IF($C14="","",VLOOKUP($C14,성분!$B$2:$O$51519,8,FALSE))/100*$P14</f>
        <v>6.9999999999999993E-2</v>
      </c>
      <c r="K14" s="168">
        <f>IF($C14="","",VLOOKUP($C14,성분!$B$2:$O$51519,9,FALSE))/100*$P14</f>
        <v>125.7</v>
      </c>
      <c r="L14" s="168">
        <f>IF($C14="","",VLOOKUP($C14,성분!$B$2:$O$51519,10,FALSE))/100*$P14</f>
        <v>5.9999999999999993E-3</v>
      </c>
      <c r="M14" s="168">
        <f>IF($C14="","",VLOOKUP($C14,성분!$B$2:$O$51519,11,FALSE))/100*$P14</f>
        <v>4.0000000000000001E-3</v>
      </c>
      <c r="N14" s="168">
        <f>IF($C14="","",VLOOKUP($C14,성분!$B$2:$O$51519,12,FALSE))/100*$P14</f>
        <v>0.08</v>
      </c>
      <c r="O14" s="167">
        <f>IF($C14="","",VLOOKUP($C14,성분!$B$2:$O$51519,13,FALSE))/100*$P14</f>
        <v>0.6</v>
      </c>
      <c r="P14" s="38">
        <f t="shared" si="0"/>
        <v>10</v>
      </c>
      <c r="Q14" s="17">
        <f t="shared" si="1"/>
        <v>4.08</v>
      </c>
      <c r="R14" s="18">
        <f t="shared" si="2"/>
        <v>4</v>
      </c>
    </row>
    <row r="15" spans="1:18" customFormat="1" ht="27.75" customHeight="1">
      <c r="A15" s="42">
        <f t="shared" si="3"/>
        <v>5</v>
      </c>
      <c r="B15" s="30"/>
      <c r="C15" s="22" t="s">
        <v>1222</v>
      </c>
      <c r="D15" s="16">
        <v>25</v>
      </c>
      <c r="E15" s="168">
        <f>IF($C15="","",VLOOKUP($C15,성분!$B$2:$O$51519,3,FALSE))/100*P15</f>
        <v>7.5</v>
      </c>
      <c r="F15" s="168">
        <f>IF($C15="","",VLOOKUP($C15,성분!$B$2:$O$51519,5,FALSE))/100*$P15</f>
        <v>0.4</v>
      </c>
      <c r="G15" s="168">
        <f>IF($C15="","",VLOOKUP($C15,성분!$B$2:$O$51519,4,FALSE))/100*$P15</f>
        <v>1.25</v>
      </c>
      <c r="H15" s="168">
        <f>IF($C15="","",VLOOKUP($C15,성분!$B$2:$O$51519,6,FALSE))/100*$P15</f>
        <v>7.4999999999999997E-2</v>
      </c>
      <c r="I15" s="168">
        <f>IF($C15="","",VLOOKUP($C15,성분!$B$2:$O$51519,7,FALSE))/100*$P15</f>
        <v>7.75</v>
      </c>
      <c r="J15" s="168">
        <f>IF($C15="","",VLOOKUP($C15,성분!$B$2:$O$51519,8,FALSE))/100*$P15</f>
        <v>0.15</v>
      </c>
      <c r="K15" s="168">
        <f>IF($C15="","",VLOOKUP($C15,성분!$B$2:$O$51519,9,FALSE))/100*$P15</f>
        <v>0</v>
      </c>
      <c r="L15" s="168">
        <f>IF($C15="","",VLOOKUP($C15,성분!$B$2:$O$51519,10,FALSE))/100*$P15</f>
        <v>2.2499999999999999E-2</v>
      </c>
      <c r="M15" s="168">
        <f>IF($C15="","",VLOOKUP($C15,성분!$B$2:$O$51519,11,FALSE))/100*$P15</f>
        <v>2.5000000000000001E-2</v>
      </c>
      <c r="N15" s="168">
        <f>IF($C15="","",VLOOKUP($C15,성분!$B$2:$O$51519,12,FALSE))/100*$P15</f>
        <v>0.17499999999999999</v>
      </c>
      <c r="O15" s="167">
        <f>IF($C15="","",VLOOKUP($C15,성분!$B$2:$O$51519,13,FALSE))/100*$P15</f>
        <v>2</v>
      </c>
      <c r="P15" s="38">
        <f t="shared" si="0"/>
        <v>25</v>
      </c>
      <c r="Q15" s="17">
        <f t="shared" si="1"/>
        <v>10.199999999999999</v>
      </c>
      <c r="R15" s="18"/>
    </row>
    <row r="16" spans="1:18" customFormat="1" ht="27.75" customHeight="1">
      <c r="A16" s="42">
        <f t="shared" si="3"/>
        <v>6</v>
      </c>
      <c r="B16" s="30"/>
      <c r="C16" s="22" t="s">
        <v>1158</v>
      </c>
      <c r="D16" s="16">
        <v>7</v>
      </c>
      <c r="E16" s="168">
        <f>IF($C16="","",VLOOKUP($C16,성분!$B$2:$O$51519,3,FALSE))/100*P16</f>
        <v>1.26</v>
      </c>
      <c r="F16" s="168">
        <f>IF($C16="","",VLOOKUP($C16,성분!$B$2:$O$51519,5,FALSE))/100*$P16</f>
        <v>0.24500000000000002</v>
      </c>
      <c r="G16" s="168">
        <f>IF($C16="","",VLOOKUP($C16,성분!$B$2:$O$51519,4,FALSE))/100*$P16</f>
        <v>8.4000000000000005E-2</v>
      </c>
      <c r="H16" s="168">
        <f>IF($C16="","",VLOOKUP($C16,성분!$B$2:$O$51519,6,FALSE))/100*$P16</f>
        <v>2.1000000000000001E-2</v>
      </c>
      <c r="I16" s="168">
        <f>IF($C16="","",VLOOKUP($C16,성분!$B$2:$O$51519,7,FALSE))/100*$P16</f>
        <v>3.9200000000000004</v>
      </c>
      <c r="J16" s="168">
        <f>IF($C16="","",VLOOKUP($C16,성분!$B$2:$O$51519,8,FALSE))/100*$P16</f>
        <v>4.8999999999999995E-2</v>
      </c>
      <c r="K16" s="168">
        <f>IF($C16="","",VLOOKUP($C16,성분!$B$2:$O$51519,9,FALSE))/100*$P16</f>
        <v>10.85</v>
      </c>
      <c r="L16" s="168">
        <f>IF($C16="","",VLOOKUP($C16,성분!$B$2:$O$51519,10,FALSE))/100*$P16</f>
        <v>4.1999999999999997E-3</v>
      </c>
      <c r="M16" s="168">
        <f>IF($C16="","",VLOOKUP($C16,성분!$B$2:$O$51519,11,FALSE))/100*$P16</f>
        <v>4.9000000000000007E-3</v>
      </c>
      <c r="N16" s="168">
        <f>IF($C16="","",VLOOKUP($C16,성분!$B$2:$O$51519,12,FALSE))/100*$P16</f>
        <v>2.5899999999999999E-2</v>
      </c>
      <c r="O16" s="167">
        <f>IF($C16="","",VLOOKUP($C16,성분!$B$2:$O$51519,13,FALSE))/100*$P16</f>
        <v>0.70000000000000007</v>
      </c>
      <c r="P16" s="38">
        <f t="shared" si="0"/>
        <v>7</v>
      </c>
      <c r="Q16" s="17">
        <f t="shared" si="1"/>
        <v>2.8559999999999999</v>
      </c>
      <c r="R16" s="18"/>
    </row>
    <row r="17" spans="1:18" customFormat="1" ht="27.75" customHeight="1">
      <c r="A17" s="42">
        <f t="shared" si="3"/>
        <v>7</v>
      </c>
      <c r="B17" s="30"/>
      <c r="C17" s="22" t="s">
        <v>1186</v>
      </c>
      <c r="D17" s="16">
        <v>12</v>
      </c>
      <c r="E17" s="168">
        <f>IF($C17="","",VLOOKUP($C17,성분!$B$2:$O$51519,3,FALSE))/100*P17</f>
        <v>3.7199999999999998</v>
      </c>
      <c r="F17" s="168">
        <f>IF($C17="","",VLOOKUP($C17,성분!$B$2:$O$51519,5,FALSE))/100*$P17</f>
        <v>0.75360000000000005</v>
      </c>
      <c r="G17" s="168">
        <f>IF($C17="","",VLOOKUP($C17,성분!$B$2:$O$51519,4,FALSE))/100*$P17</f>
        <v>0.16799999999999998</v>
      </c>
      <c r="H17" s="168">
        <f>IF($C17="","",VLOOKUP($C17,성분!$B$2:$O$51519,6,FALSE))/100*$P17</f>
        <v>0.1608</v>
      </c>
      <c r="I17" s="168">
        <f>IF($C17="","",VLOOKUP($C17,성분!$B$2:$O$51519,7,FALSE))/100*$P17</f>
        <v>4.5600000000000005</v>
      </c>
      <c r="J17" s="168">
        <f>IF($C17="","",VLOOKUP($C17,성분!$B$2:$O$51519,8,FALSE))/100*$P17</f>
        <v>4.8000000000000001E-2</v>
      </c>
      <c r="K17" s="168">
        <f>IF($C17="","",VLOOKUP($C17,성분!$B$2:$O$51519,9,FALSE))/100*$P17</f>
        <v>0.36</v>
      </c>
      <c r="L17" s="168">
        <f>IF($C17="","",VLOOKUP($C17,성분!$B$2:$O$51519,10,FALSE))/100*$P17</f>
        <v>4.8000000000000004E-3</v>
      </c>
      <c r="M17" s="168">
        <f>IF($C17="","",VLOOKUP($C17,성분!$B$2:$O$51519,11,FALSE))/100*$P17</f>
        <v>4.8000000000000004E-3</v>
      </c>
      <c r="N17" s="168">
        <f>IF($C17="","",VLOOKUP($C17,성분!$B$2:$O$51519,12,FALSE))/100*$P17</f>
        <v>3.6000000000000004E-2</v>
      </c>
      <c r="O17" s="167">
        <f>IF($C17="","",VLOOKUP($C17,성분!$B$2:$O$51519,13,FALSE))/100*$P17</f>
        <v>3.4799999999999995</v>
      </c>
      <c r="P17" s="38">
        <f t="shared" si="0"/>
        <v>12</v>
      </c>
      <c r="Q17" s="17">
        <f t="shared" si="1"/>
        <v>4.8959999999999999</v>
      </c>
      <c r="R17" s="18">
        <f t="shared" ref="R17" si="7">INT(Q17)</f>
        <v>4</v>
      </c>
    </row>
    <row r="18" spans="1:18" customFormat="1" ht="27.75" customHeight="1">
      <c r="A18" s="42">
        <f t="shared" si="3"/>
        <v>8</v>
      </c>
      <c r="B18" s="30"/>
      <c r="C18" s="22" t="s">
        <v>1306</v>
      </c>
      <c r="D18" s="16">
        <v>5</v>
      </c>
      <c r="E18" s="168">
        <f>IF($C18="","",VLOOKUP($C18,성분!$B$2:$O$51519,3,FALSE))/100*P18</f>
        <v>13.600000000000001</v>
      </c>
      <c r="F18" s="168">
        <f>IF($C18="","",VLOOKUP($C18,성분!$B$2:$O$51519,5,FALSE))/100*$P18</f>
        <v>2.0550000000000002</v>
      </c>
      <c r="G18" s="168">
        <f>IF($C18="","",VLOOKUP($C18,성분!$B$2:$O$51519,4,FALSE))/100*$P18</f>
        <v>1</v>
      </c>
      <c r="H18" s="168">
        <f>IF($C18="","",VLOOKUP($C18,성분!$B$2:$O$51519,6,FALSE))/100*$P18</f>
        <v>0.11499999999999999</v>
      </c>
      <c r="I18" s="168">
        <f>IF($C18="","",VLOOKUP($C18,성분!$B$2:$O$51519,7,FALSE))/100*$P18</f>
        <v>20.5</v>
      </c>
      <c r="J18" s="168">
        <f>IF($C18="","",VLOOKUP($C18,성분!$B$2:$O$51519,8,FALSE))/100*$P18</f>
        <v>0.25</v>
      </c>
      <c r="K18" s="168">
        <f>IF($C18="","",VLOOKUP($C18,성분!$B$2:$O$51519,9,FALSE))/100*$P18</f>
        <v>12</v>
      </c>
      <c r="L18" s="168">
        <f>IF($C18="","",VLOOKUP($C18,성분!$B$2:$O$51519,10,FALSE))/100*$P18</f>
        <v>1.4999999999999999E-2</v>
      </c>
      <c r="M18" s="168">
        <f>IF($C18="","",VLOOKUP($C18,성분!$B$2:$O$51519,11,FALSE))/100*$P18</f>
        <v>5.0000000000000001E-3</v>
      </c>
      <c r="N18" s="168">
        <f>IF($C18="","",VLOOKUP($C18,성분!$B$2:$O$51519,12,FALSE))/100*$P18</f>
        <v>0.25</v>
      </c>
      <c r="O18" s="167">
        <f>IF($C18="","",VLOOKUP($C18,성분!$B$2:$O$51519,13,FALSE))/100*$P18</f>
        <v>1.85</v>
      </c>
      <c r="P18" s="38">
        <f t="shared" si="0"/>
        <v>5</v>
      </c>
      <c r="Q18" s="17">
        <f t="shared" si="1"/>
        <v>2.04</v>
      </c>
      <c r="R18" s="18"/>
    </row>
    <row r="19" spans="1:18" customFormat="1" ht="27.75" customHeight="1">
      <c r="A19" s="42">
        <f t="shared" si="3"/>
        <v>9</v>
      </c>
      <c r="B19" s="30" t="s">
        <v>2332</v>
      </c>
      <c r="C19" s="22" t="s">
        <v>1335</v>
      </c>
      <c r="D19" s="16">
        <v>3</v>
      </c>
      <c r="E19" s="168">
        <f>IF($C19="","",VLOOKUP($C19,성분!$B$2:$O$51519,3,FALSE))/100*P19</f>
        <v>5.6999999999999993</v>
      </c>
      <c r="F19" s="168">
        <f>IF($C19="","",VLOOKUP($C19,성분!$B$2:$O$51519,5,FALSE))/100*$P19</f>
        <v>1.089</v>
      </c>
      <c r="G19" s="168">
        <f>IF($C19="","",VLOOKUP($C19,성분!$B$2:$O$51519,4,FALSE))/100*$P19</f>
        <v>0.40500000000000003</v>
      </c>
      <c r="H19" s="168">
        <f>IF($C19="","",VLOOKUP($C19,성분!$B$2:$O$51519,6,FALSE))/100*$P19</f>
        <v>2.7000000000000003E-2</v>
      </c>
      <c r="I19" s="168">
        <f>IF($C19="","",VLOOKUP($C19,성분!$B$2:$O$51519,7,FALSE))/100*$P19</f>
        <v>27.599999999999998</v>
      </c>
      <c r="J19" s="168">
        <f>IF($C19="","",VLOOKUP($C19,성분!$B$2:$O$51519,8,FALSE))/100*$P19</f>
        <v>0.22799999999999998</v>
      </c>
      <c r="K19" s="168">
        <f>IF($C19="","",VLOOKUP($C19,성분!$B$2:$O$51519,9,FALSE))/100*$P19</f>
        <v>1.7999999999999998</v>
      </c>
      <c r="L19" s="168">
        <f>IF($C19="","",VLOOKUP($C19,성분!$B$2:$O$51519,10,FALSE))/100*$P19</f>
        <v>7.4999999999999997E-3</v>
      </c>
      <c r="M19" s="168">
        <f>IF($C19="","",VLOOKUP($C19,성분!$B$2:$O$51519,11,FALSE))/100*$P19</f>
        <v>3.15E-2</v>
      </c>
      <c r="N19" s="168">
        <f>IF($C19="","",VLOOKUP($C19,성분!$B$2:$O$51519,12,FALSE))/100*$P19</f>
        <v>0.24</v>
      </c>
      <c r="O19" s="167">
        <f>IF($C19="","",VLOOKUP($C19,성분!$B$2:$O$51519,13,FALSE))/100*$P19</f>
        <v>0.42000000000000004</v>
      </c>
      <c r="P19" s="38">
        <f t="shared" si="0"/>
        <v>3</v>
      </c>
      <c r="Q19" s="17">
        <f t="shared" si="1"/>
        <v>1.224</v>
      </c>
      <c r="R19" s="18">
        <f t="shared" si="2"/>
        <v>1</v>
      </c>
    </row>
    <row r="20" spans="1:18" customFormat="1" ht="27.75" customHeight="1">
      <c r="A20" s="42">
        <f t="shared" si="3"/>
        <v>10</v>
      </c>
      <c r="B20" s="30"/>
      <c r="C20" s="22" t="s">
        <v>395</v>
      </c>
      <c r="D20" s="16">
        <v>20</v>
      </c>
      <c r="E20" s="168">
        <f>IF($C20="","",VLOOKUP($C20,성분!$B$2:$O$51519,3,FALSE))/100*P20</f>
        <v>15.8</v>
      </c>
      <c r="F20" s="168">
        <f>IF($C20="","",VLOOKUP($C20,성분!$B$2:$O$51519,5,FALSE))/100*$P20</f>
        <v>0.7400000000000001</v>
      </c>
      <c r="G20" s="168">
        <f>IF($C20="","",VLOOKUP($C20,성분!$B$2:$O$51519,4,FALSE))/100*$P20</f>
        <v>1.6800000000000002</v>
      </c>
      <c r="H20" s="168">
        <f>IF($C20="","",VLOOKUP($C20,성분!$B$2:$O$51519,6,FALSE))/100*$P20</f>
        <v>0.70000000000000007</v>
      </c>
      <c r="I20" s="168">
        <f>IF($C20="","",VLOOKUP($C20,성분!$B$2:$O$51519,7,FALSE))/100*$P20</f>
        <v>31.8</v>
      </c>
      <c r="J20" s="168">
        <f>IF($C20="","",VLOOKUP($C20,성분!$B$2:$O$51519,8,FALSE))/100*$P20</f>
        <v>0.52</v>
      </c>
      <c r="K20" s="168">
        <f>IF($C20="","",VLOOKUP($C20,성분!$B$2:$O$51519,9,FALSE))/100*$P20</f>
        <v>0</v>
      </c>
      <c r="L20" s="168">
        <f>IF($C20="","",VLOOKUP($C20,성분!$B$2:$O$51519,10,FALSE))/100*$P20</f>
        <v>0.01</v>
      </c>
      <c r="M20" s="168">
        <f>IF($C20="","",VLOOKUP($C20,성분!$B$2:$O$51519,11,FALSE))/100*$P20</f>
        <v>8.0000000000000002E-3</v>
      </c>
      <c r="N20" s="168">
        <f>IF($C20="","",VLOOKUP($C20,성분!$B$2:$O$51519,12,FALSE))/100*$P20</f>
        <v>0.13999999999999999</v>
      </c>
      <c r="O20" s="167">
        <f>IF($C20="","",VLOOKUP($C20,성분!$B$2:$O$51519,13,FALSE))/100*$P20</f>
        <v>0</v>
      </c>
      <c r="P20" s="38">
        <f t="shared" si="0"/>
        <v>20</v>
      </c>
      <c r="Q20" s="17">
        <f t="shared" si="1"/>
        <v>8.16</v>
      </c>
      <c r="R20" s="18"/>
    </row>
    <row r="21" spans="1:18" s="160" customFormat="1" ht="27.75" customHeight="1">
      <c r="A21" s="166">
        <f t="shared" si="3"/>
        <v>11</v>
      </c>
      <c r="B21" s="171"/>
      <c r="C21" s="169" t="s">
        <v>2396</v>
      </c>
      <c r="D21" s="168">
        <v>3</v>
      </c>
      <c r="E21" s="168">
        <f>IF($C21="","",VLOOKUP($C21,성분!$B$2:$O$51519,3,FALSE))/100*P21</f>
        <v>5.67</v>
      </c>
      <c r="F21" s="168">
        <f>IF($C21="","",VLOOKUP($C21,성분!$B$2:$O$51519,5,FALSE))/100*$P21</f>
        <v>1.3560000000000001</v>
      </c>
      <c r="G21" s="168">
        <f>IF($C21="","",VLOOKUP($C21,성분!$B$2:$O$51519,4,FALSE))/100*$P21</f>
        <v>0.22200000000000003</v>
      </c>
      <c r="H21" s="168">
        <f>IF($C21="","",VLOOKUP($C21,성분!$B$2:$O$51519,6,FALSE))/100*$P21</f>
        <v>3.3000000000000002E-2</v>
      </c>
      <c r="I21" s="168">
        <f>IF($C21="","",VLOOKUP($C21,성분!$B$2:$O$51519,7,FALSE))/100*$P21</f>
        <v>21.240000000000002</v>
      </c>
      <c r="J21" s="168">
        <f>IF($C21="","",VLOOKUP($C21,성분!$B$2:$O$51519,8,FALSE))/100*$P21</f>
        <v>0.189</v>
      </c>
      <c r="K21" s="168">
        <f>IF($C21="","",VLOOKUP($C21,성분!$B$2:$O$51519,9,FALSE))/100*$P21</f>
        <v>2.88</v>
      </c>
      <c r="L21" s="168">
        <f>IF($C21="","",VLOOKUP($C21,성분!$B$2:$O$51519,10,FALSE))/100*$P21</f>
        <v>6.6E-3</v>
      </c>
      <c r="M21" s="168">
        <f>IF($C21="","",VLOOKUP($C21,성분!$B$2:$O$51519,11,FALSE))/100*$P21</f>
        <v>1.3500000000000002E-2</v>
      </c>
      <c r="N21" s="168">
        <f>IF($C21="","",VLOOKUP($C21,성분!$B$2:$O$51519,12,FALSE))/100*$P21</f>
        <v>0.13500000000000001</v>
      </c>
      <c r="O21" s="167">
        <f>IF($C21="","",VLOOKUP($C21,성분!$B$2:$O$51519,13,FALSE))/100*$P21</f>
        <v>0.54</v>
      </c>
      <c r="P21" s="165">
        <f t="shared" ref="P21:P22" si="8">D21</f>
        <v>3</v>
      </c>
      <c r="Q21" s="162">
        <f t="shared" ref="Q21:Q22" si="9">($O$8*P21)/1000</f>
        <v>1.224</v>
      </c>
      <c r="R21" s="18"/>
    </row>
    <row r="22" spans="1:18" s="160" customFormat="1" ht="27.75" customHeight="1">
      <c r="A22" s="166">
        <f t="shared" si="3"/>
        <v>12</v>
      </c>
      <c r="B22" s="171"/>
      <c r="C22" s="169" t="s">
        <v>2397</v>
      </c>
      <c r="D22" s="168">
        <v>3</v>
      </c>
      <c r="E22" s="168">
        <f>IF($C22="","",VLOOKUP($C22,성분!$B$2:$O$51519,3,FALSE))/100*P22</f>
        <v>9.09</v>
      </c>
      <c r="F22" s="168">
        <f>IF($C22="","",VLOOKUP($C22,성분!$B$2:$O$51519,5,FALSE))/100*$P22</f>
        <v>9.0000000000000011E-3</v>
      </c>
      <c r="G22" s="168">
        <f>IF($C22="","",VLOOKUP($C22,성분!$B$2:$O$51519,4,FALSE))/100*$P22</f>
        <v>0.99</v>
      </c>
      <c r="H22" s="168">
        <f>IF($C22="","",VLOOKUP($C22,성분!$B$2:$O$51519,6,FALSE))/100*$P22</f>
        <v>0.21899999999999997</v>
      </c>
      <c r="I22" s="168">
        <f>IF($C22="","",VLOOKUP($C22,성분!$B$2:$O$51519,7,FALSE))/100*$P22</f>
        <v>51</v>
      </c>
      <c r="J22" s="168">
        <f>IF($C22="","",VLOOKUP($C22,성분!$B$2:$O$51519,8,FALSE))/100*$P22</f>
        <v>0.12</v>
      </c>
      <c r="K22" s="168">
        <f>IF($C22="","",VLOOKUP($C22,성분!$B$2:$O$51519,9,FALSE))/100*$P22</f>
        <v>0</v>
      </c>
      <c r="L22" s="168">
        <f>IF($C22="","",VLOOKUP($C22,성분!$B$2:$O$51519,10,FALSE))/100*$P22</f>
        <v>4.2000000000000006E-3</v>
      </c>
      <c r="M22" s="168">
        <f>IF($C22="","",VLOOKUP($C22,성분!$B$2:$O$51519,11,FALSE))/100*$P22</f>
        <v>3.5999999999999999E-3</v>
      </c>
      <c r="N22" s="168">
        <f>IF($C22="","",VLOOKUP($C22,성분!$B$2:$O$51519,12,FALSE))/100*$P22</f>
        <v>0.06</v>
      </c>
      <c r="O22" s="167">
        <f>IF($C22="","",VLOOKUP($C22,성분!$B$2:$O$51519,13,FALSE))/100*$P22</f>
        <v>0</v>
      </c>
      <c r="P22" s="165">
        <f t="shared" si="8"/>
        <v>3</v>
      </c>
      <c r="Q22" s="162">
        <f t="shared" si="9"/>
        <v>1.224</v>
      </c>
      <c r="R22" s="18"/>
    </row>
    <row r="23" spans="1:18" customFormat="1" ht="27.75" customHeight="1">
      <c r="A23" s="42">
        <f t="shared" si="3"/>
        <v>13</v>
      </c>
      <c r="B23" s="30" t="s">
        <v>2402</v>
      </c>
      <c r="C23" s="171" t="s">
        <v>2402</v>
      </c>
      <c r="D23" s="16">
        <v>120</v>
      </c>
      <c r="E23" s="168">
        <f>IF($C23="","",VLOOKUP($C23,성분!$B$2:$O$51519,3,FALSE))/100*P23</f>
        <v>270</v>
      </c>
      <c r="F23" s="168">
        <f>IF($C23="","",VLOOKUP($C23,성분!$B$2:$O$51519,5,FALSE))/100*$P23</f>
        <v>24.24</v>
      </c>
      <c r="G23" s="168">
        <f>IF($C23="","",VLOOKUP($C23,성분!$B$2:$O$51519,4,FALSE))/100*$P23</f>
        <v>11.4</v>
      </c>
      <c r="H23" s="168">
        <f>IF($C23="","",VLOOKUP($C23,성분!$B$2:$O$51519,6,FALSE))/100*$P23</f>
        <v>1.2</v>
      </c>
      <c r="I23" s="168">
        <f>IF($C23="","",VLOOKUP($C23,성분!$B$2:$O$51519,7,FALSE))/100*$P23</f>
        <v>7.7159999999999993</v>
      </c>
      <c r="J23" s="168">
        <f>IF($C23="","",VLOOKUP($C23,성분!$B$2:$O$51519,8,FALSE))/100*$P23</f>
        <v>1.7999999999999998</v>
      </c>
      <c r="K23" s="168">
        <f>IF($C23="","",VLOOKUP($C23,성분!$B$2:$O$51519,9,FALSE))/100*$P23</f>
        <v>67.2</v>
      </c>
      <c r="L23" s="168">
        <f>IF($C23="","",VLOOKUP($C23,성분!$B$2:$O$51519,10,FALSE))/100*$P23</f>
        <v>0.18</v>
      </c>
      <c r="M23" s="168">
        <f>IF($C23="","",VLOOKUP($C23,성분!$B$2:$O$51519,11,FALSE))/100*$P23</f>
        <v>0.06</v>
      </c>
      <c r="N23" s="168">
        <f>IF($C23="","",VLOOKUP($C23,성분!$B$2:$O$51519,12,FALSE))/100*$P23</f>
        <v>1.056</v>
      </c>
      <c r="O23" s="167">
        <f>IF($C23="","",VLOOKUP($C23,성분!$B$2:$O$51519,13,FALSE))/100*$P23</f>
        <v>0</v>
      </c>
      <c r="P23" s="38">
        <f t="shared" si="0"/>
        <v>120</v>
      </c>
      <c r="Q23" s="17">
        <f t="shared" si="1"/>
        <v>48.96</v>
      </c>
      <c r="R23" s="18"/>
    </row>
    <row r="24" spans="1:18" customFormat="1" ht="27.75" customHeight="1">
      <c r="A24" s="42">
        <f t="shared" si="3"/>
        <v>14</v>
      </c>
      <c r="B24" s="30"/>
      <c r="C24" s="22" t="s">
        <v>2403</v>
      </c>
      <c r="D24" s="16">
        <v>10</v>
      </c>
      <c r="E24" s="168">
        <f>IF($C24="","",VLOOKUP($C24,성분!$B$2:$O$51519,3,FALSE))/100*P24</f>
        <v>37.1</v>
      </c>
      <c r="F24" s="168">
        <f>IF($C24="","",VLOOKUP($C24,성분!$B$2:$O$51519,5,FALSE))/100*$P24</f>
        <v>0.2</v>
      </c>
      <c r="G24" s="168">
        <f>IF($C24="","",VLOOKUP($C24,성분!$B$2:$O$51519,4,FALSE))/100*$P24</f>
        <v>1</v>
      </c>
      <c r="H24" s="168">
        <f>IF($C24="","",VLOOKUP($C24,성분!$B$2:$O$51519,6,FALSE))/100*$P24</f>
        <v>0</v>
      </c>
      <c r="I24" s="168">
        <f>IF($C24="","",VLOOKUP($C24,성분!$B$2:$O$51519,7,FALSE))/100*$P24</f>
        <v>4.75</v>
      </c>
      <c r="J24" s="168">
        <f>IF($C24="","",VLOOKUP($C24,성분!$B$2:$O$51519,8,FALSE))/100*$P24</f>
        <v>0.42000000000000004</v>
      </c>
      <c r="K24" s="168">
        <f>IF($C24="","",VLOOKUP($C24,성분!$B$2:$O$51519,9,FALSE))/100*$P24</f>
        <v>0</v>
      </c>
      <c r="L24" s="168">
        <f>IF($C24="","",VLOOKUP($C24,성분!$B$2:$O$51519,10,FALSE))/100*$P24</f>
        <v>0</v>
      </c>
      <c r="M24" s="168">
        <f>IF($C24="","",VLOOKUP($C24,성분!$B$2:$O$51519,11,FALSE))/100*$P24</f>
        <v>0</v>
      </c>
      <c r="N24" s="168">
        <f>IF($C24="","",VLOOKUP($C24,성분!$B$2:$O$51519,12,FALSE))/100*$P24</f>
        <v>0</v>
      </c>
      <c r="O24" s="167">
        <f>IF($C24="","",VLOOKUP($C24,성분!$B$2:$O$51519,13,FALSE))/100*$P24</f>
        <v>0</v>
      </c>
      <c r="P24" s="38">
        <f t="shared" si="0"/>
        <v>10</v>
      </c>
      <c r="Q24" s="17">
        <f t="shared" si="1"/>
        <v>4.08</v>
      </c>
      <c r="R24" s="18"/>
    </row>
    <row r="25" spans="1:18" s="160" customFormat="1" ht="27.75" customHeight="1">
      <c r="A25" s="166">
        <f t="shared" si="3"/>
        <v>15</v>
      </c>
      <c r="B25" s="171"/>
      <c r="C25" s="169" t="s">
        <v>2387</v>
      </c>
      <c r="D25" s="168">
        <v>5</v>
      </c>
      <c r="E25" s="168">
        <f>IF($C25="","",VLOOKUP($C25,성분!$B$2:$O$51519,3,FALSE))/100*P25</f>
        <v>2.5</v>
      </c>
      <c r="F25" s="168">
        <f>IF($C25="","",VLOOKUP($C25,성분!$B$2:$O$51519,5,FALSE))/100*$P25</f>
        <v>0.245</v>
      </c>
      <c r="G25" s="168">
        <f>IF($C25="","",VLOOKUP($C25,성분!$B$2:$O$51519,4,FALSE))/100*$P25</f>
        <v>0.315</v>
      </c>
      <c r="H25" s="168">
        <f>IF($C25="","",VLOOKUP($C25,성분!$B$2:$O$51519,6,FALSE))/100*$P25</f>
        <v>1.4999999999999999E-2</v>
      </c>
      <c r="I25" s="168">
        <f>IF($C25="","",VLOOKUP($C25,성분!$B$2:$O$51519,7,FALSE))/100*$P25</f>
        <v>1.9500000000000002</v>
      </c>
      <c r="J25" s="168">
        <f>IF($C25="","",VLOOKUP($C25,성분!$B$2:$O$51519,8,FALSE))/100*$P25</f>
        <v>0.10500000000000001</v>
      </c>
      <c r="K25" s="168">
        <f>IF($C25="","",VLOOKUP($C25,성분!$B$2:$O$51519,9,FALSE))/100*$P25</f>
        <v>0</v>
      </c>
      <c r="L25" s="168">
        <f>IF($C25="","",VLOOKUP($C25,성분!$B$2:$O$51519,10,FALSE))/100*$P25</f>
        <v>1.4999999999999998E-3</v>
      </c>
      <c r="M25" s="168">
        <f>IF($C25="","",VLOOKUP($C25,성분!$B$2:$O$51519,11,FALSE))/100*$P25</f>
        <v>4.0000000000000001E-3</v>
      </c>
      <c r="N25" s="168">
        <f>IF($C25="","",VLOOKUP($C25,성분!$B$2:$O$51519,12,FALSE))/100*$P25</f>
        <v>0.06</v>
      </c>
      <c r="O25" s="167">
        <f>IF($C25="","",VLOOKUP($C25,성분!$B$2:$O$51519,13,FALSE))/100*$P25</f>
        <v>0</v>
      </c>
      <c r="P25" s="165">
        <f t="shared" ref="P25:P26" si="10">D25</f>
        <v>5</v>
      </c>
      <c r="Q25" s="162">
        <f t="shared" ref="Q25:Q26" si="11">($O$8*P25)/1000</f>
        <v>2.04</v>
      </c>
      <c r="R25" s="18"/>
    </row>
    <row r="26" spans="1:18" s="160" customFormat="1" ht="27.75" customHeight="1">
      <c r="A26" s="166">
        <f t="shared" si="3"/>
        <v>16</v>
      </c>
      <c r="B26" s="171"/>
      <c r="C26" s="169" t="s">
        <v>2479</v>
      </c>
      <c r="D26" s="168">
        <v>15</v>
      </c>
      <c r="E26" s="168">
        <f>IF($C26="","",VLOOKUP($C26,성분!$B$2:$O$51519,3,FALSE))/100*P26</f>
        <v>132.6</v>
      </c>
      <c r="F26" s="168">
        <f>IF($C26="","",VLOOKUP($C26,성분!$B$2:$O$51519,5,FALSE))/100*$P26</f>
        <v>0</v>
      </c>
      <c r="G26" s="168">
        <f>IF($C26="","",VLOOKUP($C26,성분!$B$2:$O$51519,4,FALSE))/100*$P26</f>
        <v>0</v>
      </c>
      <c r="H26" s="168">
        <f>IF($C26="","",VLOOKUP($C26,성분!$B$2:$O$51519,6,FALSE))/100*$P26</f>
        <v>15</v>
      </c>
      <c r="I26" s="168">
        <f>IF($C26="","",VLOOKUP($C26,성분!$B$2:$O$51519,7,FALSE))/100*$P26</f>
        <v>0</v>
      </c>
      <c r="J26" s="168">
        <f>IF($C26="","",VLOOKUP($C26,성분!$B$2:$O$51519,8,FALSE))/100*$P26</f>
        <v>0</v>
      </c>
      <c r="K26" s="168">
        <f>IF($C26="","",VLOOKUP($C26,성분!$B$2:$O$51519,9,FALSE))/100*$P26</f>
        <v>0</v>
      </c>
      <c r="L26" s="168">
        <f>IF($C26="","",VLOOKUP($C26,성분!$B$2:$O$51519,10,FALSE))/100*$P26</f>
        <v>0</v>
      </c>
      <c r="M26" s="168">
        <f>IF($C26="","",VLOOKUP($C26,성분!$B$2:$O$51519,11,FALSE))/100*$P26</f>
        <v>0</v>
      </c>
      <c r="N26" s="168">
        <f>IF($C26="","",VLOOKUP($C26,성분!$B$2:$O$51519,12,FALSE))/100*$P26</f>
        <v>0</v>
      </c>
      <c r="O26" s="167">
        <f>IF($C26="","",VLOOKUP($C26,성분!$B$2:$O$51519,13,FALSE))/100*$P26</f>
        <v>0</v>
      </c>
      <c r="P26" s="165">
        <f t="shared" si="10"/>
        <v>15</v>
      </c>
      <c r="Q26" s="162">
        <f t="shared" si="11"/>
        <v>6.12</v>
      </c>
      <c r="R26" s="18"/>
    </row>
    <row r="27" spans="1:18" customFormat="1" ht="27.75" customHeight="1">
      <c r="A27" s="42">
        <f t="shared" si="3"/>
        <v>17</v>
      </c>
      <c r="B27" s="30" t="s">
        <v>2333</v>
      </c>
      <c r="C27" s="22" t="s">
        <v>2219</v>
      </c>
      <c r="D27" s="16">
        <v>45</v>
      </c>
      <c r="E27" s="168">
        <f>IF($C27="","",VLOOKUP($C27,성분!$B$2:$O$51519,3,FALSE))/100*P27</f>
        <v>58.5</v>
      </c>
      <c r="F27" s="168">
        <f>IF($C27="","",VLOOKUP($C27,성분!$B$2:$O$51519,5,FALSE))/100*$P27</f>
        <v>1.2599999999999998</v>
      </c>
      <c r="G27" s="168">
        <f>IF($C27="","",VLOOKUP($C27,성분!$B$2:$O$51519,4,FALSE))/100*$P27</f>
        <v>5.625</v>
      </c>
      <c r="H27" s="168">
        <f>IF($C27="","",VLOOKUP($C27,성분!$B$2:$O$51519,6,FALSE))/100*$P27</f>
        <v>4.0634999999999994</v>
      </c>
      <c r="I27" s="168">
        <f>IF($C27="","",VLOOKUP($C27,성분!$B$2:$O$51519,7,FALSE))/100*$P27</f>
        <v>22.05</v>
      </c>
      <c r="J27" s="168">
        <f>IF($C27="","",VLOOKUP($C27,성분!$B$2:$O$51519,8,FALSE))/100*$P27</f>
        <v>0.85499999999999998</v>
      </c>
      <c r="K27" s="168">
        <f>IF($C27="","",VLOOKUP($C27,성분!$B$2:$O$51519,9,FALSE))/100*$P27</f>
        <v>22.5</v>
      </c>
      <c r="L27" s="168">
        <f>IF($C27="","",VLOOKUP($C27,성분!$B$2:$O$51519,10,FALSE))/100*$P27</f>
        <v>6.7500000000000004E-2</v>
      </c>
      <c r="M27" s="168">
        <f>IF($C27="","",VLOOKUP($C27,성분!$B$2:$O$51519,11,FALSE))/100*$P27</f>
        <v>5.3999999999999992E-2</v>
      </c>
      <c r="N27" s="168">
        <f>IF($C27="","",VLOOKUP($C27,성분!$B$2:$O$51519,12,FALSE))/100*$P27</f>
        <v>0.45</v>
      </c>
      <c r="O27" s="167">
        <f>IF($C27="","",VLOOKUP($C27,성분!$B$2:$O$51519,13,FALSE))/100*$P27</f>
        <v>0</v>
      </c>
      <c r="P27" s="38">
        <f t="shared" si="0"/>
        <v>45</v>
      </c>
      <c r="Q27" s="17">
        <f t="shared" si="1"/>
        <v>18.36</v>
      </c>
      <c r="R27" s="18"/>
    </row>
    <row r="28" spans="1:18" customFormat="1" ht="27.75" customHeight="1">
      <c r="A28" s="42">
        <f t="shared" si="3"/>
        <v>18</v>
      </c>
      <c r="B28" s="30"/>
      <c r="C28" s="22" t="s">
        <v>1980</v>
      </c>
      <c r="D28" s="16">
        <v>3</v>
      </c>
      <c r="E28" s="168">
        <f>IF($C28="","",VLOOKUP($C28,성분!$B$2:$O$51519,3,FALSE))/100*P28</f>
        <v>1.02</v>
      </c>
      <c r="F28" s="168">
        <f>IF($C28="","",VLOOKUP($C28,성분!$B$2:$O$51519,5,FALSE))/100*$P28</f>
        <v>0.2109</v>
      </c>
      <c r="G28" s="168">
        <f>IF($C28="","",VLOOKUP($C28,성분!$B$2:$O$51519,4,FALSE))/100*$P28</f>
        <v>0.03</v>
      </c>
      <c r="H28" s="168">
        <f>IF($C28="","",VLOOKUP($C28,성분!$B$2:$O$51519,6,FALSE))/100*$P28</f>
        <v>3.8999999999999998E-3</v>
      </c>
      <c r="I28" s="168">
        <f>IF($C28="","",VLOOKUP($C28,성분!$B$2:$O$51519,7,FALSE))/100*$P28</f>
        <v>1.1400000000000001</v>
      </c>
      <c r="J28" s="168">
        <f>IF($C28="","",VLOOKUP($C28,성분!$B$2:$O$51519,8,FALSE))/100*$P28</f>
        <v>2.0999999999999998E-2</v>
      </c>
      <c r="K28" s="168">
        <f>IF($C28="","",VLOOKUP($C28,성분!$B$2:$O$51519,9,FALSE))/100*$P28</f>
        <v>37.71</v>
      </c>
      <c r="L28" s="168">
        <f>IF($C28="","",VLOOKUP($C28,성분!$B$2:$O$51519,10,FALSE))/100*$P28</f>
        <v>1.8E-3</v>
      </c>
      <c r="M28" s="168">
        <f>IF($C28="","",VLOOKUP($C28,성분!$B$2:$O$51519,11,FALSE))/100*$P28</f>
        <v>1.2000000000000001E-3</v>
      </c>
      <c r="N28" s="168">
        <f>IF($C28="","",VLOOKUP($C28,성분!$B$2:$O$51519,12,FALSE))/100*$P28</f>
        <v>2.4E-2</v>
      </c>
      <c r="O28" s="167">
        <f>IF($C28="","",VLOOKUP($C28,성분!$B$2:$O$51519,13,FALSE))/100*$P28</f>
        <v>0.18</v>
      </c>
      <c r="P28" s="38">
        <f t="shared" si="0"/>
        <v>3</v>
      </c>
      <c r="Q28" s="17">
        <f t="shared" si="1"/>
        <v>1.224</v>
      </c>
      <c r="R28" s="18"/>
    </row>
    <row r="29" spans="1:18" customFormat="1" ht="27.75" customHeight="1">
      <c r="A29" s="42">
        <f t="shared" si="3"/>
        <v>19</v>
      </c>
      <c r="B29" s="30"/>
      <c r="C29" s="22" t="s">
        <v>1239</v>
      </c>
      <c r="D29" s="16">
        <v>2</v>
      </c>
      <c r="E29" s="168">
        <f>IF($C29="","",VLOOKUP($C29,성분!$B$2:$O$51519,3,FALSE))/100*P29</f>
        <v>0.52</v>
      </c>
      <c r="F29" s="168">
        <f>IF($C29="","",VLOOKUP($C29,성분!$B$2:$O$51519,5,FALSE))/100*$P29</f>
        <v>8.9200000000000002E-2</v>
      </c>
      <c r="G29" s="168">
        <f>IF($C29="","",VLOOKUP($C29,성분!$B$2:$O$51519,4,FALSE))/100*$P29</f>
        <v>0</v>
      </c>
      <c r="H29" s="168">
        <f>IF($C29="","",VLOOKUP($C29,성분!$B$2:$O$51519,6,FALSE))/100*$P29</f>
        <v>5.1999999999999998E-3</v>
      </c>
      <c r="I29" s="168">
        <f>IF($C29="","",VLOOKUP($C29,성분!$B$2:$O$51519,7,FALSE))/100*$P29</f>
        <v>1.62</v>
      </c>
      <c r="J29" s="168">
        <f>IF($C29="","",VLOOKUP($C29,성분!$B$2:$O$51519,8,FALSE))/100*$P29</f>
        <v>0.02</v>
      </c>
      <c r="K29" s="168">
        <f>IF($C29="","",VLOOKUP($C29,성분!$B$2:$O$51519,9,FALSE))/100*$P29</f>
        <v>2.58</v>
      </c>
      <c r="L29" s="168">
        <f>IF($C29="","",VLOOKUP($C29,성분!$B$2:$O$51519,10,FALSE))/100*$P29</f>
        <v>1.1999999999999999E-3</v>
      </c>
      <c r="M29" s="168">
        <f>IF($C29="","",VLOOKUP($C29,성분!$B$2:$O$51519,11,FALSE))/100*$P29</f>
        <v>1.8E-3</v>
      </c>
      <c r="N29" s="168">
        <f>IF($C29="","",VLOOKUP($C29,성분!$B$2:$O$51519,12,FALSE))/100*$P29</f>
        <v>1.2E-2</v>
      </c>
      <c r="O29" s="167">
        <f>IF($C29="","",VLOOKUP($C29,성분!$B$2:$O$51519,13,FALSE))/100*$P29</f>
        <v>0.42</v>
      </c>
      <c r="P29" s="38">
        <f t="shared" si="0"/>
        <v>2</v>
      </c>
      <c r="Q29" s="17">
        <f t="shared" si="1"/>
        <v>0.81599999999999995</v>
      </c>
      <c r="R29" s="18"/>
    </row>
    <row r="30" spans="1:18" customFormat="1" ht="27.75" customHeight="1">
      <c r="A30" s="42">
        <f t="shared" si="3"/>
        <v>20</v>
      </c>
      <c r="B30" s="30" t="s">
        <v>1084</v>
      </c>
      <c r="C30" s="22" t="s">
        <v>1084</v>
      </c>
      <c r="D30" s="16">
        <v>30</v>
      </c>
      <c r="E30" s="168">
        <f>IF($C30="","",VLOOKUP($C30,성분!$B$2:$O$51519,3,FALSE))/100*P30</f>
        <v>15</v>
      </c>
      <c r="F30" s="168">
        <f>IF($C30="","",VLOOKUP($C30,성분!$B$2:$O$51519,5,FALSE))/100*$P30</f>
        <v>1.32</v>
      </c>
      <c r="G30" s="168">
        <f>IF($C30="","",VLOOKUP($C30,성분!$B$2:$O$51519,4,FALSE))/100*$P30</f>
        <v>0.6</v>
      </c>
      <c r="H30" s="168">
        <f>IF($C30="","",VLOOKUP($C30,성분!$B$2:$O$51519,6,FALSE))/100*$P30</f>
        <v>0.06</v>
      </c>
      <c r="I30" s="168">
        <f>IF($C30="","",VLOOKUP($C30,성분!$B$2:$O$51519,7,FALSE))/100*$P30</f>
        <v>14.1</v>
      </c>
      <c r="J30" s="168">
        <f>IF($C30="","",VLOOKUP($C30,성분!$B$2:$O$51519,8,FALSE))/100*$P30</f>
        <v>0.89999999999999991</v>
      </c>
      <c r="K30" s="168">
        <f>IF($C30="","",VLOOKUP($C30,성분!$B$2:$O$51519,9,FALSE))/100*$P30</f>
        <v>14.399999999999999</v>
      </c>
      <c r="L30" s="168">
        <f>IF($C30="","",VLOOKUP($C30,성분!$B$2:$O$51519,10,FALSE))/100*$P30</f>
        <v>1.7999999999999999E-2</v>
      </c>
      <c r="M30" s="168">
        <f>IF($C30="","",VLOOKUP($C30,성분!$B$2:$O$51519,11,FALSE))/100*$P30</f>
        <v>1.7999999999999999E-2</v>
      </c>
      <c r="N30" s="168">
        <f>IF($C30="","",VLOOKUP($C30,성분!$B$2:$O$51519,12,FALSE))/100*$P30</f>
        <v>0.24</v>
      </c>
      <c r="O30" s="167">
        <f>IF($C30="","",VLOOKUP($C30,성분!$B$2:$O$51519,13,FALSE))/100*$P30</f>
        <v>4.2</v>
      </c>
      <c r="P30" s="38">
        <f t="shared" ref="P30" si="12">D30</f>
        <v>30</v>
      </c>
      <c r="Q30" s="17">
        <f t="shared" ref="Q30" si="13">($O$8*P30)/1000</f>
        <v>12.24</v>
      </c>
      <c r="R30" s="18"/>
    </row>
    <row r="31" spans="1:18" customFormat="1" ht="32.25" customHeight="1">
      <c r="A31" s="235" t="s">
        <v>1628</v>
      </c>
      <c r="B31" s="236"/>
      <c r="C31" s="236"/>
      <c r="D31" s="237"/>
      <c r="E31" s="19">
        <f t="shared" ref="E31:O31" si="14">SUM(E11:E30)</f>
        <v>876.98</v>
      </c>
      <c r="F31" s="19">
        <f t="shared" si="14"/>
        <v>115.17770000000002</v>
      </c>
      <c r="G31" s="19">
        <f t="shared" si="14"/>
        <v>40.469000000000001</v>
      </c>
      <c r="H31" s="19">
        <f t="shared" si="14"/>
        <v>22.759399999999999</v>
      </c>
      <c r="I31" s="44">
        <f t="shared" si="14"/>
        <v>249.49599999999998</v>
      </c>
      <c r="J31" s="19">
        <f t="shared" si="14"/>
        <v>7.004999999999999</v>
      </c>
      <c r="K31" s="44">
        <f t="shared" si="14"/>
        <v>311.97999999999996</v>
      </c>
      <c r="L31" s="19">
        <f t="shared" si="14"/>
        <v>0.50880000000000003</v>
      </c>
      <c r="M31" s="19">
        <f t="shared" si="14"/>
        <v>0.31130000000000002</v>
      </c>
      <c r="N31" s="19">
        <f t="shared" si="14"/>
        <v>5.5238999999999994</v>
      </c>
      <c r="O31" s="19">
        <f t="shared" si="14"/>
        <v>15.989999999999998</v>
      </c>
      <c r="P31" s="38">
        <f t="shared" si="0"/>
        <v>0</v>
      </c>
      <c r="Q31" s="17">
        <f t="shared" si="1"/>
        <v>0</v>
      </c>
      <c r="R31" s="18">
        <f t="shared" si="2"/>
        <v>0</v>
      </c>
    </row>
    <row r="32" spans="1:18" s="21" customFormat="1" ht="32.25" customHeight="1">
      <c r="A32" s="238" t="s">
        <v>1790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40"/>
      <c r="P32" s="20"/>
      <c r="Q32"/>
      <c r="R32" s="18">
        <f>INT(Q32)</f>
        <v>0</v>
      </c>
    </row>
    <row r="33" spans="1:19" customFormat="1" ht="19.5" customHeight="1">
      <c r="A33" s="220" t="s">
        <v>1629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2"/>
      <c r="S33" s="18">
        <f>INT(R33)</f>
        <v>0</v>
      </c>
    </row>
    <row r="34" spans="1:19" customFormat="1" ht="20.100000000000001" customHeight="1">
      <c r="A34" s="247" t="s">
        <v>1630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9"/>
      <c r="P34" s="244" t="s">
        <v>5</v>
      </c>
      <c r="Q34" s="245"/>
      <c r="R34" s="250">
        <v>5000</v>
      </c>
      <c r="S34" s="250"/>
    </row>
    <row r="35" spans="1:19" customFormat="1" ht="20.100000000000001" customHeight="1">
      <c r="A35" s="251" t="s">
        <v>1769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3"/>
      <c r="P35" s="244" t="s">
        <v>6</v>
      </c>
      <c r="Q35" s="245"/>
      <c r="R35" s="250">
        <f>R34*0.72</f>
        <v>3600</v>
      </c>
      <c r="S35" s="250"/>
    </row>
    <row r="36" spans="1:19" customFormat="1" ht="20.100000000000001" customHeight="1">
      <c r="A36" s="241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3"/>
      <c r="P36" s="244" t="s">
        <v>1631</v>
      </c>
      <c r="Q36" s="245"/>
      <c r="R36" s="246">
        <v>0.72</v>
      </c>
      <c r="S36" s="246"/>
    </row>
    <row r="37" spans="1:19" customFormat="1" ht="20.100000000000001" customHeight="1">
      <c r="C37" s="3"/>
      <c r="D37" s="24"/>
      <c r="E37" s="25"/>
      <c r="F37" s="25"/>
      <c r="G37" s="22">
        <v>667</v>
      </c>
      <c r="H37" s="22">
        <v>15</v>
      </c>
      <c r="I37" s="22">
        <v>300</v>
      </c>
      <c r="J37" s="22">
        <v>5.4</v>
      </c>
      <c r="K37" s="22">
        <v>234</v>
      </c>
      <c r="L37" s="22">
        <v>0.34</v>
      </c>
      <c r="M37" s="22">
        <v>0.4</v>
      </c>
      <c r="N37" s="22">
        <v>5.26</v>
      </c>
      <c r="O37" s="22">
        <v>33.4</v>
      </c>
      <c r="P37" s="104"/>
      <c r="Q37" s="104"/>
      <c r="R37" s="23"/>
      <c r="S37" s="23"/>
    </row>
    <row r="38" spans="1:19" customFormat="1" ht="20.100000000000001" customHeight="1">
      <c r="A38" s="2"/>
      <c r="B38" s="2"/>
      <c r="C38" s="3"/>
      <c r="D38" s="4"/>
      <c r="E38" s="5"/>
      <c r="F38" s="5"/>
      <c r="G38" s="5"/>
      <c r="H38" s="5"/>
      <c r="I38" s="5"/>
      <c r="J38" s="2"/>
      <c r="K38" s="5"/>
      <c r="L38" s="5"/>
      <c r="M38" s="5"/>
      <c r="N38" s="5"/>
      <c r="O38" s="6"/>
    </row>
    <row r="39" spans="1:19" customFormat="1" ht="20.100000000000001" customHeight="1">
      <c r="A39" s="2"/>
      <c r="B39" s="2"/>
      <c r="C39" s="2"/>
      <c r="D39" s="4"/>
      <c r="E39" s="2"/>
      <c r="F39" s="2"/>
      <c r="G39" s="5"/>
      <c r="H39" s="5"/>
      <c r="I39" s="5"/>
      <c r="J39" s="5"/>
      <c r="K39" s="5"/>
      <c r="L39" s="5"/>
      <c r="M39" s="5"/>
      <c r="N39" s="5"/>
      <c r="O39" s="6"/>
    </row>
    <row r="40" spans="1:19" ht="12">
      <c r="C40" s="2"/>
    </row>
    <row r="41" spans="1:19" ht="12">
      <c r="C41" s="2"/>
    </row>
    <row r="1347" spans="4:4">
      <c r="D1347" s="2">
        <v>240</v>
      </c>
    </row>
  </sheetData>
  <mergeCells count="41">
    <mergeCell ref="P34:Q34"/>
    <mergeCell ref="A35:O35"/>
    <mergeCell ref="P35:Q35"/>
    <mergeCell ref="R35:S35"/>
    <mergeCell ref="A36:O36"/>
    <mergeCell ref="P36:Q36"/>
    <mergeCell ref="R36:S36"/>
    <mergeCell ref="R34:S34"/>
    <mergeCell ref="P6:R7"/>
    <mergeCell ref="A7:C7"/>
    <mergeCell ref="A8:C8"/>
    <mergeCell ref="O8:O9"/>
    <mergeCell ref="A9:C9"/>
    <mergeCell ref="D9:N9"/>
    <mergeCell ref="A6:N6"/>
    <mergeCell ref="O6:O7"/>
    <mergeCell ref="M7:N7"/>
    <mergeCell ref="K7:L7"/>
    <mergeCell ref="H7:J7"/>
    <mergeCell ref="F7:G7"/>
    <mergeCell ref="D7:E7"/>
    <mergeCell ref="M8:N8"/>
    <mergeCell ref="K8:L8"/>
    <mergeCell ref="H8:J8"/>
    <mergeCell ref="A31:D31"/>
    <mergeCell ref="A32:O32"/>
    <mergeCell ref="A33:O33"/>
    <mergeCell ref="A34:O34"/>
    <mergeCell ref="N2:N4"/>
    <mergeCell ref="O2:O4"/>
    <mergeCell ref="A3:B3"/>
    <mergeCell ref="C3:D3"/>
    <mergeCell ref="L5:M5"/>
    <mergeCell ref="M2:M4"/>
    <mergeCell ref="F8:G8"/>
    <mergeCell ref="D8:E8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5403-BD8B-43B8-ACDA-6B0A4DA97F85}">
  <sheetPr>
    <pageSetUpPr fitToPage="1"/>
  </sheetPr>
  <dimension ref="A1:S1357"/>
  <sheetViews>
    <sheetView view="pageBreakPreview" zoomScale="80" zoomScaleNormal="85" zoomScaleSheetLayoutView="80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O8" sqref="O8:O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94"/>
      <c r="F1" s="194"/>
      <c r="G1" s="39"/>
      <c r="K1" s="202"/>
      <c r="L1" s="195"/>
      <c r="M1" s="196" t="s">
        <v>2371</v>
      </c>
      <c r="N1" s="110" t="s">
        <v>2372</v>
      </c>
      <c r="O1" s="196" t="s">
        <v>2373</v>
      </c>
    </row>
    <row r="2" spans="1:18" s="1" customFormat="1" ht="20.100000000000001" customHeight="1">
      <c r="A2" s="27"/>
      <c r="B2" s="27"/>
      <c r="C2" s="194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45763</v>
      </c>
      <c r="D3" s="201"/>
      <c r="E3" s="194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11</v>
      </c>
      <c r="E8" s="226"/>
      <c r="F8" s="226">
        <v>17</v>
      </c>
      <c r="G8" s="226"/>
      <c r="H8" s="226">
        <v>109</v>
      </c>
      <c r="I8" s="226"/>
      <c r="J8" s="226"/>
      <c r="K8" s="226">
        <f>SUM(D8:J8)</f>
        <v>137</v>
      </c>
      <c r="L8" s="226"/>
      <c r="M8" s="226">
        <v>2</v>
      </c>
      <c r="N8" s="227"/>
      <c r="O8" s="228">
        <f>M8+K8</f>
        <v>139</v>
      </c>
    </row>
    <row r="9" spans="1:18" s="160" customFormat="1" ht="20.100000000000001" customHeight="1">
      <c r="A9" s="230" t="s">
        <v>0</v>
      </c>
      <c r="B9" s="231"/>
      <c r="C9" s="232"/>
      <c r="D9" s="233" t="s">
        <v>2491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97" t="s">
        <v>1626</v>
      </c>
      <c r="Q10" s="198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2480</v>
      </c>
      <c r="C11" s="169" t="s">
        <v>140</v>
      </c>
      <c r="D11" s="168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165">
        <f t="shared" ref="P11:P41" si="0">D11</f>
        <v>100</v>
      </c>
      <c r="Q11" s="162">
        <f t="shared" ref="Q11:Q41" si="1">($O$8*P11)/1000</f>
        <v>13.9</v>
      </c>
      <c r="R11" s="18">
        <f t="shared" ref="R11:R41" si="2">INT(Q11)</f>
        <v>13</v>
      </c>
    </row>
    <row r="12" spans="1:18" s="160" customFormat="1" ht="27.75" customHeight="1">
      <c r="A12" s="166">
        <f t="shared" ref="A12:A40" si="3">ROW()-10</f>
        <v>2</v>
      </c>
      <c r="B12" s="171"/>
      <c r="C12" s="169" t="s">
        <v>1708</v>
      </c>
      <c r="D12" s="168">
        <v>50</v>
      </c>
      <c r="E12" s="168">
        <f>IF($C12="","",VLOOKUP($C12,성분!$B$2:$O$51519,3,FALSE))/100*P12</f>
        <v>25</v>
      </c>
      <c r="F12" s="168">
        <f>IF($C12="","",VLOOKUP($C12,성분!$B$2:$O$51519,5,FALSE))/100*$P12</f>
        <v>2.2000000000000002</v>
      </c>
      <c r="G12" s="168">
        <f>IF($C12="","",VLOOKUP($C12,성분!$B$2:$O$51519,4,FALSE))/100*$P12</f>
        <v>1</v>
      </c>
      <c r="H12" s="168">
        <f>IF($C12="","",VLOOKUP($C12,성분!$B$2:$O$51519,6,FALSE))/100*$P12</f>
        <v>0.1</v>
      </c>
      <c r="I12" s="168">
        <f>IF($C12="","",VLOOKUP($C12,성분!$B$2:$O$51519,7,FALSE))/100*$P12</f>
        <v>23.5</v>
      </c>
      <c r="J12" s="168">
        <f>IF($C12="","",VLOOKUP($C12,성분!$B$2:$O$51519,8,FALSE))/100*$P12</f>
        <v>0.4</v>
      </c>
      <c r="K12" s="168">
        <f>IF($C12="","",VLOOKUP($C12,성분!$B$2:$O$51519,9,FALSE))/100*$P12</f>
        <v>24</v>
      </c>
      <c r="L12" s="168">
        <f>IF($C12="","",VLOOKUP($C12,성분!$B$2:$O$51519,10,FALSE))/100*$P12</f>
        <v>0.03</v>
      </c>
      <c r="M12" s="168">
        <f>IF($C12="","",VLOOKUP($C12,성분!$B$2:$O$51519,11,FALSE))/100*$P12</f>
        <v>0.03</v>
      </c>
      <c r="N12" s="168">
        <f>IF($C12="","",VLOOKUP($C12,성분!$B$2:$O$51519,12,FALSE))/100*$P12</f>
        <v>0.4</v>
      </c>
      <c r="O12" s="167">
        <f>IF($C12="","",VLOOKUP($C12,성분!$B$2:$O$51519,13,FALSE))/100*$P12</f>
        <v>7.0000000000000009</v>
      </c>
      <c r="P12" s="165">
        <f t="shared" si="0"/>
        <v>50</v>
      </c>
      <c r="Q12" s="162">
        <f t="shared" si="1"/>
        <v>6.95</v>
      </c>
      <c r="R12" s="18">
        <f t="shared" si="2"/>
        <v>6</v>
      </c>
    </row>
    <row r="13" spans="1:18" s="160" customFormat="1" ht="27.75" customHeight="1">
      <c r="A13" s="166">
        <f t="shared" si="3"/>
        <v>3</v>
      </c>
      <c r="B13" s="171"/>
      <c r="C13" s="169" t="s">
        <v>2481</v>
      </c>
      <c r="D13" s="168">
        <v>20</v>
      </c>
      <c r="E13" s="168">
        <f>IF($C13="","",VLOOKUP($C13,성분!$B$2:$O$51519,3,FALSE))/100*P13</f>
        <v>25.6</v>
      </c>
      <c r="F13" s="168">
        <f>IF($C13="","",VLOOKUP($C13,성분!$B$2:$O$51519,5,FALSE))/100*$P13</f>
        <v>1.1599999999999999</v>
      </c>
      <c r="G13" s="168">
        <f>IF($C13="","",VLOOKUP($C13,성분!$B$2:$O$51519,4,FALSE))/100*$P13</f>
        <v>3.2</v>
      </c>
      <c r="H13" s="168">
        <f>IF($C13="","",VLOOKUP($C13,성분!$B$2:$O$51519,6,FALSE))/100*$P13</f>
        <v>2.42</v>
      </c>
      <c r="I13" s="168">
        <f>IF($C13="","",VLOOKUP($C13,성분!$B$2:$O$51519,7,FALSE))/100*$P13</f>
        <v>1.2</v>
      </c>
      <c r="J13" s="168">
        <f>IF($C13="","",VLOOKUP($C13,성분!$B$2:$O$51519,8,FALSE))/100*$P13</f>
        <v>0.18000000000000002</v>
      </c>
      <c r="K13" s="168">
        <f>IF($C13="","",VLOOKUP($C13,성분!$B$2:$O$51519,9,FALSE))/100*$P13</f>
        <v>0</v>
      </c>
      <c r="L13" s="168">
        <f>IF($C13="","",VLOOKUP($C13,성분!$B$2:$O$51519,10,FALSE))/100*$P13</f>
        <v>0.02</v>
      </c>
      <c r="M13" s="168">
        <f>IF($C13="","",VLOOKUP($C13,성분!$B$2:$O$51519,11,FALSE))/100*$P13</f>
        <v>4.1999999999999996E-2</v>
      </c>
      <c r="N13" s="168">
        <f>IF($C13="","",VLOOKUP($C13,성분!$B$2:$O$51519,12,FALSE))/100*$P13</f>
        <v>1.4000000000000001</v>
      </c>
      <c r="O13" s="167">
        <f>IF($C13="","",VLOOKUP($C13,성분!$B$2:$O$51519,13,FALSE))/100*$P13</f>
        <v>9.3999999999999986</v>
      </c>
      <c r="P13" s="165">
        <f t="shared" si="0"/>
        <v>20</v>
      </c>
      <c r="Q13" s="162">
        <f t="shared" si="1"/>
        <v>2.78</v>
      </c>
      <c r="R13" s="18">
        <f t="shared" si="2"/>
        <v>2</v>
      </c>
    </row>
    <row r="14" spans="1:18" s="160" customFormat="1" ht="27.75" customHeight="1">
      <c r="A14" s="166">
        <f t="shared" si="3"/>
        <v>4</v>
      </c>
      <c r="B14" s="171"/>
      <c r="C14" s="169" t="s">
        <v>2074</v>
      </c>
      <c r="D14" s="168">
        <v>20</v>
      </c>
      <c r="E14" s="168">
        <f>IF($C14="","",VLOOKUP($C14,성분!$B$2:$O$51519,3,FALSE))/100*P14</f>
        <v>46</v>
      </c>
      <c r="F14" s="168">
        <f>IF($C14="","",VLOOKUP($C14,성분!$B$2:$O$51519,5,FALSE))/100*$P14</f>
        <v>2.7800000000000002</v>
      </c>
      <c r="G14" s="168">
        <f>IF($C14="","",VLOOKUP($C14,성분!$B$2:$O$51519,4,FALSE))/100*$P14</f>
        <v>0.48</v>
      </c>
      <c r="H14" s="168">
        <f>IF($C14="","",VLOOKUP($C14,성분!$B$2:$O$51519,6,FALSE))/100*$P14</f>
        <v>0</v>
      </c>
      <c r="I14" s="168">
        <f>IF($C14="","",VLOOKUP($C14,성분!$B$2:$O$51519,7,FALSE))/100*$P14</f>
        <v>0.8</v>
      </c>
      <c r="J14" s="168">
        <f>IF($C14="","",VLOOKUP($C14,성분!$B$2:$O$51519,8,FALSE))/100*$P14</f>
        <v>0.12</v>
      </c>
      <c r="K14" s="168">
        <f>IF($C14="","",VLOOKUP($C14,성분!$B$2:$O$51519,9,FALSE))/100*$P14</f>
        <v>0</v>
      </c>
      <c r="L14" s="168">
        <f>IF($C14="","",VLOOKUP($C14,성분!$B$2:$O$51519,10,FALSE))/100*$P14</f>
        <v>0</v>
      </c>
      <c r="M14" s="168">
        <f>IF($C14="","",VLOOKUP($C14,성분!$B$2:$O$51519,11,FALSE))/100*$P14</f>
        <v>0</v>
      </c>
      <c r="N14" s="168">
        <f>IF($C14="","",VLOOKUP($C14,성분!$B$2:$O$51519,12,FALSE))/100*$P14</f>
        <v>0</v>
      </c>
      <c r="O14" s="167">
        <f>IF($C14="","",VLOOKUP($C14,성분!$B$2:$O$51519,13,FALSE))/100*$P14</f>
        <v>0</v>
      </c>
      <c r="P14" s="165">
        <f t="shared" si="0"/>
        <v>20</v>
      </c>
      <c r="Q14" s="162">
        <f t="shared" si="1"/>
        <v>2.78</v>
      </c>
      <c r="R14" s="18">
        <f t="shared" si="2"/>
        <v>2</v>
      </c>
    </row>
    <row r="15" spans="1:18" s="160" customFormat="1" ht="27.75" customHeight="1">
      <c r="A15" s="166">
        <f t="shared" si="3"/>
        <v>5</v>
      </c>
      <c r="B15" s="171"/>
      <c r="C15" s="169" t="s">
        <v>2201</v>
      </c>
      <c r="D15" s="168">
        <v>7</v>
      </c>
      <c r="E15" s="168">
        <f>IF($C15="","",VLOOKUP($C15,성분!$B$2:$O$51519,3,FALSE))/100*P15</f>
        <v>8.4699999999999989</v>
      </c>
      <c r="F15" s="168">
        <f>IF($C15="","",VLOOKUP($C15,성분!$B$2:$O$51519,5,FALSE))/100*$P15</f>
        <v>0</v>
      </c>
      <c r="G15" s="168">
        <f>IF($C15="","",VLOOKUP($C15,성분!$B$2:$O$51519,4,FALSE))/100*$P15</f>
        <v>0.98699999999999988</v>
      </c>
      <c r="H15" s="168">
        <f>IF($C15="","",VLOOKUP($C15,성분!$B$2:$O$51519,6,FALSE))/100*$P15</f>
        <v>1.155</v>
      </c>
      <c r="I15" s="168">
        <f>IF($C15="","",VLOOKUP($C15,성분!$B$2:$O$51519,7,FALSE))/100*$P15</f>
        <v>0.14000000000000001</v>
      </c>
      <c r="J15" s="168">
        <f>IF($C15="","",VLOOKUP($C15,성분!$B$2:$O$51519,8,FALSE))/100*$P15</f>
        <v>0.112</v>
      </c>
      <c r="K15" s="168">
        <f>IF($C15="","",VLOOKUP($C15,성분!$B$2:$O$51519,9,FALSE))/100*$P15</f>
        <v>0.14000000000000001</v>
      </c>
      <c r="L15" s="168">
        <f>IF($C15="","",VLOOKUP($C15,성분!$B$2:$O$51519,10,FALSE))/100*$P15</f>
        <v>6.3700000000000007E-2</v>
      </c>
      <c r="M15" s="168">
        <f>IF($C15="","",VLOOKUP($C15,성분!$B$2:$O$51519,11,FALSE))/100*$P15</f>
        <v>1.26E-2</v>
      </c>
      <c r="N15" s="168">
        <f>IF($C15="","",VLOOKUP($C15,성분!$B$2:$O$51519,12,FALSE))/100*$P15</f>
        <v>0.28699999999999998</v>
      </c>
      <c r="O15" s="167">
        <f>IF($C15="","",VLOOKUP($C15,성분!$B$2:$O$51519,13,FALSE))/100*$P15</f>
        <v>0</v>
      </c>
      <c r="P15" s="165">
        <f t="shared" si="0"/>
        <v>7</v>
      </c>
      <c r="Q15" s="162">
        <f t="shared" si="1"/>
        <v>0.97299999999999998</v>
      </c>
      <c r="R15" s="18"/>
    </row>
    <row r="16" spans="1:18" s="160" customFormat="1" ht="27.75" customHeight="1">
      <c r="A16" s="166">
        <f t="shared" si="3"/>
        <v>6</v>
      </c>
      <c r="B16" s="171"/>
      <c r="C16" s="169" t="s">
        <v>1394</v>
      </c>
      <c r="D16" s="168">
        <v>7</v>
      </c>
      <c r="E16" s="168">
        <f>IF($C16="","",VLOOKUP($C16,성분!$B$2:$O$51519,3,FALSE))/100*P16</f>
        <v>6.72</v>
      </c>
      <c r="F16" s="168">
        <f>IF($C16="","",VLOOKUP($C16,성분!$B$2:$O$51519,5,FALSE))/100*$P16</f>
        <v>1.2809999999999999</v>
      </c>
      <c r="G16" s="168">
        <f>IF($C16="","",VLOOKUP($C16,성분!$B$2:$O$51519,4,FALSE))/100*$P16</f>
        <v>0.18900000000000003</v>
      </c>
      <c r="H16" s="168">
        <f>IF($C16="","",VLOOKUP($C16,성분!$B$2:$O$51519,6,FALSE))/100*$P16</f>
        <v>0.15400000000000003</v>
      </c>
      <c r="I16" s="168">
        <f>IF($C16="","",VLOOKUP($C16,성분!$B$2:$O$51519,7,FALSE))/100*$P16</f>
        <v>0.14000000000000001</v>
      </c>
      <c r="J16" s="168">
        <f>IF($C16="","",VLOOKUP($C16,성분!$B$2:$O$51519,8,FALSE))/100*$P16</f>
        <v>2.8000000000000001E-2</v>
      </c>
      <c r="K16" s="168">
        <f>IF($C16="","",VLOOKUP($C16,성분!$B$2:$O$51519,9,FALSE))/100*$P16</f>
        <v>0.91</v>
      </c>
      <c r="L16" s="168">
        <f>IF($C16="","",VLOOKUP($C16,성분!$B$2:$O$51519,10,FALSE))/100*$P16</f>
        <v>2.0999999999999999E-3</v>
      </c>
      <c r="M16" s="168">
        <f>IF($C16="","",VLOOKUP($C16,성분!$B$2:$O$51519,11,FALSE))/100*$P16</f>
        <v>4.1999999999999997E-3</v>
      </c>
      <c r="N16" s="168">
        <f>IF($C16="","",VLOOKUP($C16,성분!$B$2:$O$51519,12,FALSE))/100*$P16</f>
        <v>6.3E-2</v>
      </c>
      <c r="O16" s="167">
        <f>IF($C16="","",VLOOKUP($C16,성분!$B$2:$O$51519,13,FALSE))/100*$P16</f>
        <v>0.28000000000000003</v>
      </c>
      <c r="P16" s="165">
        <f t="shared" si="0"/>
        <v>7</v>
      </c>
      <c r="Q16" s="162">
        <f t="shared" si="1"/>
        <v>0.97299999999999998</v>
      </c>
      <c r="R16" s="18"/>
    </row>
    <row r="17" spans="1:18" s="160" customFormat="1" ht="27.75" customHeight="1">
      <c r="A17" s="166">
        <f t="shared" si="3"/>
        <v>7</v>
      </c>
      <c r="B17" s="171"/>
      <c r="C17" s="169" t="s">
        <v>1201</v>
      </c>
      <c r="D17" s="168">
        <v>7</v>
      </c>
      <c r="E17" s="168">
        <f>IF($C17="","",VLOOKUP($C17,성분!$B$2:$O$51519,3,FALSE))/100*P17</f>
        <v>5.88</v>
      </c>
      <c r="F17" s="168">
        <f>IF($C17="","",VLOOKUP($C17,성분!$B$2:$O$51519,5,FALSE))/100*$P17</f>
        <v>1.8017999999999996</v>
      </c>
      <c r="G17" s="168">
        <f>IF($C17="","",VLOOKUP($C17,성분!$B$2:$O$51519,4,FALSE))/100*$P17</f>
        <v>0.23100000000000001</v>
      </c>
      <c r="H17" s="168">
        <f>IF($C17="","",VLOOKUP($C17,성분!$B$2:$O$51519,6,FALSE))/100*$P17</f>
        <v>2.1000000000000001E-2</v>
      </c>
      <c r="I17" s="168">
        <f>IF($C17="","",VLOOKUP($C17,성분!$B$2:$O$51519,7,FALSE))/100*$P17</f>
        <v>1.9600000000000002</v>
      </c>
      <c r="J17" s="168">
        <f>IF($C17="","",VLOOKUP($C17,성분!$B$2:$O$51519,8,FALSE))/100*$P17</f>
        <v>0.105</v>
      </c>
      <c r="K17" s="168">
        <f>IF($C17="","",VLOOKUP($C17,성분!$B$2:$O$51519,9,FALSE))/100*$P17</f>
        <v>2.8000000000000003</v>
      </c>
      <c r="L17" s="168">
        <f>IF($C17="","",VLOOKUP($C17,성분!$B$2:$O$51519,10,FALSE))/100*$P17</f>
        <v>2.0999999999999999E-3</v>
      </c>
      <c r="M17" s="168">
        <f>IF($C17="","",VLOOKUP($C17,성분!$B$2:$O$51519,11,FALSE))/100*$P17</f>
        <v>2.0999999999999999E-3</v>
      </c>
      <c r="N17" s="168">
        <f>IF($C17="","",VLOOKUP($C17,성분!$B$2:$O$51519,12,FALSE))/100*$P17</f>
        <v>7.0000000000000007E-2</v>
      </c>
      <c r="O17" s="167">
        <f>IF($C17="","",VLOOKUP($C17,성분!$B$2:$O$51519,13,FALSE))/100*$P17</f>
        <v>0</v>
      </c>
      <c r="P17" s="165">
        <f t="shared" si="0"/>
        <v>7</v>
      </c>
      <c r="Q17" s="162">
        <f t="shared" si="1"/>
        <v>0.97299999999999998</v>
      </c>
      <c r="R17" s="18">
        <f t="shared" ref="R17" si="4">INT(Q17)</f>
        <v>0</v>
      </c>
    </row>
    <row r="18" spans="1:18" s="160" customFormat="1" ht="27.75" customHeight="1">
      <c r="A18" s="166">
        <f t="shared" si="3"/>
        <v>8</v>
      </c>
      <c r="B18" s="171"/>
      <c r="C18" s="169" t="s">
        <v>1190</v>
      </c>
      <c r="D18" s="168">
        <v>10</v>
      </c>
      <c r="E18" s="168">
        <f>IF($C18="","",VLOOKUP($C18,성분!$B$2:$O$51519,3,FALSE))/100*P18</f>
        <v>3.5</v>
      </c>
      <c r="F18" s="168">
        <f>IF($C18="","",VLOOKUP($C18,성분!$B$2:$O$51519,5,FALSE))/100*$P18</f>
        <v>0.76600000000000001</v>
      </c>
      <c r="G18" s="168">
        <f>IF($C18="","",VLOOKUP($C18,성분!$B$2:$O$51519,4,FALSE))/100*$P18</f>
        <v>0.1</v>
      </c>
      <c r="H18" s="168">
        <f>IF($C18="","",VLOOKUP($C18,성분!$B$2:$O$51519,6,FALSE))/100*$P18</f>
        <v>1.9E-2</v>
      </c>
      <c r="I18" s="168">
        <f>IF($C18="","",VLOOKUP($C18,성분!$B$2:$O$51519,7,FALSE))/100*$P18</f>
        <v>1.5</v>
      </c>
      <c r="J18" s="168">
        <f>IF($C18="","",VLOOKUP($C18,성분!$B$2:$O$51519,8,FALSE))/100*$P18</f>
        <v>0.03</v>
      </c>
      <c r="K18" s="168">
        <f>IF($C18="","",VLOOKUP($C18,성분!$B$2:$O$51519,9,FALSE))/100*$P18</f>
        <v>0</v>
      </c>
      <c r="L18" s="168">
        <f>IF($C18="","",VLOOKUP($C18,성분!$B$2:$O$51519,10,FALSE))/100*$P18</f>
        <v>4.0000000000000001E-3</v>
      </c>
      <c r="M18" s="168">
        <f>IF($C18="","",VLOOKUP($C18,성분!$B$2:$O$51519,11,FALSE))/100*$P18</f>
        <v>1E-3</v>
      </c>
      <c r="N18" s="168">
        <f>IF($C18="","",VLOOKUP($C18,성분!$B$2:$O$51519,12,FALSE))/100*$P18</f>
        <v>0.02</v>
      </c>
      <c r="O18" s="167">
        <f>IF($C18="","",VLOOKUP($C18,성분!$B$2:$O$51519,13,FALSE))/100*$P18</f>
        <v>0.8</v>
      </c>
      <c r="P18" s="165">
        <f t="shared" si="0"/>
        <v>10</v>
      </c>
      <c r="Q18" s="162">
        <f t="shared" si="1"/>
        <v>1.39</v>
      </c>
      <c r="R18" s="18"/>
    </row>
    <row r="19" spans="1:18" s="160" customFormat="1" ht="27.75" customHeight="1">
      <c r="A19" s="166">
        <f t="shared" si="3"/>
        <v>9</v>
      </c>
      <c r="B19" s="171"/>
      <c r="C19" s="169" t="s">
        <v>2334</v>
      </c>
      <c r="D19" s="168">
        <v>4</v>
      </c>
      <c r="E19" s="168">
        <f>IF($C19="","",VLOOKUP($C19,성분!$B$2:$O$51519,3,FALSE))/100*P19</f>
        <v>8.52</v>
      </c>
      <c r="F19" s="168">
        <f>IF($C19="","",VLOOKUP($C19,성분!$B$2:$O$51519,5,FALSE))/100*$P19</f>
        <v>1.6840000000000002</v>
      </c>
      <c r="G19" s="168">
        <f>IF($C19="","",VLOOKUP($C19,성분!$B$2:$O$51519,4,FALSE))/100*$P19</f>
        <v>0.95200000000000007</v>
      </c>
      <c r="H19" s="168">
        <f>IF($C19="","",VLOOKUP($C19,성분!$B$2:$O$51519,6,FALSE))/100*$P19</f>
        <v>2.7999999999999997E-2</v>
      </c>
      <c r="I19" s="168">
        <f>IF($C19="","",VLOOKUP($C19,성분!$B$2:$O$51519,7,FALSE))/100*$P19</f>
        <v>26.08</v>
      </c>
      <c r="J19" s="168">
        <f>IF($C19="","",VLOOKUP($C19,성분!$B$2:$O$51519,8,FALSE))/100*$P19</f>
        <v>0.68799999999999994</v>
      </c>
      <c r="K19" s="168">
        <f>IF($C19="","",VLOOKUP($C19,성분!$B$2:$O$51519,9,FALSE))/100*$P19</f>
        <v>0</v>
      </c>
      <c r="L19" s="168">
        <f>IF($C19="","",VLOOKUP($C19,성분!$B$2:$O$51519,10,FALSE))/100*$P19</f>
        <v>1.6E-2</v>
      </c>
      <c r="M19" s="168">
        <f>IF($C19="","",VLOOKUP($C19,성분!$B$2:$O$51519,11,FALSE))/100*$P19</f>
        <v>2.0799999999999999E-2</v>
      </c>
      <c r="N19" s="168">
        <f>IF($C19="","",VLOOKUP($C19,성분!$B$2:$O$51519,12,FALSE))/100*$P19</f>
        <v>0.4</v>
      </c>
      <c r="O19" s="167">
        <f>IF($C19="","",VLOOKUP($C19,성분!$B$2:$O$51519,13,FALSE))/100*$P19</f>
        <v>0.4</v>
      </c>
      <c r="P19" s="165">
        <f t="shared" si="0"/>
        <v>4</v>
      </c>
      <c r="Q19" s="162">
        <f t="shared" si="1"/>
        <v>0.55600000000000005</v>
      </c>
      <c r="R19" s="18">
        <f t="shared" si="2"/>
        <v>0</v>
      </c>
    </row>
    <row r="20" spans="1:18" s="160" customFormat="1" ht="27.75" customHeight="1">
      <c r="A20" s="166">
        <f t="shared" si="3"/>
        <v>10</v>
      </c>
      <c r="B20" s="171" t="s">
        <v>2482</v>
      </c>
      <c r="C20" s="169" t="s">
        <v>2483</v>
      </c>
      <c r="D20" s="168">
        <v>40</v>
      </c>
      <c r="E20" s="168">
        <f>IF($C20="","",VLOOKUP($C20,성분!$B$2:$O$51519,3,FALSE))/100*P20</f>
        <v>141.6</v>
      </c>
      <c r="F20" s="168">
        <f>IF($C20="","",VLOOKUP($C20,성분!$B$2:$O$51519,5,FALSE))/100*$P20</f>
        <v>29.92</v>
      </c>
      <c r="G20" s="168">
        <f>IF($C20="","",VLOOKUP($C20,성분!$B$2:$O$51519,4,FALSE))/100*$P20</f>
        <v>4.08</v>
      </c>
      <c r="H20" s="168">
        <f>IF($C20="","",VLOOKUP($C20,성분!$B$2:$O$51519,6,FALSE))/100*$P20</f>
        <v>0.4</v>
      </c>
      <c r="I20" s="168">
        <f>IF($C20="","",VLOOKUP($C20,성분!$B$2:$O$51519,7,FALSE))/100*$P20</f>
        <v>8</v>
      </c>
      <c r="J20" s="168">
        <f>IF($C20="","",VLOOKUP($C20,성분!$B$2:$O$51519,8,FALSE))/100*$P20</f>
        <v>0.76</v>
      </c>
      <c r="K20" s="168">
        <f>IF($C20="","",VLOOKUP($C20,성분!$B$2:$O$51519,9,FALSE))/100*$P20</f>
        <v>0</v>
      </c>
      <c r="L20" s="168">
        <f>IF($C20="","",VLOOKUP($C20,성분!$B$2:$O$51519,10,FALSE))/100*$P20</f>
        <v>4.7999999999999994E-2</v>
      </c>
      <c r="M20" s="168">
        <f>IF($C20="","",VLOOKUP($C20,성분!$B$2:$O$51519,11,FALSE))/100*$P20</f>
        <v>8.0000000000000002E-3</v>
      </c>
      <c r="N20" s="168">
        <f>IF($C20="","",VLOOKUP($C20,성분!$B$2:$O$51519,12,FALSE))/100*$P20</f>
        <v>0.36000000000000004</v>
      </c>
      <c r="O20" s="167">
        <f>IF($C20="","",VLOOKUP($C20,성분!$B$2:$O$51519,13,FALSE))/100*$P20</f>
        <v>0</v>
      </c>
      <c r="P20" s="165">
        <f t="shared" si="0"/>
        <v>40</v>
      </c>
      <c r="Q20" s="162">
        <f t="shared" si="1"/>
        <v>5.56</v>
      </c>
      <c r="R20" s="18"/>
    </row>
    <row r="21" spans="1:18" s="160" customFormat="1" ht="27.75" customHeight="1">
      <c r="A21" s="166">
        <f t="shared" si="3"/>
        <v>11</v>
      </c>
      <c r="B21" s="171"/>
      <c r="C21" s="169" t="s">
        <v>1153</v>
      </c>
      <c r="D21" s="168">
        <v>2</v>
      </c>
      <c r="E21" s="168">
        <f>IF($C21="","",VLOOKUP($C21,성분!$B$2:$O$51519,3,FALSE))/100*P21</f>
        <v>0.62</v>
      </c>
      <c r="F21" s="168">
        <f>IF($C21="","",VLOOKUP($C21,성분!$B$2:$O$51519,5,FALSE))/100*$P21</f>
        <v>7.400000000000001E-2</v>
      </c>
      <c r="G21" s="168">
        <f>IF($C21="","",VLOOKUP($C21,성분!$B$2:$O$51519,4,FALSE))/100*$P21</f>
        <v>8.5999999999999993E-2</v>
      </c>
      <c r="H21" s="168">
        <f>IF($C21="","",VLOOKUP($C21,성분!$B$2:$O$51519,6,FALSE))/100*$P21</f>
        <v>8.0000000000000002E-3</v>
      </c>
      <c r="I21" s="168">
        <f>IF($C21="","",VLOOKUP($C21,성분!$B$2:$O$51519,7,FALSE))/100*$P21</f>
        <v>0.68</v>
      </c>
      <c r="J21" s="168">
        <f>IF($C21="","",VLOOKUP($C21,성분!$B$2:$O$51519,8,FALSE))/100*$P21</f>
        <v>5.7999999999999996E-2</v>
      </c>
      <c r="K21" s="168">
        <f>IF($C21="","",VLOOKUP($C21,성분!$B$2:$O$51519,9,FALSE))/100*$P21</f>
        <v>12.76</v>
      </c>
      <c r="L21" s="168">
        <f>IF($C21="","",VLOOKUP($C21,성분!$B$2:$O$51519,10,FALSE))/100*$P21</f>
        <v>8.199999999999999E-3</v>
      </c>
      <c r="M21" s="168">
        <f>IF($C21="","",VLOOKUP($C21,성분!$B$2:$O$51519,11,FALSE))/100*$P21</f>
        <v>1.1999999999999999E-3</v>
      </c>
      <c r="N21" s="168">
        <f>IF($C21="","",VLOOKUP($C21,성분!$B$2:$O$51519,12,FALSE))/100*$P21</f>
        <v>0</v>
      </c>
      <c r="O21" s="167">
        <f>IF($C21="","",VLOOKUP($C21,성분!$B$2:$O$51519,13,FALSE))/100*$P21</f>
        <v>0.82</v>
      </c>
      <c r="P21" s="165">
        <f t="shared" si="0"/>
        <v>2</v>
      </c>
      <c r="Q21" s="162">
        <f t="shared" si="1"/>
        <v>0.27800000000000002</v>
      </c>
      <c r="R21" s="18"/>
    </row>
    <row r="22" spans="1:18" s="160" customFormat="1" ht="27.75" customHeight="1">
      <c r="A22" s="166">
        <f t="shared" si="3"/>
        <v>12</v>
      </c>
      <c r="B22" s="171"/>
      <c r="C22" s="169" t="s">
        <v>1980</v>
      </c>
      <c r="D22" s="168">
        <v>10</v>
      </c>
      <c r="E22" s="168">
        <f>IF($C22="","",VLOOKUP($C22,성분!$B$2:$O$51519,3,FALSE))/100*P22</f>
        <v>3.4000000000000004</v>
      </c>
      <c r="F22" s="168">
        <f>IF($C22="","",VLOOKUP($C22,성분!$B$2:$O$51519,5,FALSE))/100*$P22</f>
        <v>0.70300000000000007</v>
      </c>
      <c r="G22" s="168">
        <f>IF($C22="","",VLOOKUP($C22,성분!$B$2:$O$51519,4,FALSE))/100*$P22</f>
        <v>0.1</v>
      </c>
      <c r="H22" s="168">
        <f>IF($C22="","",VLOOKUP($C22,성분!$B$2:$O$51519,6,FALSE))/100*$P22</f>
        <v>1.2999999999999999E-2</v>
      </c>
      <c r="I22" s="168">
        <f>IF($C22="","",VLOOKUP($C22,성분!$B$2:$O$51519,7,FALSE))/100*$P22</f>
        <v>3.8</v>
      </c>
      <c r="J22" s="168">
        <f>IF($C22="","",VLOOKUP($C22,성분!$B$2:$O$51519,8,FALSE))/100*$P22</f>
        <v>6.9999999999999993E-2</v>
      </c>
      <c r="K22" s="168">
        <f>IF($C22="","",VLOOKUP($C22,성분!$B$2:$O$51519,9,FALSE))/100*$P22</f>
        <v>125.7</v>
      </c>
      <c r="L22" s="168">
        <f>IF($C22="","",VLOOKUP($C22,성분!$B$2:$O$51519,10,FALSE))/100*$P22</f>
        <v>5.9999999999999993E-3</v>
      </c>
      <c r="M22" s="168">
        <f>IF($C22="","",VLOOKUP($C22,성분!$B$2:$O$51519,11,FALSE))/100*$P22</f>
        <v>4.0000000000000001E-3</v>
      </c>
      <c r="N22" s="168">
        <f>IF($C22="","",VLOOKUP($C22,성분!$B$2:$O$51519,12,FALSE))/100*$P22</f>
        <v>0.08</v>
      </c>
      <c r="O22" s="167">
        <f>IF($C22="","",VLOOKUP($C22,성분!$B$2:$O$51519,13,FALSE))/100*$P22</f>
        <v>0.6</v>
      </c>
      <c r="P22" s="165">
        <f t="shared" si="0"/>
        <v>10</v>
      </c>
      <c r="Q22" s="162">
        <f t="shared" si="1"/>
        <v>1.39</v>
      </c>
      <c r="R22" s="18"/>
    </row>
    <row r="23" spans="1:18" s="160" customFormat="1" ht="27.75" customHeight="1">
      <c r="A23" s="166">
        <f t="shared" si="3"/>
        <v>13</v>
      </c>
      <c r="B23" s="171"/>
      <c r="C23" s="171" t="s">
        <v>1683</v>
      </c>
      <c r="D23" s="168">
        <v>10</v>
      </c>
      <c r="E23" s="168">
        <f>IF($C23="","",VLOOKUP($C23,성분!$B$2:$O$51519,3,FALSE))/100*P23</f>
        <v>3.8</v>
      </c>
      <c r="F23" s="168">
        <f>IF($C23="","",VLOOKUP($C23,성분!$B$2:$O$51519,5,FALSE))/100*$P23</f>
        <v>0.59000000000000008</v>
      </c>
      <c r="G23" s="168">
        <f>IF($C23="","",VLOOKUP($C23,성분!$B$2:$O$51519,4,FALSE))/100*$P23</f>
        <v>0.11000000000000001</v>
      </c>
      <c r="H23" s="168">
        <f>IF($C23="","",VLOOKUP($C23,성분!$B$2:$O$51519,6,FALSE))/100*$P23</f>
        <v>0.01</v>
      </c>
      <c r="I23" s="168">
        <f>IF($C23="","",VLOOKUP($C23,성분!$B$2:$O$51519,7,FALSE))/100*$P23</f>
        <v>1.9</v>
      </c>
      <c r="J23" s="168">
        <f>IF($C23="","",VLOOKUP($C23,성분!$B$2:$O$51519,8,FALSE))/100*$P23</f>
        <v>0.03</v>
      </c>
      <c r="K23" s="168">
        <f>IF($C23="","",VLOOKUP($C23,성분!$B$2:$O$51519,9,FALSE))/100*$P23</f>
        <v>2.7</v>
      </c>
      <c r="L23" s="168">
        <f>IF($C23="","",VLOOKUP($C23,성분!$B$2:$O$51519,10,FALSE))/100*$P23</f>
        <v>7.000000000000001E-3</v>
      </c>
      <c r="M23" s="168">
        <f>IF($C23="","",VLOOKUP($C23,성분!$B$2:$O$51519,11,FALSE))/100*$P23</f>
        <v>4.0000000000000001E-3</v>
      </c>
      <c r="N23" s="168">
        <f>IF($C23="","",VLOOKUP($C23,성분!$B$2:$O$51519,12,FALSE))/100*$P23</f>
        <v>0.05</v>
      </c>
      <c r="O23" s="167">
        <f>IF($C23="","",VLOOKUP($C23,성분!$B$2:$O$51519,13,FALSE))/100*$P23</f>
        <v>3.5</v>
      </c>
      <c r="P23" s="165">
        <f t="shared" si="0"/>
        <v>10</v>
      </c>
      <c r="Q23" s="162">
        <f t="shared" si="1"/>
        <v>1.39</v>
      </c>
      <c r="R23" s="18"/>
    </row>
    <row r="24" spans="1:18" s="160" customFormat="1" ht="27.75" customHeight="1">
      <c r="A24" s="166">
        <f t="shared" si="3"/>
        <v>14</v>
      </c>
      <c r="B24" s="171"/>
      <c r="C24" s="169" t="s">
        <v>1190</v>
      </c>
      <c r="D24" s="168">
        <v>10</v>
      </c>
      <c r="E24" s="168">
        <f>IF($C24="","",VLOOKUP($C24,성분!$B$2:$O$51519,3,FALSE))/100*P24</f>
        <v>3.5</v>
      </c>
      <c r="F24" s="168">
        <f>IF($C24="","",VLOOKUP($C24,성분!$B$2:$O$51519,5,FALSE))/100*$P24</f>
        <v>0.76600000000000001</v>
      </c>
      <c r="G24" s="168">
        <f>IF($C24="","",VLOOKUP($C24,성분!$B$2:$O$51519,4,FALSE))/100*$P24</f>
        <v>0.1</v>
      </c>
      <c r="H24" s="168">
        <f>IF($C24="","",VLOOKUP($C24,성분!$B$2:$O$51519,6,FALSE))/100*$P24</f>
        <v>1.9E-2</v>
      </c>
      <c r="I24" s="168">
        <f>IF($C24="","",VLOOKUP($C24,성분!$B$2:$O$51519,7,FALSE))/100*$P24</f>
        <v>1.5</v>
      </c>
      <c r="J24" s="168">
        <f>IF($C24="","",VLOOKUP($C24,성분!$B$2:$O$51519,8,FALSE))/100*$P24</f>
        <v>0.03</v>
      </c>
      <c r="K24" s="168">
        <f>IF($C24="","",VLOOKUP($C24,성분!$B$2:$O$51519,9,FALSE))/100*$P24</f>
        <v>0</v>
      </c>
      <c r="L24" s="168">
        <f>IF($C24="","",VLOOKUP($C24,성분!$B$2:$O$51519,10,FALSE))/100*$P24</f>
        <v>4.0000000000000001E-3</v>
      </c>
      <c r="M24" s="168">
        <f>IF($C24="","",VLOOKUP($C24,성분!$B$2:$O$51519,11,FALSE))/100*$P24</f>
        <v>1E-3</v>
      </c>
      <c r="N24" s="168">
        <f>IF($C24="","",VLOOKUP($C24,성분!$B$2:$O$51519,12,FALSE))/100*$P24</f>
        <v>0.02</v>
      </c>
      <c r="O24" s="167">
        <f>IF($C24="","",VLOOKUP($C24,성분!$B$2:$O$51519,13,FALSE))/100*$P24</f>
        <v>0.8</v>
      </c>
      <c r="P24" s="165">
        <f t="shared" si="0"/>
        <v>10</v>
      </c>
      <c r="Q24" s="162">
        <f t="shared" si="1"/>
        <v>1.39</v>
      </c>
      <c r="R24" s="18"/>
    </row>
    <row r="25" spans="1:18" s="160" customFormat="1" ht="27.75" customHeight="1">
      <c r="A25" s="166">
        <f t="shared" si="3"/>
        <v>15</v>
      </c>
      <c r="B25" s="171"/>
      <c r="C25" s="169" t="s">
        <v>1239</v>
      </c>
      <c r="D25" s="168">
        <v>5</v>
      </c>
      <c r="E25" s="168">
        <f>IF($C25="","",VLOOKUP($C25,성분!$B$2:$O$51519,3,FALSE))/100*P25</f>
        <v>1.3</v>
      </c>
      <c r="F25" s="168">
        <f>IF($C25="","",VLOOKUP($C25,성분!$B$2:$O$51519,5,FALSE))/100*$P25</f>
        <v>0.223</v>
      </c>
      <c r="G25" s="168">
        <f>IF($C25="","",VLOOKUP($C25,성분!$B$2:$O$51519,4,FALSE))/100*$P25</f>
        <v>0</v>
      </c>
      <c r="H25" s="168">
        <f>IF($C25="","",VLOOKUP($C25,성분!$B$2:$O$51519,6,FALSE))/100*$P25</f>
        <v>1.2999999999999999E-2</v>
      </c>
      <c r="I25" s="168">
        <f>IF($C25="","",VLOOKUP($C25,성분!$B$2:$O$51519,7,FALSE))/100*$P25</f>
        <v>4.0500000000000007</v>
      </c>
      <c r="J25" s="168">
        <f>IF($C25="","",VLOOKUP($C25,성분!$B$2:$O$51519,8,FALSE))/100*$P25</f>
        <v>0.05</v>
      </c>
      <c r="K25" s="168">
        <f>IF($C25="","",VLOOKUP($C25,성분!$B$2:$O$51519,9,FALSE))/100*$P25</f>
        <v>6.45</v>
      </c>
      <c r="L25" s="168">
        <f>IF($C25="","",VLOOKUP($C25,성분!$B$2:$O$51519,10,FALSE))/100*$P25</f>
        <v>2.9999999999999996E-3</v>
      </c>
      <c r="M25" s="168">
        <f>IF($C25="","",VLOOKUP($C25,성분!$B$2:$O$51519,11,FALSE))/100*$P25</f>
        <v>4.4999999999999997E-3</v>
      </c>
      <c r="N25" s="168">
        <f>IF($C25="","",VLOOKUP($C25,성분!$B$2:$O$51519,12,FALSE))/100*$P25</f>
        <v>0.03</v>
      </c>
      <c r="O25" s="167">
        <f>IF($C25="","",VLOOKUP($C25,성분!$B$2:$O$51519,13,FALSE))/100*$P25</f>
        <v>1.05</v>
      </c>
      <c r="P25" s="165">
        <f t="shared" si="0"/>
        <v>5</v>
      </c>
      <c r="Q25" s="162">
        <f t="shared" si="1"/>
        <v>0.69499999999999995</v>
      </c>
      <c r="R25" s="18"/>
    </row>
    <row r="26" spans="1:18" s="160" customFormat="1" ht="27.75" customHeight="1">
      <c r="A26" s="166">
        <f t="shared" si="3"/>
        <v>16</v>
      </c>
      <c r="B26" s="171" t="s">
        <v>2484</v>
      </c>
      <c r="C26" s="169" t="s">
        <v>1533</v>
      </c>
      <c r="D26" s="168">
        <v>77</v>
      </c>
      <c r="E26" s="168">
        <f>IF($C26="","",VLOOKUP($C26,성분!$B$2:$O$51519,3,FALSE))/100*P26</f>
        <v>125.202</v>
      </c>
      <c r="F26" s="168">
        <f>IF($C26="","",VLOOKUP($C26,성분!$B$2:$O$51519,5,FALSE))/100*$P26</f>
        <v>15.553999999999998</v>
      </c>
      <c r="G26" s="168">
        <f>IF($C26="","",VLOOKUP($C26,성분!$B$2:$O$51519,4,FALSE))/100*$P26</f>
        <v>6.3139999999999992</v>
      </c>
      <c r="H26" s="168">
        <f>IF($C26="","",VLOOKUP($C26,성분!$B$2:$O$51519,6,FALSE))/100*$P26</f>
        <v>1.925</v>
      </c>
      <c r="I26" s="168">
        <f>IF($C26="","",VLOOKUP($C26,성분!$B$2:$O$51519,7,FALSE))/100*$P26</f>
        <v>8.238999999999999</v>
      </c>
      <c r="J26" s="168">
        <f>IF($C26="","",VLOOKUP($C26,성분!$B$2:$O$51519,8,FALSE))/100*$P26</f>
        <v>1.2474000000000003</v>
      </c>
      <c r="K26" s="168">
        <f>IF($C26="","",VLOOKUP($C26,성분!$B$2:$O$51519,9,FALSE))/100*$P26</f>
        <v>106.10600000000001</v>
      </c>
      <c r="L26" s="168">
        <f>IF($C26="","",VLOOKUP($C26,성분!$B$2:$O$51519,10,FALSE))/100*$P26</f>
        <v>0.2079</v>
      </c>
      <c r="M26" s="168">
        <f>IF($C26="","",VLOOKUP($C26,성분!$B$2:$O$51519,11,FALSE))/100*$P26</f>
        <v>4.6199999999999998E-2</v>
      </c>
      <c r="N26" s="168">
        <f>IF($C26="","",VLOOKUP($C26,성분!$B$2:$O$51519,12,FALSE))/100*$P26</f>
        <v>1.155</v>
      </c>
      <c r="O26" s="167">
        <f>IF($C26="","",VLOOKUP($C26,성분!$B$2:$O$51519,13,FALSE))/100*$P26</f>
        <v>2.0020000000000002</v>
      </c>
      <c r="P26" s="165">
        <f t="shared" ref="P26:P35" si="5">D26</f>
        <v>77</v>
      </c>
      <c r="Q26" s="162">
        <f t="shared" ref="Q26:Q35" si="6">($O$8*P26)/1000</f>
        <v>10.702999999999999</v>
      </c>
      <c r="R26" s="18"/>
    </row>
    <row r="27" spans="1:18" s="160" customFormat="1" ht="27.75" customHeight="1">
      <c r="A27" s="166">
        <f t="shared" si="3"/>
        <v>17</v>
      </c>
      <c r="B27" s="171"/>
      <c r="C27" s="169" t="s">
        <v>2229</v>
      </c>
      <c r="D27" s="168">
        <v>7</v>
      </c>
      <c r="E27" s="168">
        <f>IF($C27="","",VLOOKUP($C27,성분!$B$2:$O$51519,3,FALSE))/100*P27</f>
        <v>2.0299999999999998</v>
      </c>
      <c r="F27" s="168">
        <f>IF($C27="","",VLOOKUP($C27,성분!$B$2:$O$51519,5,FALSE))/100*$P27</f>
        <v>0.36259999999999998</v>
      </c>
      <c r="G27" s="168">
        <f>IF($C27="","",VLOOKUP($C27,성분!$B$2:$O$51519,4,FALSE))/100*$P27</f>
        <v>0.11900000000000001</v>
      </c>
      <c r="H27" s="168">
        <f>IF($C27="","",VLOOKUP($C27,성분!$B$2:$O$51519,6,FALSE))/100*$P27</f>
        <v>1.12E-2</v>
      </c>
      <c r="I27" s="168">
        <f>IF($C27="","",VLOOKUP($C27,성분!$B$2:$O$51519,7,FALSE))/100*$P27</f>
        <v>2.17</v>
      </c>
      <c r="J27" s="168">
        <f>IF($C27="","",VLOOKUP($C27,성분!$B$2:$O$51519,8,FALSE))/100*$P27</f>
        <v>3.5000000000000003E-2</v>
      </c>
      <c r="K27" s="168">
        <f>IF($C27="","",VLOOKUP($C27,성분!$B$2:$O$51519,9,FALSE))/100*$P27</f>
        <v>0.21</v>
      </c>
      <c r="L27" s="168">
        <f>IF($C27="","",VLOOKUP($C27,성분!$B$2:$O$51519,10,FALSE))/100*$P27</f>
        <v>4.9000000000000007E-3</v>
      </c>
      <c r="M27" s="168">
        <f>IF($C27="","",VLOOKUP($C27,성분!$B$2:$O$51519,11,FALSE))/100*$P27</f>
        <v>3.5000000000000001E-3</v>
      </c>
      <c r="N27" s="168">
        <f>IF($C27="","",VLOOKUP($C27,성분!$B$2:$O$51519,12,FALSE))/100*$P27</f>
        <v>2.8000000000000001E-2</v>
      </c>
      <c r="O27" s="167">
        <f>IF($C27="","",VLOOKUP($C27,성분!$B$2:$O$51519,13,FALSE))/100*$P27</f>
        <v>3.5700000000000003</v>
      </c>
      <c r="P27" s="165">
        <f t="shared" si="5"/>
        <v>7</v>
      </c>
      <c r="Q27" s="162">
        <f t="shared" si="6"/>
        <v>0.97299999999999998</v>
      </c>
      <c r="R27" s="18"/>
    </row>
    <row r="28" spans="1:18" s="160" customFormat="1" ht="27.75" customHeight="1">
      <c r="A28" s="166">
        <f t="shared" si="3"/>
        <v>18</v>
      </c>
      <c r="B28" s="171"/>
      <c r="C28" s="169" t="s">
        <v>1190</v>
      </c>
      <c r="D28" s="168">
        <v>10</v>
      </c>
      <c r="E28" s="168">
        <f>IF($C28="","",VLOOKUP($C28,성분!$B$2:$O$51519,3,FALSE))/100*P28</f>
        <v>3.5</v>
      </c>
      <c r="F28" s="168">
        <f>IF($C28="","",VLOOKUP($C28,성분!$B$2:$O$51519,5,FALSE))/100*$P28</f>
        <v>0.76600000000000001</v>
      </c>
      <c r="G28" s="168">
        <f>IF($C28="","",VLOOKUP($C28,성분!$B$2:$O$51519,4,FALSE))/100*$P28</f>
        <v>0.1</v>
      </c>
      <c r="H28" s="168">
        <f>IF($C28="","",VLOOKUP($C28,성분!$B$2:$O$51519,6,FALSE))/100*$P28</f>
        <v>1.9E-2</v>
      </c>
      <c r="I28" s="168">
        <f>IF($C28="","",VLOOKUP($C28,성분!$B$2:$O$51519,7,FALSE))/100*$P28</f>
        <v>1.5</v>
      </c>
      <c r="J28" s="168">
        <f>IF($C28="","",VLOOKUP($C28,성분!$B$2:$O$51519,8,FALSE))/100*$P28</f>
        <v>0.03</v>
      </c>
      <c r="K28" s="168">
        <f>IF($C28="","",VLOOKUP($C28,성분!$B$2:$O$51519,9,FALSE))/100*$P28</f>
        <v>0</v>
      </c>
      <c r="L28" s="168">
        <f>IF($C28="","",VLOOKUP($C28,성분!$B$2:$O$51519,10,FALSE))/100*$P28</f>
        <v>4.0000000000000001E-3</v>
      </c>
      <c r="M28" s="168">
        <f>IF($C28="","",VLOOKUP($C28,성분!$B$2:$O$51519,11,FALSE))/100*$P28</f>
        <v>1E-3</v>
      </c>
      <c r="N28" s="168">
        <f>IF($C28="","",VLOOKUP($C28,성분!$B$2:$O$51519,12,FALSE))/100*$P28</f>
        <v>0.02</v>
      </c>
      <c r="O28" s="167">
        <f>IF($C28="","",VLOOKUP($C28,성분!$B$2:$O$51519,13,FALSE))/100*$P28</f>
        <v>0.8</v>
      </c>
      <c r="P28" s="165">
        <f t="shared" si="5"/>
        <v>10</v>
      </c>
      <c r="Q28" s="162">
        <f t="shared" si="6"/>
        <v>1.39</v>
      </c>
      <c r="R28" s="18"/>
    </row>
    <row r="29" spans="1:18" s="160" customFormat="1" ht="27.75" customHeight="1">
      <c r="A29" s="166">
        <f t="shared" si="3"/>
        <v>19</v>
      </c>
      <c r="B29" s="171"/>
      <c r="C29" s="169" t="s">
        <v>1980</v>
      </c>
      <c r="D29" s="168">
        <v>5</v>
      </c>
      <c r="E29" s="168">
        <f>IF($C29="","",VLOOKUP($C29,성분!$B$2:$O$51519,3,FALSE))/100*P29</f>
        <v>1.7000000000000002</v>
      </c>
      <c r="F29" s="168">
        <f>IF($C29="","",VLOOKUP($C29,성분!$B$2:$O$51519,5,FALSE))/100*$P29</f>
        <v>0.35150000000000003</v>
      </c>
      <c r="G29" s="168">
        <f>IF($C29="","",VLOOKUP($C29,성분!$B$2:$O$51519,4,FALSE))/100*$P29</f>
        <v>0.05</v>
      </c>
      <c r="H29" s="168">
        <f>IF($C29="","",VLOOKUP($C29,성분!$B$2:$O$51519,6,FALSE))/100*$P29</f>
        <v>6.4999999999999997E-3</v>
      </c>
      <c r="I29" s="168">
        <f>IF($C29="","",VLOOKUP($C29,성분!$B$2:$O$51519,7,FALSE))/100*$P29</f>
        <v>1.9</v>
      </c>
      <c r="J29" s="168">
        <f>IF($C29="","",VLOOKUP($C29,성분!$B$2:$O$51519,8,FALSE))/100*$P29</f>
        <v>3.4999999999999996E-2</v>
      </c>
      <c r="K29" s="168">
        <f>IF($C29="","",VLOOKUP($C29,성분!$B$2:$O$51519,9,FALSE))/100*$P29</f>
        <v>62.85</v>
      </c>
      <c r="L29" s="168">
        <f>IF($C29="","",VLOOKUP($C29,성분!$B$2:$O$51519,10,FALSE))/100*$P29</f>
        <v>2.9999999999999996E-3</v>
      </c>
      <c r="M29" s="168">
        <f>IF($C29="","",VLOOKUP($C29,성분!$B$2:$O$51519,11,FALSE))/100*$P29</f>
        <v>2E-3</v>
      </c>
      <c r="N29" s="168">
        <f>IF($C29="","",VLOOKUP($C29,성분!$B$2:$O$51519,12,FALSE))/100*$P29</f>
        <v>0.04</v>
      </c>
      <c r="O29" s="167">
        <f>IF($C29="","",VLOOKUP($C29,성분!$B$2:$O$51519,13,FALSE))/100*$P29</f>
        <v>0.3</v>
      </c>
      <c r="P29" s="165">
        <f t="shared" si="5"/>
        <v>5</v>
      </c>
      <c r="Q29" s="162">
        <f t="shared" si="6"/>
        <v>0.69499999999999995</v>
      </c>
      <c r="R29" s="18"/>
    </row>
    <row r="30" spans="1:18" s="160" customFormat="1" ht="27.75" customHeight="1">
      <c r="A30" s="166">
        <f t="shared" si="3"/>
        <v>20</v>
      </c>
      <c r="B30" s="171"/>
      <c r="C30" s="169" t="s">
        <v>2262</v>
      </c>
      <c r="D30" s="168">
        <v>5</v>
      </c>
      <c r="E30" s="168">
        <f>IF($C30="","",VLOOKUP($C30,성분!$B$2:$O$51519,3,FALSE))/100*P30</f>
        <v>1.1000000000000001</v>
      </c>
      <c r="F30" s="168">
        <f>IF($C30="","",VLOOKUP($C30,성분!$B$2:$O$51519,5,FALSE))/100*$P30</f>
        <v>0.26800000000000002</v>
      </c>
      <c r="G30" s="168">
        <f>IF($C30="","",VLOOKUP($C30,성분!$B$2:$O$51519,4,FALSE))/100*$P30</f>
        <v>4.5000000000000005E-2</v>
      </c>
      <c r="H30" s="168">
        <f>IF($C30="","",VLOOKUP($C30,성분!$B$2:$O$51519,6,FALSE))/100*$P30</f>
        <v>2E-3</v>
      </c>
      <c r="I30" s="168">
        <f>IF($C30="","",VLOOKUP($C30,성분!$B$2:$O$51519,7,FALSE))/100*$P30</f>
        <v>0.70000000000000007</v>
      </c>
      <c r="J30" s="168">
        <f>IF($C30="","",VLOOKUP($C30,성분!$B$2:$O$51519,8,FALSE))/100*$P30</f>
        <v>2.5000000000000001E-2</v>
      </c>
      <c r="K30" s="168">
        <f>IF($C30="","",VLOOKUP($C30,성분!$B$2:$O$51519,9,FALSE))/100*$P30</f>
        <v>9.9</v>
      </c>
      <c r="L30" s="168">
        <f>IF($C30="","",VLOOKUP($C30,성분!$B$2:$O$51519,10,FALSE))/100*$P30</f>
        <v>5.0000000000000001E-4</v>
      </c>
      <c r="M30" s="168">
        <f>IF($C30="","",VLOOKUP($C30,성분!$B$2:$O$51519,11,FALSE))/100*$P30</f>
        <v>2E-3</v>
      </c>
      <c r="N30" s="168">
        <f>IF($C30="","",VLOOKUP($C30,성분!$B$2:$O$51519,12,FALSE))/100*$P30</f>
        <v>4.5999999999999999E-2</v>
      </c>
      <c r="O30" s="167">
        <f>IF($C30="","",VLOOKUP($C30,성분!$B$2:$O$51519,13,FALSE))/100*$P30</f>
        <v>1.0760000000000001</v>
      </c>
      <c r="P30" s="165">
        <f t="shared" si="5"/>
        <v>5</v>
      </c>
      <c r="Q30" s="162">
        <f t="shared" si="6"/>
        <v>0.69499999999999995</v>
      </c>
      <c r="R30" s="18"/>
    </row>
    <row r="31" spans="1:18" s="160" customFormat="1" ht="27.75" customHeight="1">
      <c r="A31" s="166">
        <f t="shared" si="3"/>
        <v>21</v>
      </c>
      <c r="B31" s="171" t="s">
        <v>2485</v>
      </c>
      <c r="C31" s="169" t="s">
        <v>2486</v>
      </c>
      <c r="D31" s="168">
        <v>10</v>
      </c>
      <c r="E31" s="168">
        <f>IF($C31="","",VLOOKUP($C31,성분!$B$2:$O$51519,3,FALSE))/100*P31</f>
        <v>30</v>
      </c>
      <c r="F31" s="168">
        <f>IF($C31="","",VLOOKUP($C31,성분!$B$2:$O$51519,5,FALSE))/100*$P31</f>
        <v>0.04</v>
      </c>
      <c r="G31" s="168">
        <f>IF($C31="","",VLOOKUP($C31,성분!$B$2:$O$51519,4,FALSE))/100*$P31</f>
        <v>1</v>
      </c>
      <c r="H31" s="168">
        <f>IF($C31="","",VLOOKUP($C31,성분!$B$2:$O$51519,6,FALSE))/100*$P31</f>
        <v>0.27</v>
      </c>
      <c r="I31" s="168">
        <f>IF($C31="","",VLOOKUP($C31,성분!$B$2:$O$51519,7,FALSE))/100*$P31</f>
        <v>10</v>
      </c>
      <c r="J31" s="168">
        <f>IF($C31="","",VLOOKUP($C31,성분!$B$2:$O$51519,8,FALSE))/100*$P31</f>
        <v>0.11000000000000001</v>
      </c>
      <c r="K31" s="168">
        <f>IF($C31="","",VLOOKUP($C31,성분!$B$2:$O$51519,9,FALSE))/100*$P31</f>
        <v>0</v>
      </c>
      <c r="L31" s="168">
        <f>IF($C31="","",VLOOKUP($C31,성분!$B$2:$O$51519,10,FALSE))/100*$P31</f>
        <v>2.9999999999999996E-3</v>
      </c>
      <c r="M31" s="168">
        <f>IF($C31="","",VLOOKUP($C31,성분!$B$2:$O$51519,11,FALSE))/100*$P31</f>
        <v>2.9999999999999996E-3</v>
      </c>
      <c r="N31" s="168">
        <f>IF($C31="","",VLOOKUP($C31,성분!$B$2:$O$51519,12,FALSE))/100*$P31</f>
        <v>0.13</v>
      </c>
      <c r="O31" s="167">
        <f>IF($C31="","",VLOOKUP($C31,성분!$B$2:$O$51519,13,FALSE))/100*$P31</f>
        <v>0</v>
      </c>
      <c r="P31" s="165">
        <f t="shared" si="5"/>
        <v>10</v>
      </c>
      <c r="Q31" s="162">
        <f t="shared" si="6"/>
        <v>1.39</v>
      </c>
      <c r="R31" s="18"/>
    </row>
    <row r="32" spans="1:18" s="160" customFormat="1" ht="27.75" customHeight="1">
      <c r="A32" s="166">
        <f t="shared" si="3"/>
        <v>22</v>
      </c>
      <c r="B32" s="171"/>
      <c r="C32" s="169" t="s">
        <v>1186</v>
      </c>
      <c r="D32" s="168">
        <v>15</v>
      </c>
      <c r="E32" s="168">
        <f>IF($C32="","",VLOOKUP($C32,성분!$B$2:$O$51519,3,FALSE))/100*P32</f>
        <v>4.6500000000000004</v>
      </c>
      <c r="F32" s="168">
        <f>IF($C32="","",VLOOKUP($C32,성분!$B$2:$O$51519,5,FALSE))/100*$P32</f>
        <v>0.94200000000000017</v>
      </c>
      <c r="G32" s="168">
        <f>IF($C32="","",VLOOKUP($C32,성분!$B$2:$O$51519,4,FALSE))/100*$P32</f>
        <v>0.20999999999999996</v>
      </c>
      <c r="H32" s="168">
        <f>IF($C32="","",VLOOKUP($C32,성분!$B$2:$O$51519,6,FALSE))/100*$P32</f>
        <v>0.20100000000000001</v>
      </c>
      <c r="I32" s="168">
        <f>IF($C32="","",VLOOKUP($C32,성분!$B$2:$O$51519,7,FALSE))/100*$P32</f>
        <v>5.7</v>
      </c>
      <c r="J32" s="168">
        <f>IF($C32="","",VLOOKUP($C32,성분!$B$2:$O$51519,8,FALSE))/100*$P32</f>
        <v>0.06</v>
      </c>
      <c r="K32" s="168">
        <f>IF($C32="","",VLOOKUP($C32,성분!$B$2:$O$51519,9,FALSE))/100*$P32</f>
        <v>0.44999999999999996</v>
      </c>
      <c r="L32" s="168">
        <f>IF($C32="","",VLOOKUP($C32,성분!$B$2:$O$51519,10,FALSE))/100*$P32</f>
        <v>6.0000000000000001E-3</v>
      </c>
      <c r="M32" s="168">
        <f>IF($C32="","",VLOOKUP($C32,성분!$B$2:$O$51519,11,FALSE))/100*$P32</f>
        <v>6.0000000000000001E-3</v>
      </c>
      <c r="N32" s="168">
        <f>IF($C32="","",VLOOKUP($C32,성분!$B$2:$O$51519,12,FALSE))/100*$P32</f>
        <v>4.4999999999999998E-2</v>
      </c>
      <c r="O32" s="167">
        <f>IF($C32="","",VLOOKUP($C32,성분!$B$2:$O$51519,13,FALSE))/100*$P32</f>
        <v>4.3499999999999996</v>
      </c>
      <c r="P32" s="165">
        <f t="shared" si="5"/>
        <v>15</v>
      </c>
      <c r="Q32" s="162">
        <f t="shared" si="6"/>
        <v>2.085</v>
      </c>
      <c r="R32" s="18"/>
    </row>
    <row r="33" spans="1:19" s="160" customFormat="1" ht="27.75" customHeight="1">
      <c r="A33" s="166">
        <f t="shared" si="3"/>
        <v>23</v>
      </c>
      <c r="B33" s="171"/>
      <c r="C33" s="169" t="s">
        <v>1195</v>
      </c>
      <c r="D33" s="168">
        <v>10</v>
      </c>
      <c r="E33" s="168">
        <f>IF($C33="","",VLOOKUP($C33,성분!$B$2:$O$51519,3,FALSE))/100*P33</f>
        <v>0.89999999999999991</v>
      </c>
      <c r="F33" s="168">
        <f>IF($C33="","",VLOOKUP($C33,성분!$B$2:$O$51519,5,FALSE))/100*$P33</f>
        <v>0.17600000000000002</v>
      </c>
      <c r="G33" s="168">
        <f>IF($C33="","",VLOOKUP($C33,성분!$B$2:$O$51519,4,FALSE))/100*$P33</f>
        <v>0</v>
      </c>
      <c r="H33" s="168">
        <f>IF($C33="","",VLOOKUP($C33,성분!$B$2:$O$51519,6,FALSE))/100*$P33</f>
        <v>0.01</v>
      </c>
      <c r="I33" s="168">
        <f>IF($C33="","",VLOOKUP($C33,성분!$B$2:$O$51519,7,FALSE))/100*$P33</f>
        <v>2</v>
      </c>
      <c r="J33" s="168">
        <f>IF($C33="","",VLOOKUP($C33,성분!$B$2:$O$51519,8,FALSE))/100*$P33</f>
        <v>0.03</v>
      </c>
      <c r="K33" s="168">
        <f>IF($C33="","",VLOOKUP($C33,성분!$B$2:$O$51519,9,FALSE))/100*$P33</f>
        <v>2.4</v>
      </c>
      <c r="L33" s="168">
        <f>IF($C33="","",VLOOKUP($C33,성분!$B$2:$O$51519,10,FALSE))/100*$P33</f>
        <v>4.0000000000000001E-3</v>
      </c>
      <c r="M33" s="168">
        <f>IF($C33="","",VLOOKUP($C33,성분!$B$2:$O$51519,11,FALSE))/100*$P33</f>
        <v>4.0000000000000001E-3</v>
      </c>
      <c r="N33" s="168">
        <f>IF($C33="","",VLOOKUP($C33,성분!$B$2:$O$51519,12,FALSE))/100*$P33</f>
        <v>0.02</v>
      </c>
      <c r="O33" s="167">
        <f>IF($C33="","",VLOOKUP($C33,성분!$B$2:$O$51519,13,FALSE))/100*$P33</f>
        <v>1</v>
      </c>
      <c r="P33" s="165">
        <f t="shared" si="5"/>
        <v>10</v>
      </c>
      <c r="Q33" s="162">
        <f t="shared" si="6"/>
        <v>1.39</v>
      </c>
      <c r="R33" s="18"/>
    </row>
    <row r="34" spans="1:19" s="160" customFormat="1" ht="27.75" customHeight="1">
      <c r="A34" s="166">
        <f t="shared" si="3"/>
        <v>24</v>
      </c>
      <c r="B34" s="171"/>
      <c r="C34" s="169" t="s">
        <v>1980</v>
      </c>
      <c r="D34" s="168">
        <v>5</v>
      </c>
      <c r="E34" s="168">
        <f>IF($C34="","",VLOOKUP($C34,성분!$B$2:$O$51519,3,FALSE))/100*P34</f>
        <v>1.7000000000000002</v>
      </c>
      <c r="F34" s="168">
        <f>IF($C34="","",VLOOKUP($C34,성분!$B$2:$O$51519,5,FALSE))/100*$P34</f>
        <v>0.35150000000000003</v>
      </c>
      <c r="G34" s="168">
        <f>IF($C34="","",VLOOKUP($C34,성분!$B$2:$O$51519,4,FALSE))/100*$P34</f>
        <v>0.05</v>
      </c>
      <c r="H34" s="168">
        <f>IF($C34="","",VLOOKUP($C34,성분!$B$2:$O$51519,6,FALSE))/100*$P34</f>
        <v>6.4999999999999997E-3</v>
      </c>
      <c r="I34" s="168">
        <f>IF($C34="","",VLOOKUP($C34,성분!$B$2:$O$51519,7,FALSE))/100*$P34</f>
        <v>1.9</v>
      </c>
      <c r="J34" s="168">
        <f>IF($C34="","",VLOOKUP($C34,성분!$B$2:$O$51519,8,FALSE))/100*$P34</f>
        <v>3.4999999999999996E-2</v>
      </c>
      <c r="K34" s="168">
        <f>IF($C34="","",VLOOKUP($C34,성분!$B$2:$O$51519,9,FALSE))/100*$P34</f>
        <v>62.85</v>
      </c>
      <c r="L34" s="168">
        <f>IF($C34="","",VLOOKUP($C34,성분!$B$2:$O$51519,10,FALSE))/100*$P34</f>
        <v>2.9999999999999996E-3</v>
      </c>
      <c r="M34" s="168">
        <f>IF($C34="","",VLOOKUP($C34,성분!$B$2:$O$51519,11,FALSE))/100*$P34</f>
        <v>2E-3</v>
      </c>
      <c r="N34" s="168">
        <f>IF($C34="","",VLOOKUP($C34,성분!$B$2:$O$51519,12,FALSE))/100*$P34</f>
        <v>0.04</v>
      </c>
      <c r="O34" s="167">
        <f>IF($C34="","",VLOOKUP($C34,성분!$B$2:$O$51519,13,FALSE))/100*$P34</f>
        <v>0.3</v>
      </c>
      <c r="P34" s="165">
        <f t="shared" si="5"/>
        <v>5</v>
      </c>
      <c r="Q34" s="162">
        <f t="shared" si="6"/>
        <v>0.69499999999999995</v>
      </c>
      <c r="R34" s="18"/>
    </row>
    <row r="35" spans="1:19" s="160" customFormat="1" ht="27.75" customHeight="1">
      <c r="A35" s="166">
        <f t="shared" si="3"/>
        <v>25</v>
      </c>
      <c r="B35" s="171"/>
      <c r="C35" s="169" t="s">
        <v>1093</v>
      </c>
      <c r="D35" s="168">
        <v>3</v>
      </c>
      <c r="E35" s="168">
        <f>IF($C35="","",VLOOKUP($C35,성분!$B$2:$O$51519,3,FALSE))/100*P35</f>
        <v>0.96</v>
      </c>
      <c r="F35" s="168">
        <f>IF($C35="","",VLOOKUP($C35,성분!$B$2:$O$51519,5,FALSE))/100*$P35</f>
        <v>0.16500000000000001</v>
      </c>
      <c r="G35" s="168">
        <f>IF($C35="","",VLOOKUP($C35,성분!$B$2:$O$51519,4,FALSE))/100*$P35</f>
        <v>0.10200000000000001</v>
      </c>
      <c r="H35" s="168">
        <f>IF($C35="","",VLOOKUP($C35,성분!$B$2:$O$51519,6,FALSE))/100*$P35</f>
        <v>6.0000000000000001E-3</v>
      </c>
      <c r="I35" s="168">
        <f>IF($C35="","",VLOOKUP($C35,성분!$B$2:$O$51519,7,FALSE))/100*$P35</f>
        <v>9.75</v>
      </c>
      <c r="J35" s="168">
        <f>IF($C35="","",VLOOKUP($C35,성분!$B$2:$O$51519,8,FALSE))/100*$P35</f>
        <v>7.8000000000000014E-2</v>
      </c>
      <c r="K35" s="168">
        <f>IF($C35="","",VLOOKUP($C35,성분!$B$2:$O$51519,9,FALSE))/100*$P35</f>
        <v>26.46</v>
      </c>
      <c r="L35" s="168">
        <f>IF($C35="","",VLOOKUP($C35,성분!$B$2:$O$51519,10,FALSE))/100*$P35</f>
        <v>3.3E-3</v>
      </c>
      <c r="M35" s="168">
        <f>IF($C35="","",VLOOKUP($C35,성분!$B$2:$O$51519,11,FALSE))/100*$P35</f>
        <v>9.0000000000000011E-3</v>
      </c>
      <c r="N35" s="168">
        <f>IF($C35="","",VLOOKUP($C35,성분!$B$2:$O$51519,12,FALSE))/100*$P35</f>
        <v>0.03</v>
      </c>
      <c r="O35" s="167">
        <f>IF($C35="","",VLOOKUP($C35,성분!$B$2:$O$51519,13,FALSE))/100*$P35</f>
        <v>1.29</v>
      </c>
      <c r="P35" s="165">
        <f t="shared" si="5"/>
        <v>3</v>
      </c>
      <c r="Q35" s="162">
        <f t="shared" si="6"/>
        <v>0.41699999999999998</v>
      </c>
      <c r="R35" s="18"/>
    </row>
    <row r="36" spans="1:19" s="160" customFormat="1" ht="27.75" customHeight="1">
      <c r="A36" s="166">
        <f t="shared" si="3"/>
        <v>26</v>
      </c>
      <c r="B36" s="171"/>
      <c r="C36" s="169" t="s">
        <v>2487</v>
      </c>
      <c r="D36" s="168">
        <v>10</v>
      </c>
      <c r="E36" s="168">
        <f>IF($C36="","",VLOOKUP($C36,성분!$B$2:$O$51519,3,FALSE))/100*P36</f>
        <v>22</v>
      </c>
      <c r="F36" s="168">
        <f>IF($C36="","",VLOOKUP($C36,성분!$B$2:$O$51519,5,FALSE))/100*$P36</f>
        <v>4.9279999999999999</v>
      </c>
      <c r="G36" s="168">
        <f>IF($C36="","",VLOOKUP($C36,성분!$B$2:$O$51519,4,FALSE))/100*$P36</f>
        <v>0.48199999999999998</v>
      </c>
      <c r="H36" s="168">
        <f>IF($C36="","",VLOOKUP($C36,성분!$B$2:$O$51519,6,FALSE))/100*$P36</f>
        <v>4.2999999999999997E-2</v>
      </c>
      <c r="I36" s="168">
        <f>IF($C36="","",VLOOKUP($C36,성분!$B$2:$O$51519,7,FALSE))/100*$P36</f>
        <v>0</v>
      </c>
      <c r="J36" s="168">
        <f>IF($C36="","",VLOOKUP($C36,성분!$B$2:$O$51519,8,FALSE))/100*$P36</f>
        <v>0</v>
      </c>
      <c r="K36" s="168">
        <f>IF($C36="","",VLOOKUP($C36,성분!$B$2:$O$51519,9,FALSE))/100*$P36</f>
        <v>0</v>
      </c>
      <c r="L36" s="168">
        <f>IF($C36="","",VLOOKUP($C36,성분!$B$2:$O$51519,10,FALSE))/100*$P36</f>
        <v>0</v>
      </c>
      <c r="M36" s="168">
        <f>IF($C36="","",VLOOKUP($C36,성분!$B$2:$O$51519,11,FALSE))/100*$P36</f>
        <v>0</v>
      </c>
      <c r="N36" s="168">
        <f>IF($C36="","",VLOOKUP($C36,성분!$B$2:$O$51519,12,FALSE))/100*$P36</f>
        <v>0</v>
      </c>
      <c r="O36" s="167">
        <f>IF($C36="","",VLOOKUP($C36,성분!$B$2:$O$51519,13,FALSE))/100*$P36</f>
        <v>0</v>
      </c>
      <c r="P36" s="165">
        <f t="shared" si="0"/>
        <v>10</v>
      </c>
      <c r="Q36" s="162">
        <f t="shared" si="1"/>
        <v>1.39</v>
      </c>
      <c r="R36" s="18"/>
    </row>
    <row r="37" spans="1:19" s="160" customFormat="1" ht="27.75" customHeight="1">
      <c r="A37" s="166">
        <f t="shared" si="3"/>
        <v>27</v>
      </c>
      <c r="B37" s="171" t="s">
        <v>2203</v>
      </c>
      <c r="C37" s="169" t="s">
        <v>2203</v>
      </c>
      <c r="D37" s="168">
        <v>30</v>
      </c>
      <c r="E37" s="168">
        <f>IF($C37="","",VLOOKUP($C37,성분!$B$2:$O$51519,3,FALSE))/100*P37</f>
        <v>9.9</v>
      </c>
      <c r="F37" s="168">
        <f>IF($C37="","",VLOOKUP($C37,성분!$B$2:$O$51519,5,FALSE))/100*$P37</f>
        <v>2.2200000000000002</v>
      </c>
      <c r="G37" s="168">
        <f>IF($C37="","",VLOOKUP($C37,성분!$B$2:$O$51519,4,FALSE))/100*$P37</f>
        <v>0.48</v>
      </c>
      <c r="H37" s="168">
        <f>IF($C37="","",VLOOKUP($C37,성분!$B$2:$O$51519,6,FALSE))/100*$P37</f>
        <v>0.09</v>
      </c>
      <c r="I37" s="168">
        <f>IF($C37="","",VLOOKUP($C37,성분!$B$2:$O$51519,7,FALSE))/100*$P37</f>
        <v>11.1</v>
      </c>
      <c r="J37" s="168">
        <f>IF($C37="","",VLOOKUP($C37,성분!$B$2:$O$51519,8,FALSE))/100*$P37</f>
        <v>0.83999999999999986</v>
      </c>
      <c r="K37" s="168">
        <f>IF($C37="","",VLOOKUP($C37,성분!$B$2:$O$51519,9,FALSE))/100*$P37</f>
        <v>11.4</v>
      </c>
      <c r="L37" s="168">
        <f>IF($C37="","",VLOOKUP($C37,성분!$B$2:$O$51519,10,FALSE))/100*$P37</f>
        <v>4.200000000000001E-2</v>
      </c>
      <c r="M37" s="168">
        <f>IF($C37="","",VLOOKUP($C37,성분!$B$2:$O$51519,11,FALSE))/100*$P37</f>
        <v>1.4999999999999999E-2</v>
      </c>
      <c r="N37" s="168">
        <f>IF($C37="","",VLOOKUP($C37,성분!$B$2:$O$51519,12,FALSE))/100*$P37</f>
        <v>0.15</v>
      </c>
      <c r="O37" s="167">
        <f>IF($C37="","",VLOOKUP($C37,성분!$B$2:$O$51519,13,FALSE))/100*$P37</f>
        <v>5.7</v>
      </c>
      <c r="P37" s="165">
        <f t="shared" ref="P37:P39" si="7">D37</f>
        <v>30</v>
      </c>
      <c r="Q37" s="162">
        <f t="shared" ref="Q37:Q39" si="8">($O$8*P37)/1000</f>
        <v>4.17</v>
      </c>
      <c r="R37" s="18"/>
    </row>
    <row r="38" spans="1:19" s="160" customFormat="1" ht="27.75" customHeight="1">
      <c r="A38" s="166">
        <f t="shared" si="3"/>
        <v>28</v>
      </c>
      <c r="B38" s="171" t="s">
        <v>2488</v>
      </c>
      <c r="C38" s="169" t="s">
        <v>2489</v>
      </c>
      <c r="D38" s="168">
        <v>10</v>
      </c>
      <c r="E38" s="168">
        <f>IF($C38="","",VLOOKUP($C38,성분!$B$2:$O$51519,3,FALSE))/100*P38</f>
        <v>44.589999999999996</v>
      </c>
      <c r="F38" s="168">
        <f>IF($C38="","",VLOOKUP($C38,성분!$B$2:$O$51519,5,FALSE))/100*$P38</f>
        <v>7.7</v>
      </c>
      <c r="G38" s="168">
        <f>IF($C38="","",VLOOKUP($C38,성분!$B$2:$O$51519,4,FALSE))/100*$P38</f>
        <v>0.81</v>
      </c>
      <c r="H38" s="168">
        <f>IF($C38="","",VLOOKUP($C38,성분!$B$2:$O$51519,6,FALSE))/100*$P38</f>
        <v>1.35</v>
      </c>
      <c r="I38" s="168">
        <f>IF($C38="","",VLOOKUP($C38,성분!$B$2:$O$51519,7,FALSE))/100*$P38</f>
        <v>0</v>
      </c>
      <c r="J38" s="168">
        <f>IF($C38="","",VLOOKUP($C38,성분!$B$2:$O$51519,8,FALSE))/100*$P38</f>
        <v>0</v>
      </c>
      <c r="K38" s="168">
        <f>IF($C38="","",VLOOKUP($C38,성분!$B$2:$O$51519,9,FALSE))/100*$P38</f>
        <v>0</v>
      </c>
      <c r="L38" s="168">
        <f>IF($C38="","",VLOOKUP($C38,성분!$B$2:$O$51519,10,FALSE))/100*$P38</f>
        <v>0</v>
      </c>
      <c r="M38" s="168">
        <f>IF($C38="","",VLOOKUP($C38,성분!$B$2:$O$51519,11,FALSE))/100*$P38</f>
        <v>0</v>
      </c>
      <c r="N38" s="168">
        <f>IF($C38="","",VLOOKUP($C38,성분!$B$2:$O$51519,12,FALSE))/100*$P38</f>
        <v>0</v>
      </c>
      <c r="O38" s="167">
        <f>IF($C38="","",VLOOKUP($C38,성분!$B$2:$O$51519,13,FALSE))/100*$P38</f>
        <v>0</v>
      </c>
      <c r="P38" s="165">
        <f t="shared" si="7"/>
        <v>10</v>
      </c>
      <c r="Q38" s="162">
        <f t="shared" si="8"/>
        <v>1.39</v>
      </c>
      <c r="R38" s="18"/>
    </row>
    <row r="39" spans="1:19" s="160" customFormat="1" ht="27.75" customHeight="1">
      <c r="A39" s="166">
        <f t="shared" si="3"/>
        <v>29</v>
      </c>
      <c r="B39" s="171"/>
      <c r="C39" s="169" t="s">
        <v>2011</v>
      </c>
      <c r="D39" s="168">
        <v>80</v>
      </c>
      <c r="E39" s="168">
        <f>IF($C39="","",VLOOKUP($C39,성분!$B$2:$O$51519,3,FALSE))/100*P39</f>
        <v>168.79999999999998</v>
      </c>
      <c r="F39" s="168">
        <f>IF($C39="","",VLOOKUP($C39,성분!$B$2:$O$51519,5,FALSE))/100*$P39</f>
        <v>17.919999999999998</v>
      </c>
      <c r="G39" s="168">
        <f>IF($C39="","",VLOOKUP($C39,성분!$B$2:$O$51519,4,FALSE))/100*$P39</f>
        <v>2.8000000000000003</v>
      </c>
      <c r="H39" s="168">
        <f>IF($C39="","",VLOOKUP($C39,성분!$B$2:$O$51519,6,FALSE))/100*$P39</f>
        <v>9.6</v>
      </c>
      <c r="I39" s="168">
        <f>IF($C39="","",VLOOKUP($C39,성분!$B$2:$O$51519,7,FALSE))/100*$P39</f>
        <v>97.6</v>
      </c>
      <c r="J39" s="168">
        <f>IF($C39="","",VLOOKUP($C39,성분!$B$2:$O$51519,8,FALSE))/100*$P39</f>
        <v>0.08</v>
      </c>
      <c r="K39" s="168">
        <f>IF($C39="","",VLOOKUP($C39,성분!$B$2:$O$51519,9,FALSE))/100*$P39</f>
        <v>86.4</v>
      </c>
      <c r="L39" s="168">
        <f>IF($C39="","",VLOOKUP($C39,성분!$B$2:$O$51519,10,FALSE))/100*$P39</f>
        <v>4.7999999999999994E-2</v>
      </c>
      <c r="M39" s="168">
        <f>IF($C39="","",VLOOKUP($C39,성분!$B$2:$O$51519,11,FALSE))/100*$P39</f>
        <v>0.14399999999999999</v>
      </c>
      <c r="N39" s="168">
        <f>IF($C39="","",VLOOKUP($C39,성분!$B$2:$O$51519,12,FALSE))/100*$P39</f>
        <v>0.08</v>
      </c>
      <c r="O39" s="167">
        <f>IF($C39="","",VLOOKUP($C39,성분!$B$2:$O$51519,13,FALSE))/100*$P39</f>
        <v>0</v>
      </c>
      <c r="P39" s="165">
        <f t="shared" si="7"/>
        <v>80</v>
      </c>
      <c r="Q39" s="162">
        <f t="shared" si="8"/>
        <v>11.12</v>
      </c>
      <c r="R39" s="18"/>
    </row>
    <row r="40" spans="1:19" s="160" customFormat="1" ht="27.75" customHeight="1">
      <c r="A40" s="166">
        <f t="shared" si="3"/>
        <v>30</v>
      </c>
      <c r="B40" s="171"/>
      <c r="C40" s="169" t="s">
        <v>2160</v>
      </c>
      <c r="D40" s="168">
        <v>5</v>
      </c>
      <c r="E40" s="168">
        <f>IF($C40="","",VLOOKUP($C40,성분!$B$2:$O$51519,3,FALSE))/100*P40</f>
        <v>26.8</v>
      </c>
      <c r="F40" s="168">
        <f>IF($C40="","",VLOOKUP($C40,성분!$B$2:$O$51519,5,FALSE))/100*$P40</f>
        <v>3.35</v>
      </c>
      <c r="G40" s="168">
        <f>IF($C40="","",VLOOKUP($C40,성분!$B$2:$O$51519,4,FALSE))/100*$P40</f>
        <v>0.33500000000000002</v>
      </c>
      <c r="H40" s="168">
        <f>IF($C40="","",VLOOKUP($C40,성분!$B$2:$O$51519,6,FALSE))/100*$P40</f>
        <v>1.34</v>
      </c>
      <c r="I40" s="168">
        <f>IF($C40="","",VLOOKUP($C40,성분!$B$2:$O$51519,7,FALSE))/100*$P40</f>
        <v>0</v>
      </c>
      <c r="J40" s="168">
        <f>IF($C40="","",VLOOKUP($C40,성분!$B$2:$O$51519,8,FALSE))/100*$P40</f>
        <v>0</v>
      </c>
      <c r="K40" s="168">
        <f>IF($C40="","",VLOOKUP($C40,성분!$B$2:$O$51519,9,FALSE))/100*$P40</f>
        <v>0</v>
      </c>
      <c r="L40" s="168">
        <f>IF($C40="","",VLOOKUP($C40,성분!$B$2:$O$51519,10,FALSE))/100*$P40</f>
        <v>0</v>
      </c>
      <c r="M40" s="168">
        <f>IF($C40="","",VLOOKUP($C40,성분!$B$2:$O$51519,11,FALSE))/100*$P40</f>
        <v>0</v>
      </c>
      <c r="N40" s="168">
        <f>IF($C40="","",VLOOKUP($C40,성분!$B$2:$O$51519,12,FALSE))/100*$P40</f>
        <v>0</v>
      </c>
      <c r="O40" s="167">
        <f>IF($C40="","",VLOOKUP($C40,성분!$B$2:$O$51519,13,FALSE))/100*$P40</f>
        <v>0</v>
      </c>
      <c r="P40" s="165">
        <f t="shared" si="0"/>
        <v>5</v>
      </c>
      <c r="Q40" s="162">
        <f t="shared" si="1"/>
        <v>0.69499999999999995</v>
      </c>
      <c r="R40" s="18"/>
    </row>
    <row r="41" spans="1:19" s="160" customFormat="1" ht="32.25" customHeight="1">
      <c r="A41" s="235" t="s">
        <v>1628</v>
      </c>
      <c r="B41" s="236"/>
      <c r="C41" s="236"/>
      <c r="D41" s="237"/>
      <c r="E41" s="19">
        <f t="shared" ref="E41:O41" si="9">SUM(E11:E40)</f>
        <v>967.74199999999996</v>
      </c>
      <c r="F41" s="19">
        <f t="shared" si="9"/>
        <v>177.54339999999991</v>
      </c>
      <c r="G41" s="19">
        <f t="shared" si="9"/>
        <v>30.912000000000006</v>
      </c>
      <c r="H41" s="19">
        <f t="shared" si="9"/>
        <v>19.640199999999997</v>
      </c>
      <c r="I41" s="44">
        <f t="shared" si="9"/>
        <v>234.80900000000003</v>
      </c>
      <c r="J41" s="19">
        <f t="shared" si="9"/>
        <v>5.7664000000000009</v>
      </c>
      <c r="K41" s="44">
        <f t="shared" si="9"/>
        <v>544.48599999999988</v>
      </c>
      <c r="L41" s="19">
        <f t="shared" si="9"/>
        <v>0.66369999999999996</v>
      </c>
      <c r="M41" s="19">
        <f t="shared" si="9"/>
        <v>0.37309999999999999</v>
      </c>
      <c r="N41" s="19">
        <f t="shared" si="9"/>
        <v>6.3639999999999999</v>
      </c>
      <c r="O41" s="19">
        <f t="shared" si="9"/>
        <v>45.038000000000004</v>
      </c>
      <c r="P41" s="165">
        <f t="shared" si="0"/>
        <v>0</v>
      </c>
      <c r="Q41" s="162">
        <f t="shared" si="1"/>
        <v>0</v>
      </c>
      <c r="R41" s="18">
        <f t="shared" si="2"/>
        <v>0</v>
      </c>
    </row>
    <row r="42" spans="1:19" s="21" customFormat="1" ht="32.25" customHeight="1">
      <c r="A42" s="238" t="s">
        <v>1790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40"/>
      <c r="P42" s="20"/>
      <c r="Q42" s="160"/>
      <c r="R42" s="18">
        <f>INT(Q42)</f>
        <v>0</v>
      </c>
    </row>
    <row r="43" spans="1:19" s="160" customFormat="1" ht="19.5" customHeight="1">
      <c r="A43" s="220" t="s">
        <v>1629</v>
      </c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2"/>
      <c r="S43" s="18">
        <f>INT(R43)</f>
        <v>0</v>
      </c>
    </row>
    <row r="44" spans="1:19" s="160" customFormat="1" ht="20.100000000000001" customHeight="1">
      <c r="A44" s="247" t="s">
        <v>1630</v>
      </c>
      <c r="B44" s="248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9"/>
      <c r="P44" s="244" t="s">
        <v>5</v>
      </c>
      <c r="Q44" s="245"/>
      <c r="R44" s="250">
        <v>5000</v>
      </c>
      <c r="S44" s="250"/>
    </row>
    <row r="45" spans="1:19" s="160" customFormat="1" ht="20.100000000000001" customHeight="1">
      <c r="A45" s="251" t="s">
        <v>1769</v>
      </c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3"/>
      <c r="P45" s="244" t="s">
        <v>6</v>
      </c>
      <c r="Q45" s="245"/>
      <c r="R45" s="250">
        <f>R44*0.72</f>
        <v>3600</v>
      </c>
      <c r="S45" s="250"/>
    </row>
    <row r="46" spans="1:19" s="160" customFormat="1" ht="20.100000000000001" customHeight="1">
      <c r="A46" s="241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3"/>
      <c r="P46" s="244" t="s">
        <v>1631</v>
      </c>
      <c r="Q46" s="245"/>
      <c r="R46" s="246">
        <v>0.72</v>
      </c>
      <c r="S46" s="246"/>
    </row>
    <row r="47" spans="1:19" s="160" customFormat="1" ht="20.100000000000001" customHeight="1">
      <c r="C47" s="3"/>
      <c r="D47" s="24"/>
      <c r="E47" s="25"/>
      <c r="F47" s="25"/>
      <c r="G47" s="169">
        <v>667</v>
      </c>
      <c r="H47" s="169">
        <v>15</v>
      </c>
      <c r="I47" s="169">
        <v>300</v>
      </c>
      <c r="J47" s="169">
        <v>5.4</v>
      </c>
      <c r="K47" s="169">
        <v>234</v>
      </c>
      <c r="L47" s="169">
        <v>0.34</v>
      </c>
      <c r="M47" s="169">
        <v>0.4</v>
      </c>
      <c r="N47" s="169">
        <v>5.26</v>
      </c>
      <c r="O47" s="169">
        <v>33.4</v>
      </c>
      <c r="P47" s="199"/>
      <c r="Q47" s="199"/>
      <c r="R47" s="23"/>
      <c r="S47" s="23"/>
    </row>
    <row r="48" spans="1:19" s="160" customFormat="1" ht="20.100000000000001" customHeight="1">
      <c r="A48" s="2"/>
      <c r="B48" s="2"/>
      <c r="C48" s="3"/>
      <c r="D48" s="4"/>
      <c r="E48" s="5"/>
      <c r="F48" s="5"/>
      <c r="G48" s="5"/>
      <c r="H48" s="5"/>
      <c r="I48" s="5"/>
      <c r="J48" s="2"/>
      <c r="K48" s="5"/>
      <c r="L48" s="5"/>
      <c r="M48" s="5"/>
      <c r="N48" s="5"/>
      <c r="O48" s="6"/>
    </row>
    <row r="49" spans="1:15" s="160" customFormat="1" ht="20.100000000000001" customHeight="1">
      <c r="A49" s="2"/>
      <c r="B49" s="2"/>
      <c r="C49" s="2"/>
      <c r="D49" s="4"/>
      <c r="E49" s="2"/>
      <c r="F49" s="2"/>
      <c r="G49" s="5"/>
      <c r="H49" s="5"/>
      <c r="I49" s="5"/>
      <c r="J49" s="5"/>
      <c r="K49" s="5"/>
      <c r="L49" s="5"/>
      <c r="M49" s="5"/>
      <c r="N49" s="5"/>
      <c r="O49" s="6"/>
    </row>
    <row r="50" spans="1:15" ht="12">
      <c r="C50" s="2"/>
    </row>
    <row r="51" spans="1:15" ht="12">
      <c r="C51" s="2"/>
    </row>
    <row r="1357" spans="4:4">
      <c r="D1357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43:O43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41:D41"/>
    <mergeCell ref="A42:O42"/>
    <mergeCell ref="A46:O46"/>
    <mergeCell ref="P46:Q46"/>
    <mergeCell ref="R46:S46"/>
    <mergeCell ref="A44:O44"/>
    <mergeCell ref="P44:Q44"/>
    <mergeCell ref="R44:S44"/>
    <mergeCell ref="A45:O45"/>
    <mergeCell ref="P45:Q45"/>
    <mergeCell ref="R45:S45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1" orientation="portrait" r:id="rId1"/>
  <headerFooter alignWithMargins="0">
    <oddHeader>&amp;C&amp;"굴림체,굵게"&amp;18
학    교    급    식    일    지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3ED8-E1F6-49C1-BF9E-4A35BE09AB93}">
  <sheetPr>
    <pageSetUpPr fitToPage="1"/>
  </sheetPr>
  <dimension ref="A1:S1346"/>
  <sheetViews>
    <sheetView view="pageBreakPreview" zoomScale="85" zoomScaleNormal="85" zoomScaleSheetLayoutView="85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K16" sqref="K16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05"/>
      <c r="F1" s="105"/>
      <c r="G1" s="39"/>
      <c r="K1" s="202"/>
      <c r="L1" s="106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05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45764</v>
      </c>
      <c r="D3" s="201"/>
      <c r="E3" s="105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116</v>
      </c>
      <c r="G8" s="226"/>
      <c r="H8" s="226">
        <v>108</v>
      </c>
      <c r="I8" s="226"/>
      <c r="J8" s="226"/>
      <c r="K8" s="226">
        <f>SUM(D8:J8)</f>
        <v>406</v>
      </c>
      <c r="L8" s="226"/>
      <c r="M8" s="226">
        <v>2</v>
      </c>
      <c r="N8" s="227"/>
      <c r="O8" s="228">
        <f>SUM(K8:N8)</f>
        <v>408</v>
      </c>
    </row>
    <row r="9" spans="1:18" customFormat="1" ht="20.100000000000001" customHeight="1">
      <c r="A9" s="230" t="s">
        <v>0</v>
      </c>
      <c r="B9" s="231"/>
      <c r="C9" s="232"/>
      <c r="D9" s="233" t="s">
        <v>2499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02" t="s">
        <v>1626</v>
      </c>
      <c r="Q10" s="103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IF($C11="","",VLOOKUP($C11,성분!$B$2:$O$51519,3,FALSE))/100*P11</f>
        <v>240</v>
      </c>
      <c r="F11" s="16">
        <f>IF($C11="","",VLOOKUP($C11,성분!$B$2:$O$51519,5,FALSE))/100*$P11</f>
        <v>78.5</v>
      </c>
      <c r="G11" s="16">
        <f>IF($C11="","",VLOOKUP($C11,성분!$B$2:$O$51519,4,FALSE))/100*$P11</f>
        <v>6.4</v>
      </c>
      <c r="H11" s="16">
        <f>IF($C11="","",VLOOKUP($C11,성분!$B$2:$O$51519,6,FALSE))/100*$P11</f>
        <v>0.4</v>
      </c>
      <c r="I11" s="16">
        <f>IF($C11="","",VLOOKUP($C11,성분!$B$2:$O$51519,7,FALSE))/100*$P11</f>
        <v>7.0000000000000009</v>
      </c>
      <c r="J11" s="16">
        <f>IF($C11="","",VLOOKUP($C11,성분!$B$2:$O$51519,8,FALSE))/100*$P11</f>
        <v>0.5</v>
      </c>
      <c r="K11" s="16">
        <f>IF($C11="","",VLOOKUP($C11,성분!$B$2:$O$51519,9,FALSE))/100*$P11</f>
        <v>0</v>
      </c>
      <c r="L11" s="16">
        <f>IF($C11="","",VLOOKUP($C11,성분!$B$2:$O$51519,10,FALSE))/100*$P11</f>
        <v>0.12</v>
      </c>
      <c r="M11" s="16">
        <f>IF($C11="","",VLOOKUP($C11,성분!$B$2:$O$51519,11,FALSE))/100*$P11</f>
        <v>0</v>
      </c>
      <c r="N11" s="16">
        <f>IF($C11="","",VLOOKUP($C11,성분!$B$2:$O$51519,12,FALSE))/100*$P11</f>
        <v>1.4</v>
      </c>
      <c r="O11" s="43">
        <f>IF($C11="","",VLOOKUP($C11,성분!$B$2:$O$51519,13,FALSE))/100*$P11</f>
        <v>0</v>
      </c>
      <c r="P11" s="38">
        <f t="shared" ref="P11:P30" si="0">D11</f>
        <v>100</v>
      </c>
      <c r="Q11" s="17">
        <f t="shared" ref="Q11:Q30" si="1">($O$8*P11)/1000</f>
        <v>40.799999999999997</v>
      </c>
      <c r="R11" s="18">
        <f t="shared" ref="R11:R30" si="2">INT(Q11)</f>
        <v>40</v>
      </c>
    </row>
    <row r="12" spans="1:18" customFormat="1" ht="27.75" customHeight="1">
      <c r="A12" s="42">
        <f t="shared" ref="A12:A24" si="3">ROW()-10</f>
        <v>2</v>
      </c>
      <c r="B12" s="193" t="s">
        <v>2335</v>
      </c>
      <c r="C12" s="22" t="s">
        <v>2241</v>
      </c>
      <c r="D12" s="16">
        <v>30</v>
      </c>
      <c r="E12" s="168">
        <f>IF($C12="","",VLOOKUP($C12,성분!$B$2:$O$51519,3,FALSE))/100*P12</f>
        <v>51</v>
      </c>
      <c r="F12" s="168">
        <f>IF($C12="","",VLOOKUP($C12,성분!$B$2:$O$51519,5,FALSE))/100*$P12</f>
        <v>0.06</v>
      </c>
      <c r="G12" s="168">
        <f>IF($C12="","",VLOOKUP($C12,성분!$B$2:$O$51519,4,FALSE))/100*$P12</f>
        <v>3.12</v>
      </c>
      <c r="H12" s="168">
        <f>IF($C12="","",VLOOKUP($C12,성분!$B$2:$O$51519,6,FALSE))/100*$P12</f>
        <v>1.044</v>
      </c>
      <c r="I12" s="168">
        <f>IF($C12="","",VLOOKUP($C12,성분!$B$2:$O$51519,7,FALSE))/100*$P12</f>
        <v>58.8</v>
      </c>
      <c r="J12" s="168">
        <f>IF($C12="","",VLOOKUP($C12,성분!$B$2:$O$51519,8,FALSE))/100*$P12</f>
        <v>0.92999999999999994</v>
      </c>
      <c r="K12" s="168">
        <f>IF($C12="","",VLOOKUP($C12,성분!$B$2:$O$51519,9,FALSE))/100*$P12</f>
        <v>1.7999999999999998</v>
      </c>
      <c r="L12" s="168">
        <f>IF($C12="","",VLOOKUP($C12,성분!$B$2:$O$51519,10,FALSE))/100*$P12</f>
        <v>4.8000000000000001E-2</v>
      </c>
      <c r="M12" s="168">
        <f>IF($C12="","",VLOOKUP($C12,성분!$B$2:$O$51519,11,FALSE))/100*$P12</f>
        <v>7.83</v>
      </c>
      <c r="N12" s="168">
        <f>IF($C12="","",VLOOKUP($C12,성분!$B$2:$O$51519,12,FALSE))/100*$P12</f>
        <v>0.6</v>
      </c>
      <c r="O12" s="167">
        <f>IF($C12="","",VLOOKUP($C12,성분!$B$2:$O$51519,13,FALSE))/100*$P12</f>
        <v>0</v>
      </c>
      <c r="P12" s="38">
        <f t="shared" si="0"/>
        <v>30</v>
      </c>
      <c r="Q12" s="17">
        <f t="shared" si="1"/>
        <v>12.24</v>
      </c>
      <c r="R12" s="18">
        <f t="shared" si="2"/>
        <v>12</v>
      </c>
    </row>
    <row r="13" spans="1:18" customFormat="1" ht="27.75" customHeight="1">
      <c r="A13" s="42">
        <f t="shared" si="3"/>
        <v>3</v>
      </c>
      <c r="B13" s="30"/>
      <c r="C13" s="22" t="s">
        <v>2399</v>
      </c>
      <c r="D13" s="16">
        <v>60</v>
      </c>
      <c r="E13" s="168">
        <f>IF($C13="","",VLOOKUP($C13,성분!$B$2:$O$51519,3,FALSE))/100*P13</f>
        <v>73.8</v>
      </c>
      <c r="F13" s="168">
        <f>IF($C13="","",VLOOKUP($C13,성분!$B$2:$O$51519,5,FALSE))/100*$P13</f>
        <v>0</v>
      </c>
      <c r="G13" s="168">
        <f>IF($C13="","",VLOOKUP($C13,성분!$B$2:$O$51519,4,FALSE))/100*$P13</f>
        <v>4.32</v>
      </c>
      <c r="H13" s="168">
        <f>IF($C13="","",VLOOKUP($C13,성분!$B$2:$O$51519,6,FALSE))/100*$P13</f>
        <v>9.9</v>
      </c>
      <c r="I13" s="168">
        <f>IF($C13="","",VLOOKUP($C13,성분!$B$2:$O$51519,7,FALSE))/100*$P13</f>
        <v>0.6</v>
      </c>
      <c r="J13" s="168">
        <f>IF($C13="","",VLOOKUP($C13,성분!$B$2:$O$51519,8,FALSE))/100*$P13</f>
        <v>0.6</v>
      </c>
      <c r="K13" s="168">
        <f>IF($C13="","",VLOOKUP($C13,성분!$B$2:$O$51519,9,FALSE))/100*$P13</f>
        <v>9.6</v>
      </c>
      <c r="L13" s="168">
        <f>IF($C13="","",VLOOKUP($C13,성분!$B$2:$O$51519,10,FALSE))/100*$P13</f>
        <v>0.06</v>
      </c>
      <c r="M13" s="168">
        <f>IF($C13="","",VLOOKUP($C13,성분!$B$2:$O$51519,11,FALSE))/100*$P13</f>
        <v>4.8000000000000001E-2</v>
      </c>
      <c r="N13" s="168">
        <f>IF($C13="","",VLOOKUP($C13,성분!$B$2:$O$51519,12,FALSE))/100*$P13</f>
        <v>0.52200000000000002</v>
      </c>
      <c r="O13" s="167">
        <f>IF($C13="","",VLOOKUP($C13,성분!$B$2:$O$51519,13,FALSE))/100*$P13</f>
        <v>0</v>
      </c>
      <c r="P13" s="38">
        <f t="shared" si="0"/>
        <v>60</v>
      </c>
      <c r="Q13" s="17">
        <f t="shared" si="1"/>
        <v>24.48</v>
      </c>
      <c r="R13" s="18">
        <f t="shared" si="2"/>
        <v>24</v>
      </c>
    </row>
    <row r="14" spans="1:18" customFormat="1" ht="27.75" customHeight="1">
      <c r="A14" s="42">
        <f t="shared" si="3"/>
        <v>4</v>
      </c>
      <c r="B14" s="30"/>
      <c r="C14" s="22" t="s">
        <v>2193</v>
      </c>
      <c r="D14" s="16">
        <v>25</v>
      </c>
      <c r="E14" s="168">
        <f>IF($C14="","",VLOOKUP($C14,성분!$B$2:$O$51519,3,FALSE))/100*P14</f>
        <v>4.5</v>
      </c>
      <c r="F14" s="168">
        <f>IF($C14="","",VLOOKUP($C14,성분!$B$2:$O$51519,5,FALSE))/100*$P14</f>
        <v>1.0449999999999999</v>
      </c>
      <c r="G14" s="168">
        <f>IF($C14="","",VLOOKUP($C14,성분!$B$2:$O$51519,4,FALSE))/100*$P14</f>
        <v>0.2</v>
      </c>
      <c r="H14" s="168">
        <f>IF($C14="","",VLOOKUP($C14,성분!$B$2:$O$51519,6,FALSE))/100*$P14</f>
        <v>0.05</v>
      </c>
      <c r="I14" s="168">
        <f>IF($C14="","",VLOOKUP($C14,성분!$B$2:$O$51519,7,FALSE))/100*$P14</f>
        <v>6.25</v>
      </c>
      <c r="J14" s="168">
        <f>IF($C14="","",VLOOKUP($C14,성분!$B$2:$O$51519,8,FALSE))/100*$P14</f>
        <v>0.19500000000000001</v>
      </c>
      <c r="K14" s="168">
        <f>IF($C14="","",VLOOKUP($C14,성분!$B$2:$O$51519,9,FALSE))/100*$P14</f>
        <v>3.75</v>
      </c>
      <c r="L14" s="168">
        <f>IF($C14="","",VLOOKUP($C14,성분!$B$2:$O$51519,10,FALSE))/100*$P14</f>
        <v>7.4999999999999997E-3</v>
      </c>
      <c r="M14" s="168">
        <f>IF($C14="","",VLOOKUP($C14,성분!$B$2:$O$51519,11,FALSE))/100*$P14</f>
        <v>1.4999999999999999E-2</v>
      </c>
      <c r="N14" s="168">
        <f>IF($C14="","",VLOOKUP($C14,성분!$B$2:$O$51519,12,FALSE))/100*$P14</f>
        <v>5.2499999999999998E-2</v>
      </c>
      <c r="O14" s="167">
        <f>IF($C14="","",VLOOKUP($C14,성분!$B$2:$O$51519,13,FALSE))/100*$P14</f>
        <v>0.8</v>
      </c>
      <c r="P14" s="38">
        <f t="shared" si="0"/>
        <v>25</v>
      </c>
      <c r="Q14" s="17">
        <f t="shared" si="1"/>
        <v>10.199999999999999</v>
      </c>
      <c r="R14" s="18"/>
    </row>
    <row r="15" spans="1:18" customFormat="1" ht="27.75" customHeight="1">
      <c r="A15" s="42">
        <f t="shared" si="3"/>
        <v>5</v>
      </c>
      <c r="B15" s="30"/>
      <c r="C15" s="22" t="s">
        <v>2405</v>
      </c>
      <c r="D15" s="16">
        <v>20</v>
      </c>
      <c r="E15" s="168">
        <f>IF($C15="","",VLOOKUP($C15,성분!$B$2:$O$51519,3,FALSE))/100*P15</f>
        <v>2</v>
      </c>
      <c r="F15" s="168">
        <f>IF($C15="","",VLOOKUP($C15,성분!$B$2:$O$51519,5,FALSE))/100*$P15</f>
        <v>0.54</v>
      </c>
      <c r="G15" s="168">
        <f>IF($C15="","",VLOOKUP($C15,성분!$B$2:$O$51519,4,FALSE))/100*$P15</f>
        <v>0.27999999999999997</v>
      </c>
      <c r="H15" s="168">
        <f>IF($C15="","",VLOOKUP($C15,성분!$B$2:$O$51519,6,FALSE))/100*$P15</f>
        <v>1.78E-2</v>
      </c>
      <c r="I15" s="168">
        <f>IF($C15="","",VLOOKUP($C15,성분!$B$2:$O$51519,7,FALSE))/100*$P15</f>
        <v>12.2</v>
      </c>
      <c r="J15" s="168">
        <f>IF($C15="","",VLOOKUP($C15,성분!$B$2:$O$51519,8,FALSE))/100*$P15</f>
        <v>0.26</v>
      </c>
      <c r="K15" s="168">
        <f>IF($C15="","",VLOOKUP($C15,성분!$B$2:$O$51519,9,FALSE))/100*$P15</f>
        <v>12.2</v>
      </c>
      <c r="L15" s="168">
        <f>IF($C15="","",VLOOKUP($C15,성분!$B$2:$O$51519,10,FALSE))/100*$P15</f>
        <v>5.9999999999999993E-3</v>
      </c>
      <c r="M15" s="168">
        <f>IF($C15="","",VLOOKUP($C15,성분!$B$2:$O$51519,11,FALSE))/100*$P15</f>
        <v>5.9999999999999993E-3</v>
      </c>
      <c r="N15" s="168">
        <f>IF($C15="","",VLOOKUP($C15,성분!$B$2:$O$51519,12,FALSE))/100*$P15</f>
        <v>0.13999999999999999</v>
      </c>
      <c r="O15" s="167">
        <f>IF($C15="","",VLOOKUP($C15,성분!$B$2:$O$51519,13,FALSE))/100*$P15</f>
        <v>4.8</v>
      </c>
      <c r="P15" s="38">
        <f t="shared" si="0"/>
        <v>20</v>
      </c>
      <c r="Q15" s="17">
        <f t="shared" si="1"/>
        <v>8.16</v>
      </c>
      <c r="R15" s="18"/>
    </row>
    <row r="16" spans="1:18" customFormat="1" ht="27.75" customHeight="1">
      <c r="A16" s="42">
        <f t="shared" si="3"/>
        <v>6</v>
      </c>
      <c r="B16" s="30"/>
      <c r="C16" s="22" t="s">
        <v>2406</v>
      </c>
      <c r="D16" s="16">
        <v>5</v>
      </c>
      <c r="E16" s="168">
        <f>IF($C16="","",VLOOKUP($C16,성분!$B$2:$O$51519,3,FALSE))/100*P16</f>
        <v>13.600000000000001</v>
      </c>
      <c r="F16" s="168">
        <f>IF($C16="","",VLOOKUP($C16,성분!$B$2:$O$51519,5,FALSE))/100*$P16</f>
        <v>2.8600000000000003</v>
      </c>
      <c r="G16" s="168">
        <f>IF($C16="","",VLOOKUP($C16,성분!$B$2:$O$51519,4,FALSE))/100*$P16</f>
        <v>0.79</v>
      </c>
      <c r="H16" s="168">
        <f>IF($C16="","",VLOOKUP($C16,성분!$B$2:$O$51519,6,FALSE))/100*$P16</f>
        <v>0.625</v>
      </c>
      <c r="I16" s="168">
        <f>IF($C16="","",VLOOKUP($C16,성분!$B$2:$O$51519,7,FALSE))/100*$P16</f>
        <v>3.5999999999999996</v>
      </c>
      <c r="J16" s="168">
        <f>IF($C16="","",VLOOKUP($C16,성분!$B$2:$O$51519,8,FALSE))/100*$P16</f>
        <v>0.40500000000000003</v>
      </c>
      <c r="K16" s="168">
        <f>IF($C16="","",VLOOKUP($C16,성분!$B$2:$O$51519,9,FALSE))/100*$P16</f>
        <v>168</v>
      </c>
      <c r="L16" s="168">
        <f>IF($C16="","",VLOOKUP($C16,성분!$B$2:$O$51519,10,FALSE))/100*$P16</f>
        <v>2.0999999999999998E-2</v>
      </c>
      <c r="M16" s="168">
        <f>IF($C16="","",VLOOKUP($C16,성분!$B$2:$O$51519,11,FALSE))/100*$P16</f>
        <v>0.06</v>
      </c>
      <c r="N16" s="168">
        <f>IF($C16="","",VLOOKUP($C16,성분!$B$2:$O$51519,12,FALSE))/100*$P16</f>
        <v>0.70499999999999996</v>
      </c>
      <c r="O16" s="167">
        <f>IF($C16="","",VLOOKUP($C16,성분!$B$2:$O$51519,13,FALSE))/100*$P16</f>
        <v>1</v>
      </c>
      <c r="P16" s="38">
        <f t="shared" si="0"/>
        <v>5</v>
      </c>
      <c r="Q16" s="17">
        <f t="shared" si="1"/>
        <v>2.04</v>
      </c>
      <c r="R16" s="18">
        <f t="shared" ref="R16" si="4">INT(Q16)</f>
        <v>2</v>
      </c>
    </row>
    <row r="17" spans="1:19" customFormat="1" ht="27.75" customHeight="1">
      <c r="A17" s="42">
        <f t="shared" si="3"/>
        <v>7</v>
      </c>
      <c r="B17" s="30"/>
      <c r="C17" s="22" t="s">
        <v>2407</v>
      </c>
      <c r="D17" s="16">
        <v>5</v>
      </c>
      <c r="E17" s="168">
        <f>IF($C17="","",VLOOKUP($C17,성분!$B$2:$O$51519,3,FALSE))/100*P17</f>
        <v>1.3</v>
      </c>
      <c r="F17" s="168">
        <f>IF($C17="","",VLOOKUP($C17,성분!$B$2:$O$51519,5,FALSE))/100*$P17</f>
        <v>0.223</v>
      </c>
      <c r="G17" s="168">
        <f>IF($C17="","",VLOOKUP($C17,성분!$B$2:$O$51519,4,FALSE))/100*$P17</f>
        <v>0</v>
      </c>
      <c r="H17" s="168">
        <f>IF($C17="","",VLOOKUP($C17,성분!$B$2:$O$51519,6,FALSE))/100*$P17</f>
        <v>1.2999999999999999E-2</v>
      </c>
      <c r="I17" s="168">
        <f>IF($C17="","",VLOOKUP($C17,성분!$B$2:$O$51519,7,FALSE))/100*$P17</f>
        <v>4.0500000000000007</v>
      </c>
      <c r="J17" s="168">
        <f>IF($C17="","",VLOOKUP($C17,성분!$B$2:$O$51519,8,FALSE))/100*$P17</f>
        <v>0.05</v>
      </c>
      <c r="K17" s="168">
        <f>IF($C17="","",VLOOKUP($C17,성분!$B$2:$O$51519,9,FALSE))/100*$P17</f>
        <v>6.45</v>
      </c>
      <c r="L17" s="168">
        <f>IF($C17="","",VLOOKUP($C17,성분!$B$2:$O$51519,10,FALSE))/100*$P17</f>
        <v>2.9999999999999996E-3</v>
      </c>
      <c r="M17" s="168">
        <f>IF($C17="","",VLOOKUP($C17,성분!$B$2:$O$51519,11,FALSE))/100*$P17</f>
        <v>4.4999999999999997E-3</v>
      </c>
      <c r="N17" s="168">
        <f>IF($C17="","",VLOOKUP($C17,성분!$B$2:$O$51519,12,FALSE))/100*$P17</f>
        <v>0.03</v>
      </c>
      <c r="O17" s="167">
        <f>IF($C17="","",VLOOKUP($C17,성분!$B$2:$O$51519,13,FALSE))/100*$P17</f>
        <v>1.05</v>
      </c>
      <c r="P17" s="38">
        <f t="shared" si="0"/>
        <v>5</v>
      </c>
      <c r="Q17" s="17">
        <f t="shared" si="1"/>
        <v>2.04</v>
      </c>
      <c r="R17" s="18"/>
    </row>
    <row r="18" spans="1:19" customFormat="1" ht="27.75" customHeight="1">
      <c r="A18" s="42">
        <f t="shared" si="3"/>
        <v>8</v>
      </c>
      <c r="B18" s="30" t="s">
        <v>2492</v>
      </c>
      <c r="C18" s="22" t="s">
        <v>2496</v>
      </c>
      <c r="D18" s="16">
        <v>104</v>
      </c>
      <c r="E18" s="168">
        <f>IF($C18="","",VLOOKUP($C18,성분!$B$2:$O$51519,3,FALSE))/100*P18</f>
        <v>244.4</v>
      </c>
      <c r="F18" s="168">
        <f>IF($C18="","",VLOOKUP($C18,성분!$B$2:$O$51519,5,FALSE))/100*$P18</f>
        <v>14.560000000000002</v>
      </c>
      <c r="G18" s="168">
        <f>IF($C18="","",VLOOKUP($C18,성분!$B$2:$O$51519,4,FALSE))/100*$P18</f>
        <v>13.52</v>
      </c>
      <c r="H18" s="168">
        <f>IF($C18="","",VLOOKUP($C18,성분!$B$2:$O$51519,6,FALSE))/100*$P18</f>
        <v>14.560000000000002</v>
      </c>
      <c r="I18" s="168">
        <f>IF($C18="","",VLOOKUP($C18,성분!$B$2:$O$51519,7,FALSE))/100*$P18</f>
        <v>0</v>
      </c>
      <c r="J18" s="168">
        <f>IF($C18="","",VLOOKUP($C18,성분!$B$2:$O$51519,8,FALSE))/100*$P18</f>
        <v>0</v>
      </c>
      <c r="K18" s="168">
        <f>IF($C18="","",VLOOKUP($C18,성분!$B$2:$O$51519,9,FALSE))/100*$P18</f>
        <v>0</v>
      </c>
      <c r="L18" s="168">
        <f>IF($C18="","",VLOOKUP($C18,성분!$B$2:$O$51519,10,FALSE))/100*$P18</f>
        <v>0</v>
      </c>
      <c r="M18" s="168">
        <f>IF($C18="","",VLOOKUP($C18,성분!$B$2:$O$51519,11,FALSE))/100*$P18</f>
        <v>0</v>
      </c>
      <c r="N18" s="168">
        <f>IF($C18="","",VLOOKUP($C18,성분!$B$2:$O$51519,12,FALSE))/100*$P18</f>
        <v>0</v>
      </c>
      <c r="O18" s="167">
        <f>IF($C18="","",VLOOKUP($C18,성분!$B$2:$O$51519,13,FALSE))/100*$P18</f>
        <v>0</v>
      </c>
      <c r="P18" s="38">
        <f t="shared" si="0"/>
        <v>104</v>
      </c>
      <c r="Q18" s="17">
        <f t="shared" si="1"/>
        <v>42.432000000000002</v>
      </c>
      <c r="R18" s="18">
        <f t="shared" si="2"/>
        <v>42</v>
      </c>
    </row>
    <row r="19" spans="1:19" customFormat="1" ht="27.75" customHeight="1">
      <c r="A19" s="42">
        <f t="shared" si="3"/>
        <v>9</v>
      </c>
      <c r="B19" s="30"/>
      <c r="C19" s="22" t="s">
        <v>2493</v>
      </c>
      <c r="D19" s="16">
        <v>5</v>
      </c>
      <c r="E19" s="168">
        <f>IF($C19="","",VLOOKUP($C19,성분!$B$2:$O$51519,3,FALSE))/100*P19</f>
        <v>37.75</v>
      </c>
      <c r="F19" s="168">
        <f>IF($C19="","",VLOOKUP($C19,성분!$B$2:$O$51519,5,FALSE))/100*$P19</f>
        <v>2.5000000000000001E-2</v>
      </c>
      <c r="G19" s="168">
        <f>IF($C19="","",VLOOKUP($C19,성분!$B$2:$O$51519,4,FALSE))/100*$P19</f>
        <v>0.05</v>
      </c>
      <c r="H19" s="168">
        <f>IF($C19="","",VLOOKUP($C19,성분!$B$2:$O$51519,6,FALSE))/100*$P19</f>
        <v>4.1499999999999995</v>
      </c>
      <c r="I19" s="168">
        <f>IF($C19="","",VLOOKUP($C19,성분!$B$2:$O$51519,7,FALSE))/100*$P19</f>
        <v>1.1000000000000001</v>
      </c>
      <c r="J19" s="168">
        <f>IF($C19="","",VLOOKUP($C19,성분!$B$2:$O$51519,8,FALSE))/100*$P19</f>
        <v>5.0000000000000001E-3</v>
      </c>
      <c r="K19" s="168">
        <f>IF($C19="","",VLOOKUP($C19,성분!$B$2:$O$51519,9,FALSE))/100*$P19</f>
        <v>1.4000000000000001</v>
      </c>
      <c r="L19" s="168">
        <f>IF($C19="","",VLOOKUP($C19,성분!$B$2:$O$51519,10,FALSE))/100*$P19</f>
        <v>6.15</v>
      </c>
      <c r="M19" s="168">
        <f>IF($C19="","",VLOOKUP($C19,성분!$B$2:$O$51519,11,FALSE))/100*$P19</f>
        <v>5.0000000000000001E-4</v>
      </c>
      <c r="N19" s="168">
        <f>IF($C19="","",VLOOKUP($C19,성분!$B$2:$O$51519,12,FALSE))/100*$P19</f>
        <v>1.4999999999999998E-3</v>
      </c>
      <c r="O19" s="167">
        <f>IF($C19="","",VLOOKUP($C19,성분!$B$2:$O$51519,13,FALSE))/100*$P19</f>
        <v>0</v>
      </c>
      <c r="P19" s="38">
        <f t="shared" si="0"/>
        <v>5</v>
      </c>
      <c r="Q19" s="17">
        <f t="shared" si="1"/>
        <v>2.04</v>
      </c>
      <c r="R19" s="18"/>
    </row>
    <row r="20" spans="1:19" s="153" customFormat="1" ht="27.75" customHeight="1">
      <c r="A20" s="159">
        <v>10</v>
      </c>
      <c r="B20" s="157"/>
      <c r="C20" s="156" t="s">
        <v>2494</v>
      </c>
      <c r="D20" s="154">
        <v>5</v>
      </c>
      <c r="E20" s="168">
        <f>IF($C20="","",VLOOKUP($C20,성분!$B$2:$O$51519,3,FALSE))/100*P20</f>
        <v>14.65</v>
      </c>
      <c r="F20" s="168">
        <f>IF($C20="","",VLOOKUP($C20,성분!$B$2:$O$51519,5,FALSE))/100*$P20</f>
        <v>3.95</v>
      </c>
      <c r="G20" s="168">
        <f>IF($C20="","",VLOOKUP($C20,성분!$B$2:$O$51519,4,FALSE))/100*$P20</f>
        <v>5.0000000000000001E-3</v>
      </c>
      <c r="H20" s="168">
        <f>IF($C20="","",VLOOKUP($C20,성분!$B$2:$O$51519,6,FALSE))/100*$P20</f>
        <v>0</v>
      </c>
      <c r="I20" s="168">
        <f>IF($C20="","",VLOOKUP($C20,성분!$B$2:$O$51519,7,FALSE))/100*$P20</f>
        <v>0.05</v>
      </c>
      <c r="J20" s="168">
        <f>IF($C20="","",VLOOKUP($C20,성분!$B$2:$O$51519,8,FALSE))/100*$P20</f>
        <v>0.01</v>
      </c>
      <c r="K20" s="168">
        <f>IF($C20="","",VLOOKUP($C20,성분!$B$2:$O$51519,9,FALSE))/100*$P20</f>
        <v>0</v>
      </c>
      <c r="L20" s="168">
        <f>IF($C20="","",VLOOKUP($C20,성분!$B$2:$O$51519,10,FALSE))/100*$P20</f>
        <v>0</v>
      </c>
      <c r="M20" s="168">
        <f>IF($C20="","",VLOOKUP($C20,성분!$B$2:$O$51519,11,FALSE))/100*$P20</f>
        <v>0</v>
      </c>
      <c r="N20" s="168">
        <f>IF($C20="","",VLOOKUP($C20,성분!$B$2:$O$51519,12,FALSE))/100*$P20</f>
        <v>0</v>
      </c>
      <c r="O20" s="167">
        <f>IF($C20="","",VLOOKUP($C20,성분!$B$2:$O$51519,13,FALSE))/100*$P20</f>
        <v>0</v>
      </c>
      <c r="P20" s="158">
        <f t="shared" si="0"/>
        <v>5</v>
      </c>
      <c r="Q20" s="155">
        <f t="shared" si="1"/>
        <v>2.04</v>
      </c>
      <c r="R20" s="18"/>
    </row>
    <row r="21" spans="1:19" customFormat="1" ht="27.75" customHeight="1">
      <c r="A21" s="42">
        <v>11</v>
      </c>
      <c r="B21" s="30"/>
      <c r="C21" s="22" t="s">
        <v>2495</v>
      </c>
      <c r="D21" s="16">
        <v>5</v>
      </c>
      <c r="E21" s="168">
        <f>IF($C21="","",VLOOKUP($C21,성분!$B$2:$O$51519,3,FALSE))/100*P21</f>
        <v>2</v>
      </c>
      <c r="F21" s="168">
        <f>IF($C21="","",VLOOKUP($C21,성분!$B$2:$O$51519,5,FALSE))/100*$P21</f>
        <v>1.21</v>
      </c>
      <c r="G21" s="168">
        <f>IF($C21="","",VLOOKUP($C21,성분!$B$2:$O$51519,4,FALSE))/100*$P21</f>
        <v>0.17500000000000002</v>
      </c>
      <c r="H21" s="168">
        <f>IF($C21="","",VLOOKUP($C21,성분!$B$2:$O$51519,6,FALSE))/100*$P21</f>
        <v>1.7000000000000001E-2</v>
      </c>
      <c r="I21" s="168">
        <f>IF($C21="","",VLOOKUP($C21,성분!$B$2:$O$51519,7,FALSE))/100*$P21</f>
        <v>1.6</v>
      </c>
      <c r="J21" s="168">
        <f>IF($C21="","",VLOOKUP($C21,성분!$B$2:$O$51519,8,FALSE))/100*$P21</f>
        <v>0.05</v>
      </c>
      <c r="K21" s="168">
        <f>IF($C21="","",VLOOKUP($C21,성분!$B$2:$O$51519,9,FALSE))/100*$P21</f>
        <v>14.1</v>
      </c>
      <c r="L21" s="168">
        <f>IF($C21="","",VLOOKUP($C21,성분!$B$2:$O$51519,10,FALSE))/100*$P21</f>
        <v>6.4999999999999997E-3</v>
      </c>
      <c r="M21" s="168">
        <f>IF($C21="","",VLOOKUP($C21,성분!$B$2:$O$51519,11,FALSE))/100*$P21</f>
        <v>5.9999999999999993E-3</v>
      </c>
      <c r="N21" s="168">
        <f>IF($C21="","",VLOOKUP($C21,성분!$B$2:$O$51519,12,FALSE))/100*$P21</f>
        <v>0.04</v>
      </c>
      <c r="O21" s="167">
        <f>IF($C21="","",VLOOKUP($C21,성분!$B$2:$O$51519,13,FALSE))/100*$P21</f>
        <v>0.5</v>
      </c>
      <c r="P21" s="38">
        <f t="shared" si="0"/>
        <v>5</v>
      </c>
      <c r="Q21" s="17">
        <f t="shared" si="1"/>
        <v>2.04</v>
      </c>
      <c r="R21" s="18"/>
    </row>
    <row r="22" spans="1:19" customFormat="1" ht="27.75" customHeight="1">
      <c r="A22" s="42">
        <f t="shared" si="3"/>
        <v>12</v>
      </c>
      <c r="B22" s="30" t="s">
        <v>2497</v>
      </c>
      <c r="C22" s="22" t="s">
        <v>2498</v>
      </c>
      <c r="D22" s="16">
        <v>84</v>
      </c>
      <c r="E22" s="168">
        <f>IF($C22="","",VLOOKUP($C22,성분!$B$2:$O$51519,3,FALSE))/100*P22</f>
        <v>66.36</v>
      </c>
      <c r="F22" s="168">
        <f>IF($C22="","",VLOOKUP($C22,성분!$B$2:$O$51519,5,FALSE))/100*$P22</f>
        <v>3.1080000000000005</v>
      </c>
      <c r="G22" s="168">
        <f>IF($C22="","",VLOOKUP($C22,성분!$B$2:$O$51519,4,FALSE))/100*$P22</f>
        <v>7.056</v>
      </c>
      <c r="H22" s="168">
        <f>IF($C22="","",VLOOKUP($C22,성분!$B$2:$O$51519,6,FALSE))/100*$P22</f>
        <v>2.9400000000000004</v>
      </c>
      <c r="I22" s="168">
        <f>IF($C22="","",VLOOKUP($C22,성분!$B$2:$O$51519,7,FALSE))/100*$P22</f>
        <v>133.56</v>
      </c>
      <c r="J22" s="168">
        <f>IF($C22="","",VLOOKUP($C22,성분!$B$2:$O$51519,8,FALSE))/100*$P22</f>
        <v>2.1840000000000002</v>
      </c>
      <c r="K22" s="168">
        <f>IF($C22="","",VLOOKUP($C22,성분!$B$2:$O$51519,9,FALSE))/100*$P22</f>
        <v>0</v>
      </c>
      <c r="L22" s="168">
        <f>IF($C22="","",VLOOKUP($C22,성분!$B$2:$O$51519,10,FALSE))/100*$P22</f>
        <v>4.2000000000000003E-2</v>
      </c>
      <c r="M22" s="168">
        <f>IF($C22="","",VLOOKUP($C22,성분!$B$2:$O$51519,11,FALSE))/100*$P22</f>
        <v>3.3600000000000005E-2</v>
      </c>
      <c r="N22" s="168">
        <f>IF($C22="","",VLOOKUP($C22,성분!$B$2:$O$51519,12,FALSE))/100*$P22</f>
        <v>0.58799999999999997</v>
      </c>
      <c r="O22" s="167">
        <f>IF($C22="","",VLOOKUP($C22,성분!$B$2:$O$51519,13,FALSE))/100*$P22</f>
        <v>0</v>
      </c>
      <c r="P22" s="38">
        <f t="shared" si="0"/>
        <v>84</v>
      </c>
      <c r="Q22" s="17">
        <f t="shared" si="1"/>
        <v>34.271999999999998</v>
      </c>
      <c r="R22" s="18"/>
    </row>
    <row r="23" spans="1:19" customFormat="1" ht="27.75" customHeight="1">
      <c r="A23" s="42">
        <f t="shared" si="3"/>
        <v>13</v>
      </c>
      <c r="B23" s="30"/>
      <c r="C23" s="22" t="s">
        <v>2193</v>
      </c>
      <c r="D23" s="16">
        <v>20</v>
      </c>
      <c r="E23" s="168">
        <f>IF($C23="","",VLOOKUP($C23,성분!$B$2:$O$51519,3,FALSE))/100*P23</f>
        <v>3.5999999999999996</v>
      </c>
      <c r="F23" s="168">
        <f>IF($C23="","",VLOOKUP($C23,성분!$B$2:$O$51519,5,FALSE))/100*$P23</f>
        <v>0.83599999999999997</v>
      </c>
      <c r="G23" s="168">
        <f>IF($C23="","",VLOOKUP($C23,성분!$B$2:$O$51519,4,FALSE))/100*$P23</f>
        <v>0.16</v>
      </c>
      <c r="H23" s="168">
        <f>IF($C23="","",VLOOKUP($C23,성분!$B$2:$O$51519,6,FALSE))/100*$P23</f>
        <v>0.04</v>
      </c>
      <c r="I23" s="168">
        <f>IF($C23="","",VLOOKUP($C23,성분!$B$2:$O$51519,7,FALSE))/100*$P23</f>
        <v>5</v>
      </c>
      <c r="J23" s="168">
        <f>IF($C23="","",VLOOKUP($C23,성분!$B$2:$O$51519,8,FALSE))/100*$P23</f>
        <v>0.156</v>
      </c>
      <c r="K23" s="168">
        <f>IF($C23="","",VLOOKUP($C23,성분!$B$2:$O$51519,9,FALSE))/100*$P23</f>
        <v>3</v>
      </c>
      <c r="L23" s="168">
        <f>IF($C23="","",VLOOKUP($C23,성분!$B$2:$O$51519,10,FALSE))/100*$P23</f>
        <v>5.9999999999999993E-3</v>
      </c>
      <c r="M23" s="168">
        <f>IF($C23="","",VLOOKUP($C23,성분!$B$2:$O$51519,11,FALSE))/100*$P23</f>
        <v>1.1999999999999999E-2</v>
      </c>
      <c r="N23" s="168">
        <f>IF($C23="","",VLOOKUP($C23,성분!$B$2:$O$51519,12,FALSE))/100*$P23</f>
        <v>4.1999999999999996E-2</v>
      </c>
      <c r="O23" s="167">
        <f>IF($C23="","",VLOOKUP($C23,성분!$B$2:$O$51519,13,FALSE))/100*$P23</f>
        <v>0.64</v>
      </c>
      <c r="P23" s="38">
        <f t="shared" si="0"/>
        <v>20</v>
      </c>
      <c r="Q23" s="17">
        <f t="shared" si="1"/>
        <v>8.16</v>
      </c>
      <c r="R23" s="18"/>
    </row>
    <row r="24" spans="1:19" customFormat="1" ht="27.75" customHeight="1">
      <c r="A24" s="42">
        <f t="shared" si="3"/>
        <v>14</v>
      </c>
      <c r="B24" s="30"/>
      <c r="C24" s="22" t="s">
        <v>1239</v>
      </c>
      <c r="D24" s="16">
        <v>3</v>
      </c>
      <c r="E24" s="168">
        <f>IF($C24="","",VLOOKUP($C24,성분!$B$2:$O$51519,3,FALSE))/100*P24</f>
        <v>0.78</v>
      </c>
      <c r="F24" s="168">
        <f>IF($C24="","",VLOOKUP($C24,성분!$B$2:$O$51519,5,FALSE))/100*$P24</f>
        <v>0.1338</v>
      </c>
      <c r="G24" s="168">
        <f>IF($C24="","",VLOOKUP($C24,성분!$B$2:$O$51519,4,FALSE))/100*$P24</f>
        <v>0</v>
      </c>
      <c r="H24" s="168">
        <f>IF($C24="","",VLOOKUP($C24,성분!$B$2:$O$51519,6,FALSE))/100*$P24</f>
        <v>7.7999999999999996E-3</v>
      </c>
      <c r="I24" s="168">
        <f>IF($C24="","",VLOOKUP($C24,성분!$B$2:$O$51519,7,FALSE))/100*$P24</f>
        <v>2.4300000000000002</v>
      </c>
      <c r="J24" s="168">
        <f>IF($C24="","",VLOOKUP($C24,성분!$B$2:$O$51519,8,FALSE))/100*$P24</f>
        <v>0.03</v>
      </c>
      <c r="K24" s="168">
        <f>IF($C24="","",VLOOKUP($C24,성분!$B$2:$O$51519,9,FALSE))/100*$P24</f>
        <v>3.87</v>
      </c>
      <c r="L24" s="168">
        <f>IF($C24="","",VLOOKUP($C24,성분!$B$2:$O$51519,10,FALSE))/100*$P24</f>
        <v>1.8E-3</v>
      </c>
      <c r="M24" s="168">
        <f>IF($C24="","",VLOOKUP($C24,성분!$B$2:$O$51519,11,FALSE))/100*$P24</f>
        <v>2.7000000000000001E-3</v>
      </c>
      <c r="N24" s="168">
        <f>IF($C24="","",VLOOKUP($C24,성분!$B$2:$O$51519,12,FALSE))/100*$P24</f>
        <v>1.8000000000000002E-2</v>
      </c>
      <c r="O24" s="167">
        <f>IF($C24="","",VLOOKUP($C24,성분!$B$2:$O$51519,13,FALSE))/100*$P24</f>
        <v>0.63</v>
      </c>
      <c r="P24" s="38">
        <f t="shared" si="0"/>
        <v>3</v>
      </c>
      <c r="Q24" s="17">
        <f t="shared" si="1"/>
        <v>1.224</v>
      </c>
      <c r="R24" s="18"/>
    </row>
    <row r="25" spans="1:19" s="160" customFormat="1" ht="27.75" customHeight="1">
      <c r="A25" s="166">
        <v>21</v>
      </c>
      <c r="B25" s="170" t="s">
        <v>2338</v>
      </c>
      <c r="C25" s="172" t="s">
        <v>2408</v>
      </c>
      <c r="D25" s="168">
        <v>23</v>
      </c>
      <c r="E25" s="168">
        <f>IF($C25="","",VLOOKUP($C25,성분!$B$2:$O$51519,3,FALSE))/100*P25</f>
        <v>0</v>
      </c>
      <c r="F25" s="168">
        <f>IF($C25="","",VLOOKUP($C25,성분!$B$2:$O$51519,5,FALSE))/100*$P25</f>
        <v>0</v>
      </c>
      <c r="G25" s="168">
        <f>IF($C25="","",VLOOKUP($C25,성분!$B$2:$O$51519,4,FALSE))/100*$P25</f>
        <v>0</v>
      </c>
      <c r="H25" s="168">
        <f>IF($C25="","",VLOOKUP($C25,성분!$B$2:$O$51519,6,FALSE))/100*$P25</f>
        <v>0</v>
      </c>
      <c r="I25" s="168">
        <f>IF($C25="","",VLOOKUP($C25,성분!$B$2:$O$51519,7,FALSE))/100*$P25</f>
        <v>0</v>
      </c>
      <c r="J25" s="168">
        <f>IF($C25="","",VLOOKUP($C25,성분!$B$2:$O$51519,8,FALSE))/100*$P25</f>
        <v>0</v>
      </c>
      <c r="K25" s="168">
        <f>IF($C25="","",VLOOKUP($C25,성분!$B$2:$O$51519,9,FALSE))/100*$P25</f>
        <v>0</v>
      </c>
      <c r="L25" s="168">
        <f>IF($C25="","",VLOOKUP($C25,성분!$B$2:$O$51519,10,FALSE))/100*$P25</f>
        <v>0</v>
      </c>
      <c r="M25" s="168">
        <f>IF($C25="","",VLOOKUP($C25,성분!$B$2:$O$51519,11,FALSE))/100*$P25</f>
        <v>0</v>
      </c>
      <c r="N25" s="168">
        <f>IF($C25="","",VLOOKUP($C25,성분!$B$2:$O$51519,12,FALSE))/100*$P25</f>
        <v>0</v>
      </c>
      <c r="O25" s="167">
        <f>IF($C25="","",VLOOKUP($C25,성분!$B$2:$O$51519,13,FALSE))/100*$P25</f>
        <v>0</v>
      </c>
      <c r="P25" s="165"/>
      <c r="Q25" s="162"/>
      <c r="R25" s="18"/>
    </row>
    <row r="26" spans="1:19" s="160" customFormat="1" ht="27.75" customHeight="1">
      <c r="A26" s="166">
        <v>22</v>
      </c>
      <c r="B26" s="170"/>
      <c r="C26" s="172" t="s">
        <v>1980</v>
      </c>
      <c r="D26" s="168">
        <v>3</v>
      </c>
      <c r="E26" s="168">
        <f>IF($C26="","",VLOOKUP($C26,성분!$B$2:$O$51519,3,FALSE))/100*P26</f>
        <v>0</v>
      </c>
      <c r="F26" s="168">
        <f>IF($C26="","",VLOOKUP($C26,성분!$B$2:$O$51519,5,FALSE))/100*$P26</f>
        <v>0</v>
      </c>
      <c r="G26" s="168">
        <f>IF($C26="","",VLOOKUP($C26,성분!$B$2:$O$51519,4,FALSE))/100*$P26</f>
        <v>0</v>
      </c>
      <c r="H26" s="168">
        <f>IF($C26="","",VLOOKUP($C26,성분!$B$2:$O$51519,6,FALSE))/100*$P26</f>
        <v>0</v>
      </c>
      <c r="I26" s="168">
        <f>IF($C26="","",VLOOKUP($C26,성분!$B$2:$O$51519,7,FALSE))/100*$P26</f>
        <v>0</v>
      </c>
      <c r="J26" s="168">
        <f>IF($C26="","",VLOOKUP($C26,성분!$B$2:$O$51519,8,FALSE))/100*$P26</f>
        <v>0</v>
      </c>
      <c r="K26" s="168">
        <f>IF($C26="","",VLOOKUP($C26,성분!$B$2:$O$51519,9,FALSE))/100*$P26</f>
        <v>0</v>
      </c>
      <c r="L26" s="168">
        <f>IF($C26="","",VLOOKUP($C26,성분!$B$2:$O$51519,10,FALSE))/100*$P26</f>
        <v>0</v>
      </c>
      <c r="M26" s="168">
        <f>IF($C26="","",VLOOKUP($C26,성분!$B$2:$O$51519,11,FALSE))/100*$P26</f>
        <v>0</v>
      </c>
      <c r="N26" s="168">
        <f>IF($C26="","",VLOOKUP($C26,성분!$B$2:$O$51519,12,FALSE))/100*$P26</f>
        <v>0</v>
      </c>
      <c r="O26" s="167">
        <f>IF($C26="","",VLOOKUP($C26,성분!$B$2:$O$51519,13,FALSE))/100*$P26</f>
        <v>0</v>
      </c>
      <c r="P26" s="165"/>
      <c r="Q26" s="162"/>
      <c r="R26" s="18"/>
    </row>
    <row r="27" spans="1:19" s="160" customFormat="1" ht="27.75" customHeight="1">
      <c r="A27" s="166">
        <v>23</v>
      </c>
      <c r="B27" s="170"/>
      <c r="C27" s="172" t="s">
        <v>2238</v>
      </c>
      <c r="D27" s="168">
        <v>1</v>
      </c>
      <c r="E27" s="168">
        <f>IF($C27="","",VLOOKUP($C27,성분!$B$2:$O$51519,3,FALSE))/100*P27</f>
        <v>0</v>
      </c>
      <c r="F27" s="168">
        <f>IF($C27="","",VLOOKUP($C27,성분!$B$2:$O$51519,5,FALSE))/100*$P27</f>
        <v>0</v>
      </c>
      <c r="G27" s="168">
        <f>IF($C27="","",VLOOKUP($C27,성분!$B$2:$O$51519,4,FALSE))/100*$P27</f>
        <v>0</v>
      </c>
      <c r="H27" s="168">
        <f>IF($C27="","",VLOOKUP($C27,성분!$B$2:$O$51519,6,FALSE))/100*$P27</f>
        <v>0</v>
      </c>
      <c r="I27" s="168">
        <f>IF($C27="","",VLOOKUP($C27,성분!$B$2:$O$51519,7,FALSE))/100*$P27</f>
        <v>0</v>
      </c>
      <c r="J27" s="168">
        <f>IF($C27="","",VLOOKUP($C27,성분!$B$2:$O$51519,8,FALSE))/100*$P27</f>
        <v>0</v>
      </c>
      <c r="K27" s="168">
        <f>IF($C27="","",VLOOKUP($C27,성분!$B$2:$O$51519,9,FALSE))/100*$P27</f>
        <v>0</v>
      </c>
      <c r="L27" s="168">
        <f>IF($C27="","",VLOOKUP($C27,성분!$B$2:$O$51519,10,FALSE))/100*$P27</f>
        <v>0</v>
      </c>
      <c r="M27" s="168">
        <f>IF($C27="","",VLOOKUP($C27,성분!$B$2:$O$51519,11,FALSE))/100*$P27</f>
        <v>0</v>
      </c>
      <c r="N27" s="168">
        <f>IF($C27="","",VLOOKUP($C27,성분!$B$2:$O$51519,12,FALSE))/100*$P27</f>
        <v>0</v>
      </c>
      <c r="O27" s="167">
        <f>IF($C27="","",VLOOKUP($C27,성분!$B$2:$O$51519,13,FALSE))/100*$P27</f>
        <v>0</v>
      </c>
      <c r="P27" s="165"/>
      <c r="Q27" s="162"/>
      <c r="R27" s="18"/>
    </row>
    <row r="28" spans="1:19" customFormat="1" ht="27.75" customHeight="1">
      <c r="A28" s="42">
        <v>24</v>
      </c>
      <c r="B28" s="30" t="s">
        <v>1084</v>
      </c>
      <c r="C28" s="22" t="s">
        <v>1084</v>
      </c>
      <c r="D28" s="16">
        <v>30</v>
      </c>
      <c r="E28" s="168">
        <f>IF($C28="","",VLOOKUP($C28,성분!$B$2:$O$51519,3,FALSE))/100*P28</f>
        <v>15</v>
      </c>
      <c r="F28" s="168">
        <f>IF($C28="","",VLOOKUP($C28,성분!$B$2:$O$51519,5,FALSE))/100*$P28</f>
        <v>1.32</v>
      </c>
      <c r="G28" s="168">
        <f>IF($C28="","",VLOOKUP($C28,성분!$B$2:$O$51519,4,FALSE))/100*$P28</f>
        <v>0.6</v>
      </c>
      <c r="H28" s="168">
        <f>IF($C28="","",VLOOKUP($C28,성분!$B$2:$O$51519,6,FALSE))/100*$P28</f>
        <v>0.06</v>
      </c>
      <c r="I28" s="168">
        <f>IF($C28="","",VLOOKUP($C28,성분!$B$2:$O$51519,7,FALSE))/100*$P28</f>
        <v>14.1</v>
      </c>
      <c r="J28" s="168">
        <f>IF($C28="","",VLOOKUP($C28,성분!$B$2:$O$51519,8,FALSE))/100*$P28</f>
        <v>0.89999999999999991</v>
      </c>
      <c r="K28" s="168">
        <f>IF($C28="","",VLOOKUP($C28,성분!$B$2:$O$51519,9,FALSE))/100*$P28</f>
        <v>14.399999999999999</v>
      </c>
      <c r="L28" s="168">
        <f>IF($C28="","",VLOOKUP($C28,성분!$B$2:$O$51519,10,FALSE))/100*$P28</f>
        <v>1.7999999999999999E-2</v>
      </c>
      <c r="M28" s="168">
        <f>IF($C28="","",VLOOKUP($C28,성분!$B$2:$O$51519,11,FALSE))/100*$P28</f>
        <v>1.7999999999999999E-2</v>
      </c>
      <c r="N28" s="168">
        <f>IF($C28="","",VLOOKUP($C28,성분!$B$2:$O$51519,12,FALSE))/100*$P28</f>
        <v>0.24</v>
      </c>
      <c r="O28" s="167">
        <f>IF($C28="","",VLOOKUP($C28,성분!$B$2:$O$51519,13,FALSE))/100*$P28</f>
        <v>4.2</v>
      </c>
      <c r="P28" s="38">
        <f t="shared" si="0"/>
        <v>30</v>
      </c>
      <c r="Q28" s="17">
        <f t="shared" si="1"/>
        <v>12.24</v>
      </c>
      <c r="R28" s="18"/>
    </row>
    <row r="29" spans="1:19" customFormat="1" ht="27.75" customHeight="1">
      <c r="A29" s="42">
        <v>25</v>
      </c>
      <c r="B29" s="29" t="s">
        <v>2339</v>
      </c>
      <c r="C29" s="32" t="s">
        <v>2410</v>
      </c>
      <c r="D29" s="16">
        <v>28</v>
      </c>
      <c r="E29" s="168">
        <f>IF($C29="","",VLOOKUP($C29,성분!$B$2:$O$51519,3,FALSE))/100*P29</f>
        <v>140.392</v>
      </c>
      <c r="F29" s="168">
        <f>IF($C29="","",VLOOKUP($C29,성분!$B$2:$O$51519,5,FALSE))/100*$P29</f>
        <v>15.819999999999999</v>
      </c>
      <c r="G29" s="168">
        <f>IF($C29="","",VLOOKUP($C29,성분!$B$2:$O$51519,4,FALSE))/100*$P29</f>
        <v>1.2320000000000002</v>
      </c>
      <c r="H29" s="168">
        <f>IF($C29="","",VLOOKUP($C29,성분!$B$2:$O$51519,6,FALSE))/100*$P29</f>
        <v>7.9799999999999995</v>
      </c>
      <c r="I29" s="168">
        <f>IF($C29="","",VLOOKUP($C29,성분!$B$2:$O$51519,7,FALSE))/100*$P29</f>
        <v>0</v>
      </c>
      <c r="J29" s="168">
        <f>IF($C29="","",VLOOKUP($C29,성분!$B$2:$O$51519,8,FALSE))/100*$P29</f>
        <v>0</v>
      </c>
      <c r="K29" s="168">
        <f>IF($C29="","",VLOOKUP($C29,성분!$B$2:$O$51519,9,FALSE))/100*$P29</f>
        <v>0</v>
      </c>
      <c r="L29" s="168">
        <f>IF($C29="","",VLOOKUP($C29,성분!$B$2:$O$51519,10,FALSE))/100*$P29</f>
        <v>0</v>
      </c>
      <c r="M29" s="168">
        <f>IF($C29="","",VLOOKUP($C29,성분!$B$2:$O$51519,11,FALSE))/100*$P29</f>
        <v>0</v>
      </c>
      <c r="N29" s="168">
        <f>IF($C29="","",VLOOKUP($C29,성분!$B$2:$O$51519,12,FALSE))/100*$P29</f>
        <v>0</v>
      </c>
      <c r="O29" s="167">
        <f>IF($C29="","",VLOOKUP($C29,성분!$B$2:$O$51519,13,FALSE))/100*$P29</f>
        <v>0</v>
      </c>
      <c r="P29" s="38">
        <f t="shared" si="0"/>
        <v>28</v>
      </c>
      <c r="Q29" s="17">
        <f t="shared" si="1"/>
        <v>11.423999999999999</v>
      </c>
      <c r="R29" s="18"/>
    </row>
    <row r="30" spans="1:19" customFormat="1" ht="32.25" customHeight="1">
      <c r="A30" s="235" t="s">
        <v>1628</v>
      </c>
      <c r="B30" s="236"/>
      <c r="C30" s="236"/>
      <c r="D30" s="237"/>
      <c r="E30" s="19">
        <f>SUM(E11:E29)</f>
        <v>911.13200000000006</v>
      </c>
      <c r="F30" s="19">
        <f t="shared" ref="F30:O30" si="5">SUM(F11:F29)</f>
        <v>124.1908</v>
      </c>
      <c r="G30" s="19">
        <f t="shared" si="5"/>
        <v>37.907999999999994</v>
      </c>
      <c r="H30" s="19">
        <f t="shared" si="5"/>
        <v>41.804600000000001</v>
      </c>
      <c r="I30" s="44">
        <f t="shared" si="5"/>
        <v>250.33999999999997</v>
      </c>
      <c r="J30" s="19">
        <f t="shared" si="5"/>
        <v>6.2749999999999986</v>
      </c>
      <c r="K30" s="44">
        <f t="shared" si="5"/>
        <v>238.57</v>
      </c>
      <c r="L30" s="19">
        <f t="shared" si="5"/>
        <v>6.4898000000000007</v>
      </c>
      <c r="M30" s="19">
        <f t="shared" si="5"/>
        <v>8.0363000000000024</v>
      </c>
      <c r="N30" s="19">
        <f t="shared" si="5"/>
        <v>4.3790000000000004</v>
      </c>
      <c r="O30" s="19">
        <f t="shared" si="5"/>
        <v>13.620000000000001</v>
      </c>
      <c r="P30" s="38">
        <f t="shared" si="0"/>
        <v>0</v>
      </c>
      <c r="Q30" s="17">
        <f t="shared" si="1"/>
        <v>0</v>
      </c>
      <c r="R30" s="18">
        <f t="shared" si="2"/>
        <v>0</v>
      </c>
    </row>
    <row r="31" spans="1:19" s="21" customFormat="1" ht="32.25" customHeight="1">
      <c r="A31" s="238" t="s">
        <v>1790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40"/>
      <c r="P31" s="20"/>
      <c r="Q31"/>
      <c r="R31" s="18">
        <f>INT(Q31)</f>
        <v>0</v>
      </c>
    </row>
    <row r="32" spans="1:19" customFormat="1" ht="19.5" customHeight="1">
      <c r="A32" s="220" t="s">
        <v>1629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2"/>
      <c r="S32" s="18">
        <f>INT(R32)</f>
        <v>0</v>
      </c>
    </row>
    <row r="33" spans="1:19" customFormat="1" ht="20.100000000000001" customHeight="1">
      <c r="A33" s="247" t="s">
        <v>1630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9"/>
      <c r="P33" s="244" t="s">
        <v>5</v>
      </c>
      <c r="Q33" s="245"/>
      <c r="R33" s="250">
        <v>5000</v>
      </c>
      <c r="S33" s="250"/>
    </row>
    <row r="34" spans="1:19" customFormat="1" ht="20.100000000000001" customHeight="1">
      <c r="A34" s="251" t="s">
        <v>1769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3"/>
      <c r="P34" s="244" t="s">
        <v>6</v>
      </c>
      <c r="Q34" s="245"/>
      <c r="R34" s="250">
        <f>R33*0.72</f>
        <v>3600</v>
      </c>
      <c r="S34" s="250"/>
    </row>
    <row r="35" spans="1:19" customFormat="1" ht="20.100000000000001" customHeight="1">
      <c r="A35" s="241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3"/>
      <c r="P35" s="244" t="s">
        <v>1631</v>
      </c>
      <c r="Q35" s="245"/>
      <c r="R35" s="246">
        <v>0.72</v>
      </c>
      <c r="S35" s="246"/>
    </row>
    <row r="36" spans="1:19" customFormat="1" ht="20.100000000000001" customHeight="1">
      <c r="C36" s="3"/>
      <c r="D36" s="24"/>
      <c r="E36" s="25"/>
      <c r="F36" s="25"/>
      <c r="G36" s="22">
        <v>667</v>
      </c>
      <c r="H36" s="22">
        <v>15</v>
      </c>
      <c r="I36" s="22">
        <v>300</v>
      </c>
      <c r="J36" s="22">
        <v>5.4</v>
      </c>
      <c r="K36" s="22">
        <v>234</v>
      </c>
      <c r="L36" s="22">
        <v>0.34</v>
      </c>
      <c r="M36" s="22">
        <v>0.4</v>
      </c>
      <c r="N36" s="22">
        <v>5.26</v>
      </c>
      <c r="O36" s="22">
        <v>33.4</v>
      </c>
      <c r="P36" s="104"/>
      <c r="Q36" s="104"/>
      <c r="R36" s="23"/>
      <c r="S36" s="23"/>
    </row>
    <row r="37" spans="1:19" customFormat="1" ht="20.100000000000001" customHeight="1">
      <c r="A37" s="2"/>
      <c r="B37" s="2"/>
      <c r="C37" s="3"/>
      <c r="D37" s="4"/>
      <c r="E37" s="5"/>
      <c r="F37" s="5"/>
      <c r="G37" s="5"/>
      <c r="H37" s="5"/>
      <c r="I37" s="5"/>
      <c r="J37" s="2"/>
      <c r="K37" s="5"/>
      <c r="L37" s="5"/>
      <c r="M37" s="5"/>
      <c r="N37" s="5"/>
      <c r="O37" s="6"/>
    </row>
    <row r="38" spans="1:19" customFormat="1" ht="20.100000000000001" customHeight="1">
      <c r="A38" s="2"/>
      <c r="B38" s="2"/>
      <c r="C38" s="2"/>
      <c r="D38" s="4"/>
      <c r="E38" s="2"/>
      <c r="F38" s="2"/>
      <c r="G38" s="5"/>
      <c r="H38" s="5"/>
      <c r="I38" s="5"/>
      <c r="J38" s="5"/>
      <c r="K38" s="5"/>
      <c r="L38" s="5"/>
      <c r="M38" s="5"/>
      <c r="N38" s="5"/>
      <c r="O38" s="6"/>
    </row>
    <row r="39" spans="1:19" ht="12">
      <c r="C39" s="2"/>
    </row>
    <row r="40" spans="1:19" ht="12">
      <c r="C40" s="2"/>
    </row>
    <row r="1346" spans="4:4">
      <c r="D1346" s="2">
        <v>240</v>
      </c>
    </row>
  </sheetData>
  <mergeCells count="41">
    <mergeCell ref="P33:Q33"/>
    <mergeCell ref="A34:O34"/>
    <mergeCell ref="P34:Q34"/>
    <mergeCell ref="R34:S34"/>
    <mergeCell ref="A35:O35"/>
    <mergeCell ref="P35:Q35"/>
    <mergeCell ref="R35:S35"/>
    <mergeCell ref="R33:S33"/>
    <mergeCell ref="P6:R7"/>
    <mergeCell ref="A7:C7"/>
    <mergeCell ref="A8:C8"/>
    <mergeCell ref="O8:O9"/>
    <mergeCell ref="A9:C9"/>
    <mergeCell ref="D9:N9"/>
    <mergeCell ref="A6:N6"/>
    <mergeCell ref="O6:O7"/>
    <mergeCell ref="M7:N7"/>
    <mergeCell ref="K7:L7"/>
    <mergeCell ref="H7:J7"/>
    <mergeCell ref="F7:G7"/>
    <mergeCell ref="D7:E7"/>
    <mergeCell ref="M8:N8"/>
    <mergeCell ref="K8:L8"/>
    <mergeCell ref="H8:J8"/>
    <mergeCell ref="A30:D30"/>
    <mergeCell ref="A31:O31"/>
    <mergeCell ref="A32:O32"/>
    <mergeCell ref="A33:O33"/>
    <mergeCell ref="N2:N4"/>
    <mergeCell ref="O2:O4"/>
    <mergeCell ref="A3:B3"/>
    <mergeCell ref="C3:D3"/>
    <mergeCell ref="L5:M5"/>
    <mergeCell ref="M2:M4"/>
    <mergeCell ref="F8:G8"/>
    <mergeCell ref="D8:E8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r:id="rId1"/>
  <headerFooter alignWithMargins="0">
    <oddHeader>&amp;C&amp;"굴림체,굵게"&amp;18
학    교    급    식    일    지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904-2619-46AA-8461-9383D67F144C}">
  <sheetPr>
    <pageSetUpPr fitToPage="1"/>
  </sheetPr>
  <dimension ref="A1:S1368"/>
  <sheetViews>
    <sheetView view="pageBreakPreview" zoomScale="80" zoomScaleNormal="85" zoomScaleSheetLayoutView="80" workbookViewId="0">
      <pane xSplit="3" ySplit="10" topLeftCell="D41" activePane="bottomRight" state="frozen"/>
      <selection activeCell="K24" sqref="K24"/>
      <selection pane="topRight" activeCell="K24" sqref="K24"/>
      <selection pane="bottomLeft" activeCell="K24" sqref="K24"/>
      <selection pane="bottomRight" activeCell="D9" sqref="D9:N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05"/>
      <c r="F1" s="105"/>
      <c r="G1" s="39"/>
      <c r="K1" s="202"/>
      <c r="L1" s="106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05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45765</v>
      </c>
      <c r="D3" s="201"/>
      <c r="E3" s="105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182</v>
      </c>
      <c r="E8" s="226"/>
      <c r="F8" s="226">
        <v>116</v>
      </c>
      <c r="G8" s="226"/>
      <c r="H8" s="226">
        <v>108</v>
      </c>
      <c r="I8" s="226"/>
      <c r="J8" s="226"/>
      <c r="K8" s="226">
        <f>SUM(D8:J8)</f>
        <v>406</v>
      </c>
      <c r="L8" s="226"/>
      <c r="M8" s="226">
        <v>2</v>
      </c>
      <c r="N8" s="227"/>
      <c r="O8" s="228">
        <f>SUM(K8:N8)</f>
        <v>408</v>
      </c>
    </row>
    <row r="9" spans="1:18" customFormat="1" ht="20.100000000000001" customHeight="1">
      <c r="A9" s="230" t="s">
        <v>0</v>
      </c>
      <c r="B9" s="231"/>
      <c r="C9" s="232"/>
      <c r="D9" s="233" t="s">
        <v>2541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02" t="s">
        <v>1626</v>
      </c>
      <c r="Q10" s="103" t="s">
        <v>1627</v>
      </c>
      <c r="R10" s="15"/>
    </row>
    <row r="11" spans="1:18" customFormat="1" ht="27.75" customHeight="1">
      <c r="A11" s="42">
        <f t="shared" ref="A11:A51" si="0">ROW()-10</f>
        <v>1</v>
      </c>
      <c r="B11" s="30"/>
      <c r="C11" s="22" t="s">
        <v>140</v>
      </c>
      <c r="D11" s="16">
        <v>80</v>
      </c>
      <c r="E11" s="168">
        <f>IF($C11="","",VLOOKUP($C11,성분!$B$2:$O$51519,3,FALSE))/100*P11</f>
        <v>192</v>
      </c>
      <c r="F11" s="168">
        <f>IF($C11="","",VLOOKUP($C11,성분!$B$2:$O$51519,5,FALSE))/100*$P11</f>
        <v>62.800000000000004</v>
      </c>
      <c r="G11" s="168">
        <f>IF($C11="","",VLOOKUP($C11,성분!$B$2:$O$51519,4,FALSE))/100*$P11</f>
        <v>5.12</v>
      </c>
      <c r="H11" s="168">
        <f>IF($C11="","",VLOOKUP($C11,성분!$B$2:$O$51519,6,FALSE))/100*$P11</f>
        <v>0.32</v>
      </c>
      <c r="I11" s="168">
        <f>IF($C11="","",VLOOKUP($C11,성분!$B$2:$O$51519,7,FALSE))/100*$P11</f>
        <v>5.6000000000000005</v>
      </c>
      <c r="J11" s="168">
        <f>IF($C11="","",VLOOKUP($C11,성분!$B$2:$O$51519,8,FALSE))/100*$P11</f>
        <v>0.4</v>
      </c>
      <c r="K11" s="168">
        <f>IF($C11="","",VLOOKUP($C11,성분!$B$2:$O$51519,9,FALSE))/100*$P11</f>
        <v>0</v>
      </c>
      <c r="L11" s="168">
        <f>IF($C11="","",VLOOKUP($C11,성분!$B$2:$O$51519,10,FALSE))/100*$P11</f>
        <v>9.5999999999999988E-2</v>
      </c>
      <c r="M11" s="168">
        <f>IF($C11="","",VLOOKUP($C11,성분!$B$2:$O$51519,11,FALSE))/100*$P11</f>
        <v>0</v>
      </c>
      <c r="N11" s="168">
        <f>IF($C11="","",VLOOKUP($C11,성분!$B$2:$O$51519,12,FALSE))/100*$P11</f>
        <v>1.1199999999999999</v>
      </c>
      <c r="O11" s="167">
        <f>IF($C11="","",VLOOKUP($C11,성분!$B$2:$O$51519,13,FALSE))/100*$P11</f>
        <v>0</v>
      </c>
      <c r="P11" s="38">
        <f t="shared" ref="P11:P52" si="1">D11</f>
        <v>80</v>
      </c>
      <c r="Q11" s="17">
        <f t="shared" ref="Q11:Q52" si="2">($O$8*P11)/1000</f>
        <v>32.64</v>
      </c>
      <c r="R11" s="18">
        <f t="shared" ref="R11:R52" si="3">INT(Q11)</f>
        <v>32</v>
      </c>
    </row>
    <row r="12" spans="1:18" s="160" customFormat="1" ht="27.75" customHeight="1">
      <c r="A12" s="166">
        <f t="shared" si="0"/>
        <v>2</v>
      </c>
      <c r="B12" s="171" t="s">
        <v>2500</v>
      </c>
      <c r="C12" s="169" t="s">
        <v>2505</v>
      </c>
      <c r="D12" s="168">
        <v>30</v>
      </c>
      <c r="E12" s="168">
        <f>IF($C12="","",VLOOKUP($C12,성분!$B$2:$O$51519,3,FALSE))/100*P12</f>
        <v>69</v>
      </c>
      <c r="F12" s="168">
        <f>IF($C12="","",VLOOKUP($C12,성분!$B$2:$O$51519,5,FALSE))/100*$P12</f>
        <v>4.17</v>
      </c>
      <c r="G12" s="168">
        <f>IF($C12="","",VLOOKUP($C12,성분!$B$2:$O$51519,4,FALSE))/100*$P12</f>
        <v>0.72</v>
      </c>
      <c r="H12" s="168">
        <f>IF($C12="","",VLOOKUP($C12,성분!$B$2:$O$51519,6,FALSE))/100*$P12</f>
        <v>0</v>
      </c>
      <c r="I12" s="168">
        <f>IF($C12="","",VLOOKUP($C12,성분!$B$2:$O$51519,7,FALSE))/100*$P12</f>
        <v>1.2</v>
      </c>
      <c r="J12" s="168">
        <f>IF($C12="","",VLOOKUP($C12,성분!$B$2:$O$51519,8,FALSE))/100*$P12</f>
        <v>0.18</v>
      </c>
      <c r="K12" s="168">
        <f>IF($C12="","",VLOOKUP($C12,성분!$B$2:$O$51519,9,FALSE))/100*$P12</f>
        <v>0</v>
      </c>
      <c r="L12" s="168">
        <f>IF($C12="","",VLOOKUP($C12,성분!$B$2:$O$51519,10,FALSE))/100*$P12</f>
        <v>0</v>
      </c>
      <c r="M12" s="168">
        <f>IF($C12="","",VLOOKUP($C12,성분!$B$2:$O$51519,11,FALSE))/100*$P12</f>
        <v>0</v>
      </c>
      <c r="N12" s="168">
        <f>IF($C12="","",VLOOKUP($C12,성분!$B$2:$O$51519,12,FALSE))/100*$P12</f>
        <v>0</v>
      </c>
      <c r="O12" s="167">
        <f>IF($C12="","",VLOOKUP($C12,성분!$B$2:$O$51519,13,FALSE))/100*$P12</f>
        <v>0</v>
      </c>
      <c r="P12" s="165">
        <f t="shared" ref="P12:P21" si="4">D12</f>
        <v>30</v>
      </c>
      <c r="Q12" s="162">
        <f t="shared" ref="Q12:Q21" si="5">($O$8*P12)/1000</f>
        <v>12.24</v>
      </c>
      <c r="R12" s="18">
        <f t="shared" ref="R12" si="6">INT(Q12)</f>
        <v>12</v>
      </c>
    </row>
    <row r="13" spans="1:18" s="160" customFormat="1" ht="27.75" customHeight="1">
      <c r="A13" s="166">
        <f t="shared" si="0"/>
        <v>3</v>
      </c>
      <c r="B13" s="171" t="s">
        <v>2501</v>
      </c>
      <c r="C13" s="169" t="s">
        <v>2201</v>
      </c>
      <c r="D13" s="168">
        <v>10</v>
      </c>
      <c r="E13" s="168">
        <f>IF($C13="","",VLOOKUP($C13,성분!$B$2:$O$51519,3,FALSE))/100*P13</f>
        <v>12.1</v>
      </c>
      <c r="F13" s="168">
        <f>IF($C13="","",VLOOKUP($C13,성분!$B$2:$O$51519,5,FALSE))/100*$P13</f>
        <v>0</v>
      </c>
      <c r="G13" s="168">
        <f>IF($C13="","",VLOOKUP($C13,성분!$B$2:$O$51519,4,FALSE))/100*$P13</f>
        <v>1.41</v>
      </c>
      <c r="H13" s="168">
        <f>IF($C13="","",VLOOKUP($C13,성분!$B$2:$O$51519,6,FALSE))/100*$P13</f>
        <v>1.6500000000000001</v>
      </c>
      <c r="I13" s="168">
        <f>IF($C13="","",VLOOKUP($C13,성분!$B$2:$O$51519,7,FALSE))/100*$P13</f>
        <v>0.2</v>
      </c>
      <c r="J13" s="168">
        <f>IF($C13="","",VLOOKUP($C13,성분!$B$2:$O$51519,8,FALSE))/100*$P13</f>
        <v>0.16</v>
      </c>
      <c r="K13" s="168">
        <f>IF($C13="","",VLOOKUP($C13,성분!$B$2:$O$51519,9,FALSE))/100*$P13</f>
        <v>0.2</v>
      </c>
      <c r="L13" s="168">
        <f>IF($C13="","",VLOOKUP($C13,성분!$B$2:$O$51519,10,FALSE))/100*$P13</f>
        <v>9.0999999999999998E-2</v>
      </c>
      <c r="M13" s="168">
        <f>IF($C13="","",VLOOKUP($C13,성분!$B$2:$O$51519,11,FALSE))/100*$P13</f>
        <v>1.7999999999999999E-2</v>
      </c>
      <c r="N13" s="168">
        <f>IF($C13="","",VLOOKUP($C13,성분!$B$2:$O$51519,12,FALSE))/100*$P13</f>
        <v>0.40999999999999992</v>
      </c>
      <c r="O13" s="167">
        <f>IF($C13="","",VLOOKUP($C13,성분!$B$2:$O$51519,13,FALSE))/100*$P13</f>
        <v>0</v>
      </c>
      <c r="P13" s="165">
        <f t="shared" ref="P13:P14" si="7">D13</f>
        <v>10</v>
      </c>
      <c r="Q13" s="162">
        <f t="shared" ref="Q13:Q14" si="8">($O$8*P13)/1000</f>
        <v>4.08</v>
      </c>
      <c r="R13" s="18"/>
    </row>
    <row r="14" spans="1:18" s="160" customFormat="1" ht="27.75" customHeight="1">
      <c r="A14" s="166">
        <f t="shared" si="0"/>
        <v>4</v>
      </c>
      <c r="B14" s="171"/>
      <c r="C14" s="169" t="s">
        <v>2481</v>
      </c>
      <c r="D14" s="168">
        <v>10</v>
      </c>
      <c r="E14" s="168">
        <f>IF($C14="","",VLOOKUP($C14,성분!$B$2:$O$51519,3,FALSE))/100*P14</f>
        <v>12.8</v>
      </c>
      <c r="F14" s="168">
        <f>IF($C14="","",VLOOKUP($C14,성분!$B$2:$O$51519,5,FALSE))/100*$P14</f>
        <v>0.57999999999999996</v>
      </c>
      <c r="G14" s="168">
        <f>IF($C14="","",VLOOKUP($C14,성분!$B$2:$O$51519,4,FALSE))/100*$P14</f>
        <v>1.6</v>
      </c>
      <c r="H14" s="168">
        <f>IF($C14="","",VLOOKUP($C14,성분!$B$2:$O$51519,6,FALSE))/100*$P14</f>
        <v>1.21</v>
      </c>
      <c r="I14" s="168">
        <f>IF($C14="","",VLOOKUP($C14,성분!$B$2:$O$51519,7,FALSE))/100*$P14</f>
        <v>0.6</v>
      </c>
      <c r="J14" s="168">
        <f>IF($C14="","",VLOOKUP($C14,성분!$B$2:$O$51519,8,FALSE))/100*$P14</f>
        <v>9.0000000000000011E-2</v>
      </c>
      <c r="K14" s="168">
        <f>IF($C14="","",VLOOKUP($C14,성분!$B$2:$O$51519,9,FALSE))/100*$P14</f>
        <v>0</v>
      </c>
      <c r="L14" s="168">
        <f>IF($C14="","",VLOOKUP($C14,성분!$B$2:$O$51519,10,FALSE))/100*$P14</f>
        <v>0.01</v>
      </c>
      <c r="M14" s="168">
        <f>IF($C14="","",VLOOKUP($C14,성분!$B$2:$O$51519,11,FALSE))/100*$P14</f>
        <v>2.0999999999999998E-2</v>
      </c>
      <c r="N14" s="168">
        <f>IF($C14="","",VLOOKUP($C14,성분!$B$2:$O$51519,12,FALSE))/100*$P14</f>
        <v>0.70000000000000007</v>
      </c>
      <c r="O14" s="167">
        <f>IF($C14="","",VLOOKUP($C14,성분!$B$2:$O$51519,13,FALSE))/100*$P14</f>
        <v>4.6999999999999993</v>
      </c>
      <c r="P14" s="165">
        <f t="shared" si="7"/>
        <v>10</v>
      </c>
      <c r="Q14" s="162">
        <f t="shared" si="8"/>
        <v>4.08</v>
      </c>
      <c r="R14" s="18"/>
    </row>
    <row r="15" spans="1:18" s="160" customFormat="1" ht="27.75" customHeight="1">
      <c r="A15" s="166">
        <v>6</v>
      </c>
      <c r="B15" s="171"/>
      <c r="C15" s="169" t="s">
        <v>1980</v>
      </c>
      <c r="D15" s="168">
        <v>10</v>
      </c>
      <c r="E15" s="168">
        <f>IF($C15="","",VLOOKUP($C15,성분!$B$2:$O$51519,3,FALSE))/100*P15</f>
        <v>0</v>
      </c>
      <c r="F15" s="168">
        <f>IF($C15="","",VLOOKUP($C15,성분!$B$2:$O$51519,5,FALSE))/100*$P15</f>
        <v>0</v>
      </c>
      <c r="G15" s="168">
        <f>IF($C15="","",VLOOKUP($C15,성분!$B$2:$O$51519,4,FALSE))/100*$P15</f>
        <v>0</v>
      </c>
      <c r="H15" s="168">
        <f>IF($C15="","",VLOOKUP($C15,성분!$B$2:$O$51519,6,FALSE))/100*$P15</f>
        <v>0</v>
      </c>
      <c r="I15" s="168">
        <f>IF($C15="","",VLOOKUP($C15,성분!$B$2:$O$51519,7,FALSE))/100*$P15</f>
        <v>0</v>
      </c>
      <c r="J15" s="168">
        <f>IF($C15="","",VLOOKUP($C15,성분!$B$2:$O$51519,8,FALSE))/100*$P15</f>
        <v>0</v>
      </c>
      <c r="K15" s="168">
        <f>IF($C15="","",VLOOKUP($C15,성분!$B$2:$O$51519,9,FALSE))/100*$P15</f>
        <v>0</v>
      </c>
      <c r="L15" s="168">
        <f>IF($C15="","",VLOOKUP($C15,성분!$B$2:$O$51519,10,FALSE))/100*$P15</f>
        <v>0</v>
      </c>
      <c r="M15" s="168">
        <f>IF($C15="","",VLOOKUP($C15,성분!$B$2:$O$51519,11,FALSE))/100*$P15</f>
        <v>0</v>
      </c>
      <c r="N15" s="168">
        <f>IF($C15="","",VLOOKUP($C15,성분!$B$2:$O$51519,12,FALSE))/100*$P15</f>
        <v>0</v>
      </c>
      <c r="O15" s="167">
        <f>IF($C15="","",VLOOKUP($C15,성분!$B$2:$O$51519,13,FALSE))/100*$P15</f>
        <v>0</v>
      </c>
      <c r="P15" s="165"/>
      <c r="Q15" s="162"/>
      <c r="R15" s="18"/>
    </row>
    <row r="16" spans="1:18" s="160" customFormat="1" ht="27.75" customHeight="1">
      <c r="A16" s="166">
        <v>7</v>
      </c>
      <c r="B16" s="171"/>
      <c r="C16" s="169" t="s">
        <v>2504</v>
      </c>
      <c r="D16" s="168">
        <v>10</v>
      </c>
      <c r="E16" s="168">
        <f>IF($C16="","",VLOOKUP($C16,성분!$B$2:$O$51519,3,FALSE))/100*P16</f>
        <v>0</v>
      </c>
      <c r="F16" s="168">
        <f>IF($C16="","",VLOOKUP($C16,성분!$B$2:$O$51519,5,FALSE))/100*$P16</f>
        <v>0</v>
      </c>
      <c r="G16" s="168">
        <f>IF($C16="","",VLOOKUP($C16,성분!$B$2:$O$51519,4,FALSE))/100*$P16</f>
        <v>0</v>
      </c>
      <c r="H16" s="168">
        <f>IF($C16="","",VLOOKUP($C16,성분!$B$2:$O$51519,6,FALSE))/100*$P16</f>
        <v>0</v>
      </c>
      <c r="I16" s="168">
        <f>IF($C16="","",VLOOKUP($C16,성분!$B$2:$O$51519,7,FALSE))/100*$P16</f>
        <v>0</v>
      </c>
      <c r="J16" s="168">
        <f>IF($C16="","",VLOOKUP($C16,성분!$B$2:$O$51519,8,FALSE))/100*$P16</f>
        <v>0</v>
      </c>
      <c r="K16" s="168">
        <f>IF($C16="","",VLOOKUP($C16,성분!$B$2:$O$51519,9,FALSE))/100*$P16</f>
        <v>0</v>
      </c>
      <c r="L16" s="168">
        <f>IF($C16="","",VLOOKUP($C16,성분!$B$2:$O$51519,10,FALSE))/100*$P16</f>
        <v>0</v>
      </c>
      <c r="M16" s="168">
        <f>IF($C16="","",VLOOKUP($C16,성분!$B$2:$O$51519,11,FALSE))/100*$P16</f>
        <v>0</v>
      </c>
      <c r="N16" s="168">
        <f>IF($C16="","",VLOOKUP($C16,성분!$B$2:$O$51519,12,FALSE))/100*$P16</f>
        <v>0</v>
      </c>
      <c r="O16" s="167">
        <f>IF($C16="","",VLOOKUP($C16,성분!$B$2:$O$51519,13,FALSE))/100*$P16</f>
        <v>0</v>
      </c>
      <c r="P16" s="165"/>
      <c r="Q16" s="162"/>
      <c r="R16" s="18"/>
    </row>
    <row r="17" spans="1:18" s="160" customFormat="1" ht="27.75" customHeight="1">
      <c r="A17" s="166">
        <v>8</v>
      </c>
      <c r="B17" s="171"/>
      <c r="C17" s="169" t="s">
        <v>1190</v>
      </c>
      <c r="D17" s="168">
        <v>10</v>
      </c>
      <c r="E17" s="168">
        <f>IF($C17="","",VLOOKUP($C17,성분!$B$2:$O$51519,3,FALSE))/100*P17</f>
        <v>0</v>
      </c>
      <c r="F17" s="168">
        <f>IF($C17="","",VLOOKUP($C17,성분!$B$2:$O$51519,5,FALSE))/100*$P17</f>
        <v>0</v>
      </c>
      <c r="G17" s="168">
        <f>IF($C17="","",VLOOKUP($C17,성분!$B$2:$O$51519,4,FALSE))/100*$P17</f>
        <v>0</v>
      </c>
      <c r="H17" s="168">
        <f>IF($C17="","",VLOOKUP($C17,성분!$B$2:$O$51519,6,FALSE))/100*$P17</f>
        <v>0</v>
      </c>
      <c r="I17" s="168">
        <f>IF($C17="","",VLOOKUP($C17,성분!$B$2:$O$51519,7,FALSE))/100*$P17</f>
        <v>0</v>
      </c>
      <c r="J17" s="168">
        <f>IF($C17="","",VLOOKUP($C17,성분!$B$2:$O$51519,8,FALSE))/100*$P17</f>
        <v>0</v>
      </c>
      <c r="K17" s="168">
        <f>IF($C17="","",VLOOKUP($C17,성분!$B$2:$O$51519,9,FALSE))/100*$P17</f>
        <v>0</v>
      </c>
      <c r="L17" s="168">
        <f>IF($C17="","",VLOOKUP($C17,성분!$B$2:$O$51519,10,FALSE))/100*$P17</f>
        <v>0</v>
      </c>
      <c r="M17" s="168">
        <f>IF($C17="","",VLOOKUP($C17,성분!$B$2:$O$51519,11,FALSE))/100*$P17</f>
        <v>0</v>
      </c>
      <c r="N17" s="168">
        <f>IF($C17="","",VLOOKUP($C17,성분!$B$2:$O$51519,12,FALSE))/100*$P17</f>
        <v>0</v>
      </c>
      <c r="O17" s="167">
        <f>IF($C17="","",VLOOKUP($C17,성분!$B$2:$O$51519,13,FALSE))/100*$P17</f>
        <v>0</v>
      </c>
      <c r="P17" s="165"/>
      <c r="Q17" s="162"/>
      <c r="R17" s="18"/>
    </row>
    <row r="18" spans="1:18" s="160" customFormat="1" ht="27.75" customHeight="1">
      <c r="A18" s="166">
        <f t="shared" si="0"/>
        <v>8</v>
      </c>
      <c r="B18" s="171"/>
      <c r="C18" s="149" t="s">
        <v>2503</v>
      </c>
      <c r="D18" s="168">
        <v>28</v>
      </c>
      <c r="E18" s="168">
        <f>IF($C18="","",VLOOKUP($C18,성분!$B$2:$O$51519,3,FALSE))/100*P18</f>
        <v>44.24</v>
      </c>
      <c r="F18" s="168">
        <f>IF($C18="","",VLOOKUP($C18,성분!$B$2:$O$51519,5,FALSE))/100*$P18</f>
        <v>0.78399999999999992</v>
      </c>
      <c r="G18" s="168">
        <f>IF($C18="","",VLOOKUP($C18,성분!$B$2:$O$51519,4,FALSE))/100*$P18</f>
        <v>3.556</v>
      </c>
      <c r="H18" s="168">
        <f>IF($C18="","",VLOOKUP($C18,성분!$B$2:$O$51519,6,FALSE))/100*$P18</f>
        <v>3.1080000000000001</v>
      </c>
      <c r="I18" s="168">
        <f>IF($C18="","",VLOOKUP($C18,성분!$B$2:$O$51519,7,FALSE))/100*$P18</f>
        <v>13.16</v>
      </c>
      <c r="J18" s="168">
        <f>IF($C18="","",VLOOKUP($C18,성분!$B$2:$O$51519,8,FALSE))/100*$P18</f>
        <v>0.504</v>
      </c>
      <c r="K18" s="168">
        <f>IF($C18="","",VLOOKUP($C18,성분!$B$2:$O$51519,9,FALSE))/100*$P18</f>
        <v>43.68</v>
      </c>
      <c r="L18" s="168">
        <f>IF($C18="","",VLOOKUP($C18,성분!$B$2:$O$51519,10,FALSE))/100*$P18</f>
        <v>2.8000000000000001E-2</v>
      </c>
      <c r="M18" s="168">
        <f>IF($C18="","",VLOOKUP($C18,성분!$B$2:$O$51519,11,FALSE))/100*$P18</f>
        <v>7.2800000000000004E-2</v>
      </c>
      <c r="N18" s="168">
        <f>IF($C18="","",VLOOKUP($C18,성분!$B$2:$O$51519,12,FALSE))/100*$P18</f>
        <v>2.8000000000000001E-2</v>
      </c>
      <c r="O18" s="167">
        <f>IF($C18="","",VLOOKUP($C18,성분!$B$2:$O$51519,13,FALSE))/100*$P18</f>
        <v>0</v>
      </c>
      <c r="P18" s="165">
        <f t="shared" ref="P18" si="9">D18</f>
        <v>28</v>
      </c>
      <c r="Q18" s="162">
        <f t="shared" ref="Q18" si="10">($O$8*P18)/1000</f>
        <v>11.423999999999999</v>
      </c>
      <c r="R18" s="18">
        <f t="shared" ref="R18" si="11">INT(Q18)</f>
        <v>11</v>
      </c>
    </row>
    <row r="19" spans="1:18" s="160" customFormat="1" ht="27.75" customHeight="1">
      <c r="A19" s="166">
        <v>10</v>
      </c>
      <c r="B19" s="171"/>
      <c r="C19" s="149" t="s">
        <v>2502</v>
      </c>
      <c r="D19" s="168">
        <v>10</v>
      </c>
      <c r="E19" s="168">
        <f>IF($C19="","",VLOOKUP($C19,성분!$B$2:$O$51519,3,FALSE))/100*P19</f>
        <v>0</v>
      </c>
      <c r="F19" s="168">
        <f>IF($C19="","",VLOOKUP($C19,성분!$B$2:$O$51519,5,FALSE))/100*$P19</f>
        <v>0</v>
      </c>
      <c r="G19" s="168">
        <f>IF($C19="","",VLOOKUP($C19,성분!$B$2:$O$51519,4,FALSE))/100*$P19</f>
        <v>0</v>
      </c>
      <c r="H19" s="168">
        <f>IF($C19="","",VLOOKUP($C19,성분!$B$2:$O$51519,6,FALSE))/100*$P19</f>
        <v>0</v>
      </c>
      <c r="I19" s="168">
        <f>IF($C19="","",VLOOKUP($C19,성분!$B$2:$O$51519,7,FALSE))/100*$P19</f>
        <v>0</v>
      </c>
      <c r="J19" s="168">
        <f>IF($C19="","",VLOOKUP($C19,성분!$B$2:$O$51519,8,FALSE))/100*$P19</f>
        <v>0</v>
      </c>
      <c r="K19" s="168">
        <f>IF($C19="","",VLOOKUP($C19,성분!$B$2:$O$51519,9,FALSE))/100*$P19</f>
        <v>0</v>
      </c>
      <c r="L19" s="168">
        <f>IF($C19="","",VLOOKUP($C19,성분!$B$2:$O$51519,10,FALSE))/100*$P19</f>
        <v>0</v>
      </c>
      <c r="M19" s="168">
        <f>IF($C19="","",VLOOKUP($C19,성분!$B$2:$O$51519,11,FALSE))/100*$P19</f>
        <v>0</v>
      </c>
      <c r="N19" s="168">
        <f>IF($C19="","",VLOOKUP($C19,성분!$B$2:$O$51519,12,FALSE))/100*$P19</f>
        <v>0</v>
      </c>
      <c r="O19" s="167">
        <f>IF($C19="","",VLOOKUP($C19,성분!$B$2:$O$51519,13,FALSE))/100*$P19</f>
        <v>0</v>
      </c>
      <c r="P19" s="165"/>
      <c r="Q19" s="162"/>
      <c r="R19" s="18"/>
    </row>
    <row r="20" spans="1:18" s="160" customFormat="1" ht="27.75" customHeight="1">
      <c r="A20" s="166">
        <f t="shared" si="0"/>
        <v>10</v>
      </c>
      <c r="B20" s="171"/>
      <c r="C20" s="169" t="s">
        <v>1190</v>
      </c>
      <c r="D20" s="168">
        <v>10</v>
      </c>
      <c r="E20" s="168">
        <f>IF($C20="","",VLOOKUP($C20,성분!$B$2:$O$51519,3,FALSE))/100*P20</f>
        <v>3.5</v>
      </c>
      <c r="F20" s="168">
        <f>IF($C20="","",VLOOKUP($C20,성분!$B$2:$O$51519,5,FALSE))/100*$P20</f>
        <v>0.76600000000000001</v>
      </c>
      <c r="G20" s="168">
        <f>IF($C20="","",VLOOKUP($C20,성분!$B$2:$O$51519,4,FALSE))/100*$P20</f>
        <v>0.1</v>
      </c>
      <c r="H20" s="168">
        <f>IF($C20="","",VLOOKUP($C20,성분!$B$2:$O$51519,6,FALSE))/100*$P20</f>
        <v>1.9E-2</v>
      </c>
      <c r="I20" s="168">
        <f>IF($C20="","",VLOOKUP($C20,성분!$B$2:$O$51519,7,FALSE))/100*$P20</f>
        <v>1.5</v>
      </c>
      <c r="J20" s="168">
        <f>IF($C20="","",VLOOKUP($C20,성분!$B$2:$O$51519,8,FALSE))/100*$P20</f>
        <v>0.03</v>
      </c>
      <c r="K20" s="168">
        <f>IF($C20="","",VLOOKUP($C20,성분!$B$2:$O$51519,9,FALSE))/100*$P20</f>
        <v>0</v>
      </c>
      <c r="L20" s="168">
        <f>IF($C20="","",VLOOKUP($C20,성분!$B$2:$O$51519,10,FALSE))/100*$P20</f>
        <v>4.0000000000000001E-3</v>
      </c>
      <c r="M20" s="168">
        <f>IF($C20="","",VLOOKUP($C20,성분!$B$2:$O$51519,11,FALSE))/100*$P20</f>
        <v>1E-3</v>
      </c>
      <c r="N20" s="168">
        <f>IF($C20="","",VLOOKUP($C20,성분!$B$2:$O$51519,12,FALSE))/100*$P20</f>
        <v>0.02</v>
      </c>
      <c r="O20" s="167">
        <f>IF($C20="","",VLOOKUP($C20,성분!$B$2:$O$51519,13,FALSE))/100*$P20</f>
        <v>0.8</v>
      </c>
      <c r="P20" s="165">
        <f t="shared" si="4"/>
        <v>10</v>
      </c>
      <c r="Q20" s="162">
        <f t="shared" si="5"/>
        <v>4.08</v>
      </c>
      <c r="R20" s="18"/>
    </row>
    <row r="21" spans="1:18" s="160" customFormat="1" ht="27.75" customHeight="1">
      <c r="A21" s="166">
        <f t="shared" si="0"/>
        <v>11</v>
      </c>
      <c r="B21" s="171"/>
      <c r="C21" s="169" t="s">
        <v>2271</v>
      </c>
      <c r="D21" s="168">
        <v>10</v>
      </c>
      <c r="E21" s="168">
        <f>IF($C21="","",VLOOKUP($C21,성분!$B$2:$O$51519,3,FALSE))/100*P21</f>
        <v>13.200000000000001</v>
      </c>
      <c r="F21" s="168">
        <f>IF($C21="","",VLOOKUP($C21,성분!$B$2:$O$51519,5,FALSE))/100*$P21</f>
        <v>0.38700000000000001</v>
      </c>
      <c r="G21" s="168">
        <f>IF($C21="","",VLOOKUP($C21,성분!$B$2:$O$51519,4,FALSE))/100*$P21</f>
        <v>0.375</v>
      </c>
      <c r="H21" s="168">
        <f>IF($C21="","",VLOOKUP($C21,성분!$B$2:$O$51519,6,FALSE))/100*$P21</f>
        <v>4.0999999999999995E-2</v>
      </c>
      <c r="I21" s="168">
        <f>IF($C21="","",VLOOKUP($C21,성분!$B$2:$O$51519,7,FALSE))/100*$P21</f>
        <v>0.6</v>
      </c>
      <c r="J21" s="168">
        <f>IF($C21="","",VLOOKUP($C21,성분!$B$2:$O$51519,8,FALSE))/100*$P21</f>
        <v>6.3E-2</v>
      </c>
      <c r="K21" s="168">
        <f>IF($C21="","",VLOOKUP($C21,성분!$B$2:$O$51519,9,FALSE))/100*$P21</f>
        <v>0.2</v>
      </c>
      <c r="L21" s="168">
        <f>IF($C21="","",VLOOKUP($C21,성분!$B$2:$O$51519,10,FALSE))/100*$P21</f>
        <v>0</v>
      </c>
      <c r="M21" s="168">
        <f>IF($C21="","",VLOOKUP($C21,성분!$B$2:$O$51519,11,FALSE))/100*$P21</f>
        <v>5.0000000000000001E-3</v>
      </c>
      <c r="N21" s="168">
        <f>IF($C21="","",VLOOKUP($C21,성분!$B$2:$O$51519,12,FALSE))/100*$P21</f>
        <v>7.4999999999999997E-2</v>
      </c>
      <c r="O21" s="167">
        <f>IF($C21="","",VLOOKUP($C21,성분!$B$2:$O$51519,13,FALSE))/100*$P21</f>
        <v>0.28799999999999998</v>
      </c>
      <c r="P21" s="165">
        <f t="shared" si="4"/>
        <v>10</v>
      </c>
      <c r="Q21" s="162">
        <f t="shared" si="5"/>
        <v>4.08</v>
      </c>
      <c r="R21" s="18"/>
    </row>
    <row r="22" spans="1:18" s="160" customFormat="1" ht="27.75" customHeight="1">
      <c r="A22" s="166">
        <v>6</v>
      </c>
      <c r="B22" s="171"/>
      <c r="C22" s="169" t="s">
        <v>914</v>
      </c>
      <c r="D22" s="168">
        <v>35</v>
      </c>
      <c r="E22" s="168">
        <f>IF($C22="","",VLOOKUP($C22,성분!$B$2:$O$51519,3,FALSE))/100*P22</f>
        <v>0</v>
      </c>
      <c r="F22" s="168">
        <f>IF($C22="","",VLOOKUP($C22,성분!$B$2:$O$51519,5,FALSE))/100*$P22</f>
        <v>0</v>
      </c>
      <c r="G22" s="168">
        <f>IF($C22="","",VLOOKUP($C22,성분!$B$2:$O$51519,4,FALSE))/100*$P22</f>
        <v>0</v>
      </c>
      <c r="H22" s="168">
        <f>IF($C22="","",VLOOKUP($C22,성분!$B$2:$O$51519,6,FALSE))/100*$P22</f>
        <v>0</v>
      </c>
      <c r="I22" s="168">
        <f>IF($C22="","",VLOOKUP($C22,성분!$B$2:$O$51519,7,FALSE))/100*$P22</f>
        <v>0</v>
      </c>
      <c r="J22" s="168">
        <f>IF($C22="","",VLOOKUP($C22,성분!$B$2:$O$51519,8,FALSE))/100*$P22</f>
        <v>0</v>
      </c>
      <c r="K22" s="168">
        <f>IF($C22="","",VLOOKUP($C22,성분!$B$2:$O$51519,9,FALSE))/100*$P22</f>
        <v>0</v>
      </c>
      <c r="L22" s="168">
        <f>IF($C22="","",VLOOKUP($C22,성분!$B$2:$O$51519,10,FALSE))/100*$P22</f>
        <v>0</v>
      </c>
      <c r="M22" s="168">
        <f>IF($C22="","",VLOOKUP($C22,성분!$B$2:$O$51519,11,FALSE))/100*$P22</f>
        <v>0</v>
      </c>
      <c r="N22" s="168">
        <f>IF($C22="","",VLOOKUP($C22,성분!$B$2:$O$51519,12,FALSE))/100*$P22</f>
        <v>0</v>
      </c>
      <c r="O22" s="167">
        <f>IF($C22="","",VLOOKUP($C22,성분!$B$2:$O$51519,13,FALSE))/100*$P22</f>
        <v>0</v>
      </c>
      <c r="P22" s="165"/>
      <c r="Q22" s="162"/>
      <c r="R22" s="18"/>
    </row>
    <row r="23" spans="1:18" customFormat="1" ht="27.75" customHeight="1">
      <c r="A23" s="42">
        <f t="shared" si="0"/>
        <v>13</v>
      </c>
      <c r="B23" s="140" t="s">
        <v>2344</v>
      </c>
      <c r="C23" s="139" t="s">
        <v>2340</v>
      </c>
      <c r="D23" s="137">
        <v>15</v>
      </c>
      <c r="E23" s="168">
        <f>IF($C23="","",VLOOKUP($C23,성분!$B$2:$O$51519,3,FALSE))/100*P23</f>
        <v>13.05</v>
      </c>
      <c r="F23" s="168">
        <f>IF($C23="","",VLOOKUP($C23,성분!$B$2:$O$51519,5,FALSE))/100*$P23</f>
        <v>0.41999999999999993</v>
      </c>
      <c r="G23" s="168">
        <f>IF($C23="","",VLOOKUP($C23,성분!$B$2:$O$51519,4,FALSE))/100*$P23</f>
        <v>2.73</v>
      </c>
      <c r="H23" s="168">
        <f>IF($C23="","",VLOOKUP($C23,성분!$B$2:$O$51519,6,FALSE))/100*$P23</f>
        <v>0.495</v>
      </c>
      <c r="I23" s="168">
        <f>IF($C23="","",VLOOKUP($C23,성분!$B$2:$O$51519,7,FALSE))/100*$P23</f>
        <v>2.5500000000000003</v>
      </c>
      <c r="J23" s="168">
        <f>IF($C23="","",VLOOKUP($C23,성분!$B$2:$O$51519,8,FALSE))/100*$P23</f>
        <v>4.4999999999999998E-2</v>
      </c>
      <c r="K23" s="168">
        <f>IF($C23="","",VLOOKUP($C23,성분!$B$2:$O$51519,9,FALSE))/100*$P23</f>
        <v>0</v>
      </c>
      <c r="L23" s="168">
        <f>IF($C23="","",VLOOKUP($C23,성분!$B$2:$O$51519,10,FALSE))/100*$P23</f>
        <v>6.0000000000000001E-3</v>
      </c>
      <c r="M23" s="168">
        <f>IF($C23="","",VLOOKUP($C23,성분!$B$2:$O$51519,11,FALSE))/100*$P23</f>
        <v>7.4999999999999997E-3</v>
      </c>
      <c r="N23" s="168">
        <f>IF($C23="","",VLOOKUP($C23,성분!$B$2:$O$51519,12,FALSE))/100*$P23</f>
        <v>0.40500000000000003</v>
      </c>
      <c r="O23" s="167">
        <f>IF($C23="","",VLOOKUP($C23,성분!$B$2:$O$51519,13,FALSE))/100*$P23</f>
        <v>0.3</v>
      </c>
      <c r="P23" s="38">
        <f t="shared" si="1"/>
        <v>15</v>
      </c>
      <c r="Q23" s="17">
        <f t="shared" si="2"/>
        <v>6.12</v>
      </c>
      <c r="R23" s="18">
        <f t="shared" si="3"/>
        <v>6</v>
      </c>
    </row>
    <row r="24" spans="1:18" customFormat="1" ht="27.75" customHeight="1">
      <c r="A24" s="42">
        <f t="shared" si="0"/>
        <v>14</v>
      </c>
      <c r="B24" s="140"/>
      <c r="C24" s="139" t="s">
        <v>2341</v>
      </c>
      <c r="D24" s="137">
        <v>15</v>
      </c>
      <c r="E24" s="168">
        <f>IF($C24="","",VLOOKUP($C24,성분!$B$2:$O$51519,3,FALSE))/100*P24</f>
        <v>13.35</v>
      </c>
      <c r="F24" s="168">
        <f>IF($C24="","",VLOOKUP($C24,성분!$B$2:$O$51519,5,FALSE))/100*$P24</f>
        <v>1.0500000000000002E-2</v>
      </c>
      <c r="G24" s="168">
        <f>IF($C24="","",VLOOKUP($C24,성분!$B$2:$O$51519,4,FALSE))/100*$P24</f>
        <v>1.71</v>
      </c>
      <c r="H24" s="168">
        <f>IF($C24="","",VLOOKUP($C24,성분!$B$2:$O$51519,6,FALSE))/100*$P24</f>
        <v>0.114</v>
      </c>
      <c r="I24" s="168">
        <f>IF($C24="","",VLOOKUP($C24,성분!$B$2:$O$51519,7,FALSE))/100*$P24</f>
        <v>3.3</v>
      </c>
      <c r="J24" s="168">
        <f>IF($C24="","",VLOOKUP($C24,성분!$B$2:$O$51519,8,FALSE))/100*$P24</f>
        <v>0.03</v>
      </c>
      <c r="K24" s="168">
        <f>IF($C24="","",VLOOKUP($C24,성분!$B$2:$O$51519,9,FALSE))/100*$P24</f>
        <v>0</v>
      </c>
      <c r="L24" s="168">
        <f>IF($C24="","",VLOOKUP($C24,성분!$B$2:$O$51519,10,FALSE))/100*$P24</f>
        <v>3.0000000000000001E-3</v>
      </c>
      <c r="M24" s="168">
        <f>IF($C24="","",VLOOKUP($C24,성분!$B$2:$O$51519,11,FALSE))/100*$P24</f>
        <v>7.4999999999999997E-3</v>
      </c>
      <c r="N24" s="168">
        <f>IF($C24="","",VLOOKUP($C24,성분!$B$2:$O$51519,12,FALSE))/100*$P24</f>
        <v>0.33</v>
      </c>
      <c r="O24" s="167">
        <f>IF($C24="","",VLOOKUP($C24,성분!$B$2:$O$51519,13,FALSE))/100*$P24</f>
        <v>0.15</v>
      </c>
      <c r="P24" s="38">
        <f t="shared" si="1"/>
        <v>15</v>
      </c>
      <c r="Q24" s="17">
        <f t="shared" si="2"/>
        <v>6.12</v>
      </c>
      <c r="R24" s="18"/>
    </row>
    <row r="25" spans="1:18" customFormat="1" ht="27.75" customHeight="1">
      <c r="A25" s="42">
        <f t="shared" si="0"/>
        <v>15</v>
      </c>
      <c r="B25" s="140"/>
      <c r="C25" s="139" t="s">
        <v>2209</v>
      </c>
      <c r="D25" s="137">
        <v>10</v>
      </c>
      <c r="E25" s="168">
        <f>IF($C25="","",VLOOKUP($C25,성분!$B$2:$O$51519,3,FALSE))/100*P25</f>
        <v>14.8</v>
      </c>
      <c r="F25" s="168">
        <f>IF($C25="","",VLOOKUP($C25,성분!$B$2:$O$51519,5,FALSE))/100*$P25</f>
        <v>0</v>
      </c>
      <c r="G25" s="168">
        <f>IF($C25="","",VLOOKUP($C25,성분!$B$2:$O$51519,4,FALSE))/100*$P25</f>
        <v>0.72000000000000008</v>
      </c>
      <c r="H25" s="168">
        <f>IF($C25="","",VLOOKUP($C25,성분!$B$2:$O$51519,6,FALSE))/100*$P25</f>
        <v>1.6500000000000001</v>
      </c>
      <c r="I25" s="168">
        <f>IF($C25="","",VLOOKUP($C25,성분!$B$2:$O$51519,7,FALSE))/100*$P25</f>
        <v>0.1</v>
      </c>
      <c r="J25" s="168">
        <f>IF($C25="","",VLOOKUP($C25,성분!$B$2:$O$51519,8,FALSE))/100*$P25</f>
        <v>0.1</v>
      </c>
      <c r="K25" s="168">
        <f>IF($C25="","",VLOOKUP($C25,성분!$B$2:$O$51519,9,FALSE))/100*$P25</f>
        <v>1.6</v>
      </c>
      <c r="L25" s="168">
        <f>IF($C25="","",VLOOKUP($C25,성분!$B$2:$O$51519,10,FALSE))/100*$P25</f>
        <v>0.01</v>
      </c>
      <c r="M25" s="168">
        <f>IF($C25="","",VLOOKUP($C25,성분!$B$2:$O$51519,11,FALSE))/100*$P25</f>
        <v>8.0000000000000002E-3</v>
      </c>
      <c r="N25" s="168">
        <f>IF($C25="","",VLOOKUP($C25,성분!$B$2:$O$51519,12,FALSE))/100*$P25</f>
        <v>8.6999999999999994E-2</v>
      </c>
      <c r="O25" s="167">
        <f>IF($C25="","",VLOOKUP($C25,성분!$B$2:$O$51519,13,FALSE))/100*$P25</f>
        <v>0</v>
      </c>
      <c r="P25" s="38">
        <f t="shared" si="1"/>
        <v>10</v>
      </c>
      <c r="Q25" s="17">
        <f t="shared" si="2"/>
        <v>4.08</v>
      </c>
      <c r="R25" s="18"/>
    </row>
    <row r="26" spans="1:18" s="127" customFormat="1" ht="27.75" customHeight="1">
      <c r="A26" s="135">
        <v>6</v>
      </c>
      <c r="B26" s="140"/>
      <c r="C26" s="139" t="s">
        <v>1186</v>
      </c>
      <c r="D26" s="137">
        <v>25</v>
      </c>
      <c r="E26" s="168">
        <f>IF($C26="","",VLOOKUP($C26,성분!$B$2:$O$51519,3,FALSE))/100*P26</f>
        <v>0</v>
      </c>
      <c r="F26" s="168">
        <f>IF($C26="","",VLOOKUP($C26,성분!$B$2:$O$51519,5,FALSE))/100*$P26</f>
        <v>0</v>
      </c>
      <c r="G26" s="168">
        <f>IF($C26="","",VLOOKUP($C26,성분!$B$2:$O$51519,4,FALSE))/100*$P26</f>
        <v>0</v>
      </c>
      <c r="H26" s="168">
        <f>IF($C26="","",VLOOKUP($C26,성분!$B$2:$O$51519,6,FALSE))/100*$P26</f>
        <v>0</v>
      </c>
      <c r="I26" s="168">
        <f>IF($C26="","",VLOOKUP($C26,성분!$B$2:$O$51519,7,FALSE))/100*$P26</f>
        <v>0</v>
      </c>
      <c r="J26" s="168">
        <f>IF($C26="","",VLOOKUP($C26,성분!$B$2:$O$51519,8,FALSE))/100*$P26</f>
        <v>0</v>
      </c>
      <c r="K26" s="168">
        <f>IF($C26="","",VLOOKUP($C26,성분!$B$2:$O$51519,9,FALSE))/100*$P26</f>
        <v>0</v>
      </c>
      <c r="L26" s="168">
        <f>IF($C26="","",VLOOKUP($C26,성분!$B$2:$O$51519,10,FALSE))/100*$P26</f>
        <v>0</v>
      </c>
      <c r="M26" s="168">
        <f>IF($C26="","",VLOOKUP($C26,성분!$B$2:$O$51519,11,FALSE))/100*$P26</f>
        <v>0</v>
      </c>
      <c r="N26" s="168">
        <f>IF($C26="","",VLOOKUP($C26,성분!$B$2:$O$51519,12,FALSE))/100*$P26</f>
        <v>0</v>
      </c>
      <c r="O26" s="167">
        <f>IF($C26="","",VLOOKUP($C26,성분!$B$2:$O$51519,13,FALSE))/100*$P26</f>
        <v>0</v>
      </c>
      <c r="P26" s="134"/>
      <c r="Q26" s="129"/>
      <c r="R26" s="18"/>
    </row>
    <row r="27" spans="1:18" s="127" customFormat="1" ht="27.75" customHeight="1">
      <c r="A27" s="135">
        <v>7</v>
      </c>
      <c r="B27" s="140"/>
      <c r="C27" s="139" t="s">
        <v>1190</v>
      </c>
      <c r="D27" s="137">
        <v>10</v>
      </c>
      <c r="E27" s="168">
        <f>IF($C27="","",VLOOKUP($C27,성분!$B$2:$O$51519,3,FALSE))/100*P27</f>
        <v>0</v>
      </c>
      <c r="F27" s="168">
        <f>IF($C27="","",VLOOKUP($C27,성분!$B$2:$O$51519,5,FALSE))/100*$P27</f>
        <v>0</v>
      </c>
      <c r="G27" s="168">
        <f>IF($C27="","",VLOOKUP($C27,성분!$B$2:$O$51519,4,FALSE))/100*$P27</f>
        <v>0</v>
      </c>
      <c r="H27" s="168">
        <f>IF($C27="","",VLOOKUP($C27,성분!$B$2:$O$51519,6,FALSE))/100*$P27</f>
        <v>0</v>
      </c>
      <c r="I27" s="168">
        <f>IF($C27="","",VLOOKUP($C27,성분!$B$2:$O$51519,7,FALSE))/100*$P27</f>
        <v>0</v>
      </c>
      <c r="J27" s="168">
        <f>IF($C27="","",VLOOKUP($C27,성분!$B$2:$O$51519,8,FALSE))/100*$P27</f>
        <v>0</v>
      </c>
      <c r="K27" s="168">
        <f>IF($C27="","",VLOOKUP($C27,성분!$B$2:$O$51519,9,FALSE))/100*$P27</f>
        <v>0</v>
      </c>
      <c r="L27" s="168">
        <f>IF($C27="","",VLOOKUP($C27,성분!$B$2:$O$51519,10,FALSE))/100*$P27</f>
        <v>0</v>
      </c>
      <c r="M27" s="168">
        <f>IF($C27="","",VLOOKUP($C27,성분!$B$2:$O$51519,11,FALSE))/100*$P27</f>
        <v>0</v>
      </c>
      <c r="N27" s="168">
        <f>IF($C27="","",VLOOKUP($C27,성분!$B$2:$O$51519,12,FALSE))/100*$P27</f>
        <v>0</v>
      </c>
      <c r="O27" s="167">
        <f>IF($C27="","",VLOOKUP($C27,성분!$B$2:$O$51519,13,FALSE))/100*$P27</f>
        <v>0</v>
      </c>
      <c r="P27" s="134"/>
      <c r="Q27" s="129"/>
      <c r="R27" s="18"/>
    </row>
    <row r="28" spans="1:18" s="127" customFormat="1" ht="27.75" customHeight="1">
      <c r="A28" s="135">
        <v>8</v>
      </c>
      <c r="B28" s="140"/>
      <c r="C28" s="139" t="s">
        <v>2197</v>
      </c>
      <c r="D28" s="137">
        <v>15</v>
      </c>
      <c r="E28" s="168">
        <f>IF($C28="","",VLOOKUP($C28,성분!$B$2:$O$51519,3,FALSE))/100*P28</f>
        <v>0</v>
      </c>
      <c r="F28" s="168">
        <f>IF($C28="","",VLOOKUP($C28,성분!$B$2:$O$51519,5,FALSE))/100*$P28</f>
        <v>0</v>
      </c>
      <c r="G28" s="168">
        <f>IF($C28="","",VLOOKUP($C28,성분!$B$2:$O$51519,4,FALSE))/100*$P28</f>
        <v>0</v>
      </c>
      <c r="H28" s="168">
        <f>IF($C28="","",VLOOKUP($C28,성분!$B$2:$O$51519,6,FALSE))/100*$P28</f>
        <v>0</v>
      </c>
      <c r="I28" s="168">
        <f>IF($C28="","",VLOOKUP($C28,성분!$B$2:$O$51519,7,FALSE))/100*$P28</f>
        <v>0</v>
      </c>
      <c r="J28" s="168">
        <f>IF($C28="","",VLOOKUP($C28,성분!$B$2:$O$51519,8,FALSE))/100*$P28</f>
        <v>0</v>
      </c>
      <c r="K28" s="168">
        <f>IF($C28="","",VLOOKUP($C28,성분!$B$2:$O$51519,9,FALSE))/100*$P28</f>
        <v>0</v>
      </c>
      <c r="L28" s="168">
        <f>IF($C28="","",VLOOKUP($C28,성분!$B$2:$O$51519,10,FALSE))/100*$P28</f>
        <v>0</v>
      </c>
      <c r="M28" s="168">
        <f>IF($C28="","",VLOOKUP($C28,성분!$B$2:$O$51519,11,FALSE))/100*$P28</f>
        <v>0</v>
      </c>
      <c r="N28" s="168">
        <f>IF($C28="","",VLOOKUP($C28,성분!$B$2:$O$51519,12,FALSE))/100*$P28</f>
        <v>0</v>
      </c>
      <c r="O28" s="167">
        <f>IF($C28="","",VLOOKUP($C28,성분!$B$2:$O$51519,13,FALSE))/100*$P28</f>
        <v>0</v>
      </c>
      <c r="P28" s="134"/>
      <c r="Q28" s="129"/>
      <c r="R28" s="18"/>
    </row>
    <row r="29" spans="1:18" customFormat="1" ht="27.75" customHeight="1">
      <c r="A29" s="42">
        <f t="shared" si="0"/>
        <v>19</v>
      </c>
      <c r="B29" s="140"/>
      <c r="C29" s="143" t="s">
        <v>2392</v>
      </c>
      <c r="D29" s="137">
        <v>15</v>
      </c>
      <c r="E29" s="168">
        <f>IF($C29="","",VLOOKUP($C29,성분!$B$2:$O$51519,3,FALSE))/100*P29</f>
        <v>1.65</v>
      </c>
      <c r="F29" s="168">
        <f>IF($C29="","",VLOOKUP($C29,성분!$B$2:$O$51519,5,FALSE))/100*$P29</f>
        <v>0.19500000000000001</v>
      </c>
      <c r="G29" s="168">
        <f>IF($C29="","",VLOOKUP($C29,성분!$B$2:$O$51519,4,FALSE))/100*$P29</f>
        <v>0.33</v>
      </c>
      <c r="H29" s="168">
        <f>IF($C29="","",VLOOKUP($C29,성분!$B$2:$O$51519,6,FALSE))/100*$P29</f>
        <v>1.4999999999999999E-2</v>
      </c>
      <c r="I29" s="168">
        <f>IF($C29="","",VLOOKUP($C29,성분!$B$2:$O$51519,7,FALSE))/100*$P29</f>
        <v>2.25</v>
      </c>
      <c r="J29" s="168">
        <f>IF($C29="","",VLOOKUP($C29,성분!$B$2:$O$51519,8,FALSE))/100*$P29</f>
        <v>0.09</v>
      </c>
      <c r="K29" s="168">
        <f>IF($C29="","",VLOOKUP($C29,성분!$B$2:$O$51519,9,FALSE))/100*$P29</f>
        <v>0.6</v>
      </c>
      <c r="L29" s="168">
        <f>IF($C29="","",VLOOKUP($C29,성분!$B$2:$O$51519,10,FALSE))/100*$P29</f>
        <v>6.0000000000000001E-3</v>
      </c>
      <c r="M29" s="168">
        <f>IF($C29="","",VLOOKUP($C29,성분!$B$2:$O$51519,11,FALSE))/100*$P29</f>
        <v>7.4999999999999997E-3</v>
      </c>
      <c r="N29" s="168">
        <f>IF($C29="","",VLOOKUP($C29,성분!$B$2:$O$51519,12,FALSE))/100*$P29</f>
        <v>7.4999999999999997E-2</v>
      </c>
      <c r="O29" s="167">
        <f>IF($C29="","",VLOOKUP($C29,성분!$B$2:$O$51519,13,FALSE))/100*$P29</f>
        <v>1.5</v>
      </c>
      <c r="P29" s="38">
        <f t="shared" si="1"/>
        <v>15</v>
      </c>
      <c r="Q29" s="17">
        <f t="shared" si="2"/>
        <v>6.12</v>
      </c>
      <c r="R29" s="18">
        <f t="shared" ref="R29" si="12">INT(Q29)</f>
        <v>6</v>
      </c>
    </row>
    <row r="30" spans="1:18" s="136" customFormat="1" ht="27.75" customHeight="1">
      <c r="A30" s="142">
        <v>10</v>
      </c>
      <c r="B30" s="140"/>
      <c r="C30" s="149" t="s">
        <v>1239</v>
      </c>
      <c r="D30" s="145">
        <v>7</v>
      </c>
      <c r="E30" s="168">
        <f>IF($C30="","",VLOOKUP($C30,성분!$B$2:$O$51519,3,FALSE))/100*P30</f>
        <v>0</v>
      </c>
      <c r="F30" s="168">
        <f>IF($C30="","",VLOOKUP($C30,성분!$B$2:$O$51519,5,FALSE))/100*$P30</f>
        <v>0</v>
      </c>
      <c r="G30" s="168">
        <f>IF($C30="","",VLOOKUP($C30,성분!$B$2:$O$51519,4,FALSE))/100*$P30</f>
        <v>0</v>
      </c>
      <c r="H30" s="168">
        <f>IF($C30="","",VLOOKUP($C30,성분!$B$2:$O$51519,6,FALSE))/100*$P30</f>
        <v>0</v>
      </c>
      <c r="I30" s="168">
        <f>IF($C30="","",VLOOKUP($C30,성분!$B$2:$O$51519,7,FALSE))/100*$P30</f>
        <v>0</v>
      </c>
      <c r="J30" s="168">
        <f>IF($C30="","",VLOOKUP($C30,성분!$B$2:$O$51519,8,FALSE))/100*$P30</f>
        <v>0</v>
      </c>
      <c r="K30" s="168">
        <f>IF($C30="","",VLOOKUP($C30,성분!$B$2:$O$51519,9,FALSE))/100*$P30</f>
        <v>0</v>
      </c>
      <c r="L30" s="168">
        <f>IF($C30="","",VLOOKUP($C30,성분!$B$2:$O$51519,10,FALSE))/100*$P30</f>
        <v>0</v>
      </c>
      <c r="M30" s="168">
        <f>IF($C30="","",VLOOKUP($C30,성분!$B$2:$O$51519,11,FALSE))/100*$P30</f>
        <v>0</v>
      </c>
      <c r="N30" s="168">
        <f>IF($C30="","",VLOOKUP($C30,성분!$B$2:$O$51519,12,FALSE))/100*$P30</f>
        <v>0</v>
      </c>
      <c r="O30" s="167">
        <f>IF($C30="","",VLOOKUP($C30,성분!$B$2:$O$51519,13,FALSE))/100*$P30</f>
        <v>0</v>
      </c>
      <c r="P30" s="141"/>
      <c r="Q30" s="138"/>
      <c r="R30" s="18"/>
    </row>
    <row r="31" spans="1:18" s="160" customFormat="1" ht="27.75" customHeight="1">
      <c r="A31" s="166">
        <f t="shared" si="0"/>
        <v>21</v>
      </c>
      <c r="B31" s="171"/>
      <c r="C31" s="169" t="s">
        <v>2512</v>
      </c>
      <c r="D31" s="168">
        <v>3</v>
      </c>
      <c r="E31" s="168">
        <f>IF($C31="","",VLOOKUP($C31,성분!$B$2:$O$51519,3,FALSE))/100*P31</f>
        <v>5.67</v>
      </c>
      <c r="F31" s="168">
        <f>IF($C31="","",VLOOKUP($C31,성분!$B$2:$O$51519,5,FALSE))/100*$P31</f>
        <v>1.3560000000000001</v>
      </c>
      <c r="G31" s="168">
        <f>IF($C31="","",VLOOKUP($C31,성분!$B$2:$O$51519,4,FALSE))/100*$P31</f>
        <v>0.22200000000000003</v>
      </c>
      <c r="H31" s="168">
        <f>IF($C31="","",VLOOKUP($C31,성분!$B$2:$O$51519,6,FALSE))/100*$P31</f>
        <v>3.3000000000000002E-2</v>
      </c>
      <c r="I31" s="168">
        <f>IF($C31="","",VLOOKUP($C31,성분!$B$2:$O$51519,7,FALSE))/100*$P31</f>
        <v>21.240000000000002</v>
      </c>
      <c r="J31" s="168">
        <f>IF($C31="","",VLOOKUP($C31,성분!$B$2:$O$51519,8,FALSE))/100*$P31</f>
        <v>0.189</v>
      </c>
      <c r="K31" s="168">
        <f>IF($C31="","",VLOOKUP($C31,성분!$B$2:$O$51519,9,FALSE))/100*$P31</f>
        <v>2.88</v>
      </c>
      <c r="L31" s="168">
        <f>IF($C31="","",VLOOKUP($C31,성분!$B$2:$O$51519,10,FALSE))/100*$P31</f>
        <v>6.6E-3</v>
      </c>
      <c r="M31" s="168">
        <f>IF($C31="","",VLOOKUP($C31,성분!$B$2:$O$51519,11,FALSE))/100*$P31</f>
        <v>1.3500000000000002E-2</v>
      </c>
      <c r="N31" s="168">
        <f>IF($C31="","",VLOOKUP($C31,성분!$B$2:$O$51519,12,FALSE))/100*$P31</f>
        <v>0.13500000000000001</v>
      </c>
      <c r="O31" s="167">
        <f>IF($C31="","",VLOOKUP($C31,성분!$B$2:$O$51519,13,FALSE))/100*$P31</f>
        <v>0.54</v>
      </c>
      <c r="P31" s="165">
        <f t="shared" ref="P31" si="13">D31</f>
        <v>3</v>
      </c>
      <c r="Q31" s="162">
        <f t="shared" ref="Q31" si="14">($O$8*P31)/1000</f>
        <v>1.224</v>
      </c>
      <c r="R31" s="18"/>
    </row>
    <row r="32" spans="1:18" s="160" customFormat="1" ht="27.75" customHeight="1">
      <c r="A32" s="166">
        <v>12</v>
      </c>
      <c r="B32" s="171"/>
      <c r="C32" s="169" t="s">
        <v>2513</v>
      </c>
      <c r="D32" s="168">
        <v>3</v>
      </c>
      <c r="E32" s="168">
        <f>IF($C32="","",VLOOKUP($C32,성분!$B$2:$O$51519,3,FALSE))/100*P32</f>
        <v>0</v>
      </c>
      <c r="F32" s="168">
        <f>IF($C32="","",VLOOKUP($C32,성분!$B$2:$O$51519,5,FALSE))/100*$P32</f>
        <v>0</v>
      </c>
      <c r="G32" s="168">
        <f>IF($C32="","",VLOOKUP($C32,성분!$B$2:$O$51519,4,FALSE))/100*$P32</f>
        <v>0</v>
      </c>
      <c r="H32" s="168">
        <f>IF($C32="","",VLOOKUP($C32,성분!$B$2:$O$51519,6,FALSE))/100*$P32</f>
        <v>0</v>
      </c>
      <c r="I32" s="168">
        <f>IF($C32="","",VLOOKUP($C32,성분!$B$2:$O$51519,7,FALSE))/100*$P32</f>
        <v>0</v>
      </c>
      <c r="J32" s="168">
        <f>IF($C32="","",VLOOKUP($C32,성분!$B$2:$O$51519,8,FALSE))/100*$P32</f>
        <v>0</v>
      </c>
      <c r="K32" s="168">
        <f>IF($C32="","",VLOOKUP($C32,성분!$B$2:$O$51519,9,FALSE))/100*$P32</f>
        <v>0</v>
      </c>
      <c r="L32" s="168">
        <f>IF($C32="","",VLOOKUP($C32,성분!$B$2:$O$51519,10,FALSE))/100*$P32</f>
        <v>0</v>
      </c>
      <c r="M32" s="168">
        <f>IF($C32="","",VLOOKUP($C32,성분!$B$2:$O$51519,11,FALSE))/100*$P32</f>
        <v>0</v>
      </c>
      <c r="N32" s="168">
        <f>IF($C32="","",VLOOKUP($C32,성분!$B$2:$O$51519,12,FALSE))/100*$P32</f>
        <v>0</v>
      </c>
      <c r="O32" s="167">
        <f>IF($C32="","",VLOOKUP($C32,성분!$B$2:$O$51519,13,FALSE))/100*$P32</f>
        <v>0</v>
      </c>
      <c r="P32" s="165"/>
      <c r="Q32" s="162"/>
      <c r="R32" s="18"/>
    </row>
    <row r="33" spans="1:18" s="160" customFormat="1" ht="27.75" customHeight="1">
      <c r="A33" s="166">
        <f t="shared" si="0"/>
        <v>23</v>
      </c>
      <c r="B33" s="171" t="s">
        <v>2538</v>
      </c>
      <c r="C33" s="169" t="s">
        <v>2539</v>
      </c>
      <c r="D33" s="168">
        <v>70</v>
      </c>
      <c r="E33" s="168">
        <f>IF($C33="","",VLOOKUP($C33,성분!$B$2:$O$51519,3,FALSE))/100*P33</f>
        <v>168</v>
      </c>
      <c r="F33" s="168">
        <f>IF($C33="","",VLOOKUP($C33,성분!$B$2:$O$51519,5,FALSE))/100*$P33</f>
        <v>14.7</v>
      </c>
      <c r="G33" s="168">
        <f>IF($C33="","",VLOOKUP($C33,성분!$B$2:$O$51519,4,FALSE))/100*$P33</f>
        <v>8.4</v>
      </c>
      <c r="H33" s="168">
        <f>IF($C33="","",VLOOKUP($C33,성분!$B$2:$O$51519,6,FALSE))/100*$P33</f>
        <v>8.4699999999999989</v>
      </c>
      <c r="I33" s="168">
        <f>IF($C33="","",VLOOKUP($C33,성분!$B$2:$O$51519,7,FALSE))/100*$P33</f>
        <v>4.9000000000000004</v>
      </c>
      <c r="J33" s="168">
        <f>IF($C33="","",VLOOKUP($C33,성분!$B$2:$O$51519,8,FALSE))/100*$P33</f>
        <v>0.91</v>
      </c>
      <c r="K33" s="168">
        <f>IF($C33="","",VLOOKUP($C33,성분!$B$2:$O$51519,9,FALSE))/100*$P33</f>
        <v>0</v>
      </c>
      <c r="L33" s="168">
        <f>IF($C33="","",VLOOKUP($C33,성분!$B$2:$O$51519,10,FALSE))/100*$P33</f>
        <v>0</v>
      </c>
      <c r="M33" s="168">
        <f>IF($C33="","",VLOOKUP($C33,성분!$B$2:$O$51519,11,FALSE))/100*$P33</f>
        <v>0</v>
      </c>
      <c r="N33" s="168">
        <f>IF($C33="","",VLOOKUP($C33,성분!$B$2:$O$51519,12,FALSE))/100*$P33</f>
        <v>0</v>
      </c>
      <c r="O33" s="167">
        <f>IF($C33="","",VLOOKUP($C33,성분!$B$2:$O$51519,13,FALSE))/100*$P33</f>
        <v>0</v>
      </c>
      <c r="P33" s="165">
        <f t="shared" ref="P33:P34" si="15">D33</f>
        <v>70</v>
      </c>
      <c r="Q33" s="162">
        <f t="shared" ref="Q33:Q34" si="16">($O$8*P33)/1000</f>
        <v>28.56</v>
      </c>
      <c r="R33" s="18"/>
    </row>
    <row r="34" spans="1:18" s="160" customFormat="1" ht="27.75" customHeight="1">
      <c r="A34" s="166">
        <f t="shared" si="0"/>
        <v>24</v>
      </c>
      <c r="B34" s="171"/>
      <c r="C34" s="169" t="s">
        <v>1190</v>
      </c>
      <c r="D34" s="168">
        <v>10</v>
      </c>
      <c r="E34" s="168">
        <f>IF($C34="","",VLOOKUP($C34,성분!$B$2:$O$51519,3,FALSE))/100*P34</f>
        <v>3.5</v>
      </c>
      <c r="F34" s="168">
        <f>IF($C34="","",VLOOKUP($C34,성분!$B$2:$O$51519,5,FALSE))/100*$P34</f>
        <v>0.76600000000000001</v>
      </c>
      <c r="G34" s="168">
        <f>IF($C34="","",VLOOKUP($C34,성분!$B$2:$O$51519,4,FALSE))/100*$P34</f>
        <v>0.1</v>
      </c>
      <c r="H34" s="168">
        <f>IF($C34="","",VLOOKUP($C34,성분!$B$2:$O$51519,6,FALSE))/100*$P34</f>
        <v>1.9E-2</v>
      </c>
      <c r="I34" s="168">
        <f>IF($C34="","",VLOOKUP($C34,성분!$B$2:$O$51519,7,FALSE))/100*$P34</f>
        <v>1.5</v>
      </c>
      <c r="J34" s="168">
        <f>IF($C34="","",VLOOKUP($C34,성분!$B$2:$O$51519,8,FALSE))/100*$P34</f>
        <v>0.03</v>
      </c>
      <c r="K34" s="168">
        <f>IF($C34="","",VLOOKUP($C34,성분!$B$2:$O$51519,9,FALSE))/100*$P34</f>
        <v>0</v>
      </c>
      <c r="L34" s="168">
        <f>IF($C34="","",VLOOKUP($C34,성분!$B$2:$O$51519,10,FALSE))/100*$P34</f>
        <v>4.0000000000000001E-3</v>
      </c>
      <c r="M34" s="168">
        <f>IF($C34="","",VLOOKUP($C34,성분!$B$2:$O$51519,11,FALSE))/100*$P34</f>
        <v>1E-3</v>
      </c>
      <c r="N34" s="168">
        <f>IF($C34="","",VLOOKUP($C34,성분!$B$2:$O$51519,12,FALSE))/100*$P34</f>
        <v>0.02</v>
      </c>
      <c r="O34" s="167">
        <f>IF($C34="","",VLOOKUP($C34,성분!$B$2:$O$51519,13,FALSE))/100*$P34</f>
        <v>0.8</v>
      </c>
      <c r="P34" s="165">
        <f t="shared" si="15"/>
        <v>10</v>
      </c>
      <c r="Q34" s="162">
        <f t="shared" si="16"/>
        <v>4.08</v>
      </c>
      <c r="R34" s="18"/>
    </row>
    <row r="35" spans="1:18" s="160" customFormat="1" ht="27.75" customHeight="1">
      <c r="A35" s="166">
        <f t="shared" si="0"/>
        <v>25</v>
      </c>
      <c r="B35" s="171"/>
      <c r="C35" s="169" t="s">
        <v>2271</v>
      </c>
      <c r="D35" s="168">
        <v>5</v>
      </c>
      <c r="E35" s="168">
        <f>IF($C35="","",VLOOKUP($C35,성분!$B$2:$O$51519,3,FALSE))/100*P35</f>
        <v>6.6000000000000005</v>
      </c>
      <c r="F35" s="168">
        <f>IF($C35="","",VLOOKUP($C35,성분!$B$2:$O$51519,5,FALSE))/100*$P35</f>
        <v>0.19350000000000001</v>
      </c>
      <c r="G35" s="168">
        <f>IF($C35="","",VLOOKUP($C35,성분!$B$2:$O$51519,4,FALSE))/100*$P35</f>
        <v>0.1875</v>
      </c>
      <c r="H35" s="168">
        <f>IF($C35="","",VLOOKUP($C35,성분!$B$2:$O$51519,6,FALSE))/100*$P35</f>
        <v>2.0499999999999997E-2</v>
      </c>
      <c r="I35" s="168">
        <f>IF($C35="","",VLOOKUP($C35,성분!$B$2:$O$51519,7,FALSE))/100*$P35</f>
        <v>0.3</v>
      </c>
      <c r="J35" s="168">
        <f>IF($C35="","",VLOOKUP($C35,성분!$B$2:$O$51519,8,FALSE))/100*$P35</f>
        <v>3.15E-2</v>
      </c>
      <c r="K35" s="168">
        <f>IF($C35="","",VLOOKUP($C35,성분!$B$2:$O$51519,9,FALSE))/100*$P35</f>
        <v>0.1</v>
      </c>
      <c r="L35" s="168">
        <f>IF($C35="","",VLOOKUP($C35,성분!$B$2:$O$51519,10,FALSE))/100*$P35</f>
        <v>0</v>
      </c>
      <c r="M35" s="168">
        <f>IF($C35="","",VLOOKUP($C35,성분!$B$2:$O$51519,11,FALSE))/100*$P35</f>
        <v>2.5000000000000001E-3</v>
      </c>
      <c r="N35" s="168">
        <f>IF($C35="","",VLOOKUP($C35,성분!$B$2:$O$51519,12,FALSE))/100*$P35</f>
        <v>3.7499999999999999E-2</v>
      </c>
      <c r="O35" s="167">
        <f>IF($C35="","",VLOOKUP($C35,성분!$B$2:$O$51519,13,FALSE))/100*$P35</f>
        <v>0.14399999999999999</v>
      </c>
      <c r="P35" s="165">
        <f t="shared" ref="P35" si="17">D35</f>
        <v>5</v>
      </c>
      <c r="Q35" s="162">
        <f t="shared" ref="Q35" si="18">($O$8*P35)/1000</f>
        <v>2.04</v>
      </c>
      <c r="R35" s="18"/>
    </row>
    <row r="36" spans="1:18" customFormat="1" ht="27.75" customHeight="1">
      <c r="A36" s="42">
        <f t="shared" si="0"/>
        <v>26</v>
      </c>
      <c r="B36" s="152"/>
      <c r="C36" s="151" t="s">
        <v>2540</v>
      </c>
      <c r="D36" s="150">
        <v>5</v>
      </c>
      <c r="E36" s="168">
        <f>IF($C36="","",VLOOKUP($C36,성분!$B$2:$O$51519,3,FALSE))/100*P36</f>
        <v>5.9499999999999993</v>
      </c>
      <c r="F36" s="168">
        <f>IF($C36="","",VLOOKUP($C36,성분!$B$2:$O$51519,5,FALSE))/100*$P36</f>
        <v>1.4249999999999998</v>
      </c>
      <c r="G36" s="168">
        <f>IF($C36="","",VLOOKUP($C36,성분!$B$2:$O$51519,4,FALSE))/100*$P36</f>
        <v>5.5000000000000007E-2</v>
      </c>
      <c r="H36" s="168">
        <f>IF($C36="","",VLOOKUP($C36,성분!$B$2:$O$51519,6,FALSE))/100*$P36</f>
        <v>5.0000000000000001E-3</v>
      </c>
      <c r="I36" s="168">
        <f>IF($C36="","",VLOOKUP($C36,성분!$B$2:$O$51519,7,FALSE))/100*$P36</f>
        <v>0</v>
      </c>
      <c r="J36" s="168">
        <f>IF($C36="","",VLOOKUP($C36,성분!$B$2:$O$51519,8,FALSE))/100*$P36</f>
        <v>0</v>
      </c>
      <c r="K36" s="168">
        <f>IF($C36="","",VLOOKUP($C36,성분!$B$2:$O$51519,9,FALSE))/100*$P36</f>
        <v>0</v>
      </c>
      <c r="L36" s="168">
        <f>IF($C36="","",VLOOKUP($C36,성분!$B$2:$O$51519,10,FALSE))/100*$P36</f>
        <v>0</v>
      </c>
      <c r="M36" s="168">
        <f>IF($C36="","",VLOOKUP($C36,성분!$B$2:$O$51519,11,FALSE))/100*$P36</f>
        <v>0</v>
      </c>
      <c r="N36" s="168">
        <f>IF($C36="","",VLOOKUP($C36,성분!$B$2:$O$51519,12,FALSE))/100*$P36</f>
        <v>0</v>
      </c>
      <c r="O36" s="167">
        <f>IF($C36="","",VLOOKUP($C36,성분!$B$2:$O$51519,13,FALSE))/100*$P36</f>
        <v>0</v>
      </c>
      <c r="P36" s="38">
        <f t="shared" si="1"/>
        <v>5</v>
      </c>
      <c r="Q36" s="17">
        <f t="shared" si="2"/>
        <v>2.04</v>
      </c>
      <c r="R36" s="18"/>
    </row>
    <row r="37" spans="1:18" s="144" customFormat="1" ht="27.75" customHeight="1">
      <c r="A37" s="148">
        <v>12</v>
      </c>
      <c r="B37" s="152"/>
      <c r="C37" s="151" t="s">
        <v>2479</v>
      </c>
      <c r="D37" s="150">
        <v>10</v>
      </c>
      <c r="E37" s="168">
        <f>IF($C37="","",VLOOKUP($C37,성분!$B$2:$O$51519,3,FALSE))/100*P37</f>
        <v>0</v>
      </c>
      <c r="F37" s="168">
        <f>IF($C37="","",VLOOKUP($C37,성분!$B$2:$O$51519,5,FALSE))/100*$P37</f>
        <v>0</v>
      </c>
      <c r="G37" s="168">
        <f>IF($C37="","",VLOOKUP($C37,성분!$B$2:$O$51519,4,FALSE))/100*$P37</f>
        <v>0</v>
      </c>
      <c r="H37" s="168">
        <f>IF($C37="","",VLOOKUP($C37,성분!$B$2:$O$51519,6,FALSE))/100*$P37</f>
        <v>0</v>
      </c>
      <c r="I37" s="168">
        <f>IF($C37="","",VLOOKUP($C37,성분!$B$2:$O$51519,7,FALSE))/100*$P37</f>
        <v>0</v>
      </c>
      <c r="J37" s="168">
        <f>IF($C37="","",VLOOKUP($C37,성분!$B$2:$O$51519,8,FALSE))/100*$P37</f>
        <v>0</v>
      </c>
      <c r="K37" s="168">
        <f>IF($C37="","",VLOOKUP($C37,성분!$B$2:$O$51519,9,FALSE))/100*$P37</f>
        <v>0</v>
      </c>
      <c r="L37" s="168">
        <f>IF($C37="","",VLOOKUP($C37,성분!$B$2:$O$51519,10,FALSE))/100*$P37</f>
        <v>0</v>
      </c>
      <c r="M37" s="168">
        <f>IF($C37="","",VLOOKUP($C37,성분!$B$2:$O$51519,11,FALSE))/100*$P37</f>
        <v>0</v>
      </c>
      <c r="N37" s="168">
        <f>IF($C37="","",VLOOKUP($C37,성분!$B$2:$O$51519,12,FALSE))/100*$P37</f>
        <v>0</v>
      </c>
      <c r="O37" s="167">
        <f>IF($C37="","",VLOOKUP($C37,성분!$B$2:$O$51519,13,FALSE))/100*$P37</f>
        <v>0</v>
      </c>
      <c r="P37" s="147"/>
      <c r="Q37" s="146"/>
      <c r="R37" s="18"/>
    </row>
    <row r="38" spans="1:18" customFormat="1" ht="27.75" customHeight="1">
      <c r="A38" s="42">
        <f t="shared" si="0"/>
        <v>28</v>
      </c>
      <c r="B38" s="152" t="s">
        <v>2345</v>
      </c>
      <c r="C38" s="151" t="s">
        <v>2412</v>
      </c>
      <c r="D38" s="150">
        <v>45</v>
      </c>
      <c r="E38" s="168">
        <f>IF($C38="","",VLOOKUP($C38,성분!$B$2:$O$51519,3,FALSE))/100*P38</f>
        <v>49.500000000000007</v>
      </c>
      <c r="F38" s="168">
        <f>IF($C38="","",VLOOKUP($C38,성분!$B$2:$O$51519,5,FALSE))/100*$P38</f>
        <v>21.375</v>
      </c>
      <c r="G38" s="168">
        <f>IF($C38="","",VLOOKUP($C38,성분!$B$2:$O$51519,4,FALSE))/100*$P38</f>
        <v>1.5750000000000002</v>
      </c>
      <c r="H38" s="168">
        <f>IF($C38="","",VLOOKUP($C38,성분!$B$2:$O$51519,6,FALSE))/100*$P38</f>
        <v>0.22500000000000001</v>
      </c>
      <c r="I38" s="168">
        <f>IF($C38="","",VLOOKUP($C38,성분!$B$2:$O$51519,7,FALSE))/100*$P38</f>
        <v>1.8</v>
      </c>
      <c r="J38" s="168">
        <f>IF($C38="","",VLOOKUP($C38,성분!$B$2:$O$51519,8,FALSE))/100*$P38</f>
        <v>0.45</v>
      </c>
      <c r="K38" s="168">
        <f>IF($C38="","",VLOOKUP($C38,성분!$B$2:$O$51519,9,FALSE))/100*$P38</f>
        <v>0</v>
      </c>
      <c r="L38" s="168">
        <f>IF($C38="","",VLOOKUP($C38,성분!$B$2:$O$51519,10,FALSE))/100*$P38</f>
        <v>9.0000000000000011E-3</v>
      </c>
      <c r="M38" s="168">
        <f>IF($C38="","",VLOOKUP($C38,성분!$B$2:$O$51519,11,FALSE))/100*$P38</f>
        <v>4.5000000000000005E-3</v>
      </c>
      <c r="N38" s="168">
        <f>IF($C38="","",VLOOKUP($C38,성분!$B$2:$O$51519,12,FALSE))/100*$P38</f>
        <v>0.31499999999999995</v>
      </c>
      <c r="O38" s="167">
        <f>IF($C38="","",VLOOKUP($C38,성분!$B$2:$O$51519,13,FALSE))/100*$P38</f>
        <v>0</v>
      </c>
      <c r="P38" s="38">
        <f t="shared" si="1"/>
        <v>45</v>
      </c>
      <c r="Q38" s="17">
        <f t="shared" si="2"/>
        <v>18.36</v>
      </c>
      <c r="R38" s="18"/>
    </row>
    <row r="39" spans="1:18" customFormat="1" ht="27.75" customHeight="1">
      <c r="A39" s="42">
        <f t="shared" si="0"/>
        <v>29</v>
      </c>
      <c r="B39" s="152"/>
      <c r="C39" s="151" t="s">
        <v>2413</v>
      </c>
      <c r="D39" s="150">
        <v>16</v>
      </c>
      <c r="E39" s="168">
        <f>IF($C39="","",VLOOKUP($C39,성분!$B$2:$O$51519,3,FALSE))/100*P39</f>
        <v>42.56</v>
      </c>
      <c r="F39" s="168">
        <f>IF($C39="","",VLOOKUP($C39,성분!$B$2:$O$51519,5,FALSE))/100*$P39</f>
        <v>0.91200000000000003</v>
      </c>
      <c r="G39" s="168">
        <f>IF($C39="","",VLOOKUP($C39,성분!$B$2:$O$51519,4,FALSE))/100*$P39</f>
        <v>2.1760000000000002</v>
      </c>
      <c r="H39" s="168">
        <f>IF($C39="","",VLOOKUP($C39,성분!$B$2:$O$51519,6,FALSE))/100*$P39</f>
        <v>3.9039999999999999</v>
      </c>
      <c r="I39" s="168">
        <f>IF($C39="","",VLOOKUP($C39,성분!$B$2:$O$51519,7,FALSE))/100*$P39</f>
        <v>2.08</v>
      </c>
      <c r="J39" s="168">
        <f>IF($C39="","",VLOOKUP($C39,성분!$B$2:$O$51519,8,FALSE))/100*$P39</f>
        <v>0.192</v>
      </c>
      <c r="K39" s="168">
        <f>IF($C39="","",VLOOKUP($C39,성분!$B$2:$O$51519,9,FALSE))/100*$P39</f>
        <v>0</v>
      </c>
      <c r="L39" s="168">
        <f>IF($C39="","",VLOOKUP($C39,성분!$B$2:$O$51519,10,FALSE))/100*$P39</f>
        <v>0.04</v>
      </c>
      <c r="M39" s="168">
        <f>IF($C39="","",VLOOKUP($C39,성분!$B$2:$O$51519,11,FALSE))/100*$P39</f>
        <v>1.9199999999999998E-2</v>
      </c>
      <c r="N39" s="168">
        <f>IF($C39="","",VLOOKUP($C39,성분!$B$2:$O$51519,12,FALSE))/100*$P39</f>
        <v>0.57600000000000007</v>
      </c>
      <c r="O39" s="167">
        <f>IF($C39="","",VLOOKUP($C39,성분!$B$2:$O$51519,13,FALSE))/100*$P39</f>
        <v>0.96</v>
      </c>
      <c r="P39" s="38">
        <f t="shared" si="1"/>
        <v>16</v>
      </c>
      <c r="Q39" s="17">
        <f t="shared" si="2"/>
        <v>6.5279999999999996</v>
      </c>
      <c r="R39" s="18"/>
    </row>
    <row r="40" spans="1:18" customFormat="1" ht="27.75" customHeight="1">
      <c r="A40" s="42">
        <f t="shared" si="0"/>
        <v>30</v>
      </c>
      <c r="B40" s="152"/>
      <c r="C40" s="151" t="s">
        <v>2414</v>
      </c>
      <c r="D40" s="150">
        <v>7</v>
      </c>
      <c r="E40" s="168">
        <f>IF($C40="","",VLOOKUP($C40,성분!$B$2:$O$51519,3,FALSE))/100*P40</f>
        <v>1.9600000000000002</v>
      </c>
      <c r="F40" s="168">
        <f>IF($C40="","",VLOOKUP($C40,성분!$B$2:$O$51519,5,FALSE))/100*$P40</f>
        <v>0.15400000000000003</v>
      </c>
      <c r="G40" s="168">
        <f>IF($C40="","",VLOOKUP($C40,성분!$B$2:$O$51519,4,FALSE))/100*$P40</f>
        <v>0.35000000000000003</v>
      </c>
      <c r="H40" s="168">
        <f>IF($C40="","",VLOOKUP($C40,성분!$B$2:$O$51519,6,FALSE))/100*$P40</f>
        <v>1.26E-2</v>
      </c>
      <c r="I40" s="168">
        <f>IF($C40="","",VLOOKUP($C40,성분!$B$2:$O$51519,7,FALSE))/100*$P40</f>
        <v>5.1099999999999994</v>
      </c>
      <c r="J40" s="168">
        <f>IF($C40="","",VLOOKUP($C40,성분!$B$2:$O$51519,8,FALSE))/100*$P40</f>
        <v>0.105</v>
      </c>
      <c r="K40" s="168">
        <f>IF($C40="","",VLOOKUP($C40,성분!$B$2:$O$51519,9,FALSE))/100*$P40</f>
        <v>8.9600000000000009</v>
      </c>
      <c r="L40" s="168">
        <f>IF($C40="","",VLOOKUP($C40,성분!$B$2:$O$51519,10,FALSE))/100*$P40</f>
        <v>8.3999999999999995E-3</v>
      </c>
      <c r="M40" s="168">
        <f>IF($C40="","",VLOOKUP($C40,성분!$B$2:$O$51519,11,FALSE))/100*$P40</f>
        <v>1.8200000000000001E-2</v>
      </c>
      <c r="N40" s="168">
        <f>IF($C40="","",VLOOKUP($C40,성분!$B$2:$O$51519,12,FALSE))/100*$P40</f>
        <v>7.7000000000000013E-2</v>
      </c>
      <c r="O40" s="167">
        <f>IF($C40="","",VLOOKUP($C40,성분!$B$2:$O$51519,13,FALSE))/100*$P40</f>
        <v>6.8599999999999994</v>
      </c>
      <c r="P40" s="38">
        <f t="shared" si="1"/>
        <v>7</v>
      </c>
      <c r="Q40" s="17">
        <f t="shared" si="2"/>
        <v>2.8559999999999999</v>
      </c>
      <c r="R40" s="18"/>
    </row>
    <row r="41" spans="1:18" customFormat="1" ht="27.75" customHeight="1">
      <c r="A41" s="42">
        <f t="shared" si="0"/>
        <v>31</v>
      </c>
      <c r="B41" s="30"/>
      <c r="C41" s="22" t="s">
        <v>1190</v>
      </c>
      <c r="D41" s="16">
        <v>7</v>
      </c>
      <c r="E41" s="168">
        <f>IF($C41="","",VLOOKUP($C41,성분!$B$2:$O$51519,3,FALSE))/100*P41</f>
        <v>2.4499999999999997</v>
      </c>
      <c r="F41" s="168">
        <f>IF($C41="","",VLOOKUP($C41,성분!$B$2:$O$51519,5,FALSE))/100*$P41</f>
        <v>0.53620000000000001</v>
      </c>
      <c r="G41" s="168">
        <f>IF($C41="","",VLOOKUP($C41,성분!$B$2:$O$51519,4,FALSE))/100*$P41</f>
        <v>7.0000000000000007E-2</v>
      </c>
      <c r="H41" s="168">
        <f>IF($C41="","",VLOOKUP($C41,성분!$B$2:$O$51519,6,FALSE))/100*$P41</f>
        <v>1.3299999999999999E-2</v>
      </c>
      <c r="I41" s="168">
        <f>IF($C41="","",VLOOKUP($C41,성분!$B$2:$O$51519,7,FALSE))/100*$P41</f>
        <v>1.05</v>
      </c>
      <c r="J41" s="168">
        <f>IF($C41="","",VLOOKUP($C41,성분!$B$2:$O$51519,8,FALSE))/100*$P41</f>
        <v>2.1000000000000001E-2</v>
      </c>
      <c r="K41" s="168">
        <f>IF($C41="","",VLOOKUP($C41,성분!$B$2:$O$51519,9,FALSE))/100*$P41</f>
        <v>0</v>
      </c>
      <c r="L41" s="168">
        <f>IF($C41="","",VLOOKUP($C41,성분!$B$2:$O$51519,10,FALSE))/100*$P41</f>
        <v>2.8E-3</v>
      </c>
      <c r="M41" s="168">
        <f>IF($C41="","",VLOOKUP($C41,성분!$B$2:$O$51519,11,FALSE))/100*$P41</f>
        <v>6.9999999999999999E-4</v>
      </c>
      <c r="N41" s="168">
        <f>IF($C41="","",VLOOKUP($C41,성분!$B$2:$O$51519,12,FALSE))/100*$P41</f>
        <v>1.4E-2</v>
      </c>
      <c r="O41" s="167">
        <f>IF($C41="","",VLOOKUP($C41,성분!$B$2:$O$51519,13,FALSE))/100*$P41</f>
        <v>0.56000000000000005</v>
      </c>
      <c r="P41" s="38">
        <f t="shared" si="1"/>
        <v>7</v>
      </c>
      <c r="Q41" s="17">
        <f t="shared" si="2"/>
        <v>2.8559999999999999</v>
      </c>
      <c r="R41" s="18"/>
    </row>
    <row r="42" spans="1:18" customFormat="1" ht="27.75" customHeight="1">
      <c r="A42" s="42">
        <f t="shared" si="0"/>
        <v>32</v>
      </c>
      <c r="B42" s="30"/>
      <c r="C42" s="22" t="s">
        <v>763</v>
      </c>
      <c r="D42" s="16">
        <v>7</v>
      </c>
      <c r="E42" s="168">
        <f>IF($C42="","",VLOOKUP($C42,성분!$B$2:$O$51519,3,FALSE))/100*P42</f>
        <v>21.560000000000002</v>
      </c>
      <c r="F42" s="168">
        <f>IF($C42="","",VLOOKUP($C42,성분!$B$2:$O$51519,5,FALSE))/100*$P42</f>
        <v>9.799999999999999E-2</v>
      </c>
      <c r="G42" s="168">
        <f>IF($C42="","",VLOOKUP($C42,성분!$B$2:$O$51519,4,FALSE))/100*$P42</f>
        <v>1.1970000000000001</v>
      </c>
      <c r="H42" s="168">
        <f>IF($C42="","",VLOOKUP($C42,성분!$B$2:$O$51519,6,FALSE))/100*$P42</f>
        <v>0.94500000000000006</v>
      </c>
      <c r="I42" s="168">
        <f>IF($C42="","",VLOOKUP($C42,성분!$B$2:$O$51519,7,FALSE))/100*$P42</f>
        <v>0.70000000000000007</v>
      </c>
      <c r="J42" s="168">
        <f>IF($C42="","",VLOOKUP($C42,성분!$B$2:$O$51519,8,FALSE))/100*$P42</f>
        <v>5.6000000000000001E-2</v>
      </c>
      <c r="K42" s="168">
        <f>IF($C42="","",VLOOKUP($C42,성분!$B$2:$O$51519,9,FALSE))/100*$P42</f>
        <v>0.56000000000000005</v>
      </c>
      <c r="L42" s="168">
        <f>IF($C42="","",VLOOKUP($C42,성분!$B$2:$O$51519,10,FALSE))/100*$P42</f>
        <v>3.5000000000000003E-2</v>
      </c>
      <c r="M42" s="168">
        <f>IF($C42="","",VLOOKUP($C42,성분!$B$2:$O$51519,11,FALSE))/100*$P42</f>
        <v>7.0000000000000001E-3</v>
      </c>
      <c r="N42" s="168">
        <f>IF($C42="","",VLOOKUP($C42,성분!$B$2:$O$51519,12,FALSE))/100*$P42</f>
        <v>0.32900000000000001</v>
      </c>
      <c r="O42" s="167">
        <f>IF($C42="","",VLOOKUP($C42,성분!$B$2:$O$51519,13,FALSE))/100*$P42</f>
        <v>1.8900000000000001</v>
      </c>
      <c r="P42" s="38">
        <f t="shared" si="1"/>
        <v>7</v>
      </c>
      <c r="Q42" s="17">
        <f t="shared" si="2"/>
        <v>2.8559999999999999</v>
      </c>
      <c r="R42" s="18"/>
    </row>
    <row r="43" spans="1:18" customFormat="1" ht="27.75" customHeight="1">
      <c r="A43" s="42">
        <f t="shared" si="0"/>
        <v>33</v>
      </c>
      <c r="B43" s="30"/>
      <c r="C43" s="22" t="s">
        <v>2271</v>
      </c>
      <c r="D43" s="16">
        <v>7</v>
      </c>
      <c r="E43" s="168">
        <f>IF($C43="","",VLOOKUP($C43,성분!$B$2:$O$51519,3,FALSE))/100*P43</f>
        <v>9.24</v>
      </c>
      <c r="F43" s="168">
        <f>IF($C43="","",VLOOKUP($C43,성분!$B$2:$O$51519,5,FALSE))/100*$P43</f>
        <v>0.27089999999999997</v>
      </c>
      <c r="G43" s="168">
        <f>IF($C43="","",VLOOKUP($C43,성분!$B$2:$O$51519,4,FALSE))/100*$P43</f>
        <v>0.26250000000000001</v>
      </c>
      <c r="H43" s="168">
        <f>IF($C43="","",VLOOKUP($C43,성분!$B$2:$O$51519,6,FALSE))/100*$P43</f>
        <v>2.8699999999999996E-2</v>
      </c>
      <c r="I43" s="168">
        <f>IF($C43="","",VLOOKUP($C43,성분!$B$2:$O$51519,7,FALSE))/100*$P43</f>
        <v>0.42</v>
      </c>
      <c r="J43" s="168">
        <f>IF($C43="","",VLOOKUP($C43,성분!$B$2:$O$51519,8,FALSE))/100*$P43</f>
        <v>4.41E-2</v>
      </c>
      <c r="K43" s="168">
        <f>IF($C43="","",VLOOKUP($C43,성분!$B$2:$O$51519,9,FALSE))/100*$P43</f>
        <v>0.14000000000000001</v>
      </c>
      <c r="L43" s="168">
        <f>IF($C43="","",VLOOKUP($C43,성분!$B$2:$O$51519,10,FALSE))/100*$P43</f>
        <v>0</v>
      </c>
      <c r="M43" s="168">
        <f>IF($C43="","",VLOOKUP($C43,성분!$B$2:$O$51519,11,FALSE))/100*$P43</f>
        <v>3.5000000000000001E-3</v>
      </c>
      <c r="N43" s="168">
        <f>IF($C43="","",VLOOKUP($C43,성분!$B$2:$O$51519,12,FALSE))/100*$P43</f>
        <v>5.2499999999999998E-2</v>
      </c>
      <c r="O43" s="167">
        <f>IF($C43="","",VLOOKUP($C43,성분!$B$2:$O$51519,13,FALSE))/100*$P43</f>
        <v>0.2016</v>
      </c>
      <c r="P43" s="38">
        <f t="shared" si="1"/>
        <v>7</v>
      </c>
      <c r="Q43" s="17">
        <f t="shared" si="2"/>
        <v>2.8559999999999999</v>
      </c>
      <c r="R43" s="18"/>
    </row>
    <row r="44" spans="1:18" customFormat="1" ht="27.75" customHeight="1">
      <c r="A44" s="42">
        <f t="shared" si="0"/>
        <v>34</v>
      </c>
      <c r="B44" s="30"/>
      <c r="C44" s="22" t="s">
        <v>2415</v>
      </c>
      <c r="D44" s="16">
        <v>20</v>
      </c>
      <c r="E44" s="168">
        <f>IF($C44="","",VLOOKUP($C44,성분!$B$2:$O$51519,3,FALSE))/100*P44</f>
        <v>34</v>
      </c>
      <c r="F44" s="168">
        <f>IF($C44="","",VLOOKUP($C44,성분!$B$2:$O$51519,5,FALSE))/100*$P44</f>
        <v>1.4000000000000001</v>
      </c>
      <c r="G44" s="168">
        <f>IF($C44="","",VLOOKUP($C44,성분!$B$2:$O$51519,4,FALSE))/100*$P44</f>
        <v>0.4</v>
      </c>
      <c r="H44" s="168">
        <f>IF($C44="","",VLOOKUP($C44,성분!$B$2:$O$51519,6,FALSE))/100*$P44</f>
        <v>3</v>
      </c>
      <c r="I44" s="168">
        <f>IF($C44="","",VLOOKUP($C44,성분!$B$2:$O$51519,7,FALSE))/100*$P44</f>
        <v>0</v>
      </c>
      <c r="J44" s="168">
        <f>IF($C44="","",VLOOKUP($C44,성분!$B$2:$O$51519,8,FALSE))/100*$P44</f>
        <v>0</v>
      </c>
      <c r="K44" s="168">
        <f>IF($C44="","",VLOOKUP($C44,성분!$B$2:$O$51519,9,FALSE))/100*$P44</f>
        <v>0</v>
      </c>
      <c r="L44" s="168">
        <f>IF($C44="","",VLOOKUP($C44,성분!$B$2:$O$51519,10,FALSE))/100*$P44</f>
        <v>0</v>
      </c>
      <c r="M44" s="168">
        <f>IF($C44="","",VLOOKUP($C44,성분!$B$2:$O$51519,11,FALSE))/100*$P44</f>
        <v>0</v>
      </c>
      <c r="N44" s="168">
        <f>IF($C44="","",VLOOKUP($C44,성분!$B$2:$O$51519,12,FALSE))/100*$P44</f>
        <v>0</v>
      </c>
      <c r="O44" s="167">
        <f>IF($C44="","",VLOOKUP($C44,성분!$B$2:$O$51519,13,FALSE))/100*$P44</f>
        <v>0</v>
      </c>
      <c r="P44" s="38">
        <f t="shared" si="1"/>
        <v>20</v>
      </c>
      <c r="Q44" s="17">
        <f t="shared" si="2"/>
        <v>8.16</v>
      </c>
      <c r="R44" s="18"/>
    </row>
    <row r="45" spans="1:18" customFormat="1" ht="27.75" customHeight="1">
      <c r="A45" s="42">
        <f t="shared" si="0"/>
        <v>35</v>
      </c>
      <c r="B45" s="30"/>
      <c r="C45" s="22" t="s">
        <v>2416</v>
      </c>
      <c r="D45" s="16">
        <v>3</v>
      </c>
      <c r="E45" s="168">
        <f>IF($C45="","",VLOOKUP($C45,성분!$B$2:$O$51519,3,FALSE))/100*P45</f>
        <v>6.0299999999999994</v>
      </c>
      <c r="F45" s="168">
        <f>IF($C45="","",VLOOKUP($C45,성분!$B$2:$O$51519,5,FALSE))/100*$P45</f>
        <v>0.12299999999999998</v>
      </c>
      <c r="G45" s="168">
        <f>IF($C45="","",VLOOKUP($C45,성분!$B$2:$O$51519,4,FALSE))/100*$P45</f>
        <v>0.77100000000000002</v>
      </c>
      <c r="H45" s="168">
        <f>IF($C45="","",VLOOKUP($C45,성분!$B$2:$O$51519,6,FALSE))/100*$P45</f>
        <v>0.44999999999999996</v>
      </c>
      <c r="I45" s="168">
        <f>IF($C45="","",VLOOKUP($C45,성분!$B$2:$O$51519,7,FALSE))/100*$P45</f>
        <v>25.92</v>
      </c>
      <c r="J45" s="168">
        <f>IF($C45="","",VLOOKUP($C45,성분!$B$2:$O$51519,8,FALSE))/100*$P45</f>
        <v>9.0000000000000011E-3</v>
      </c>
      <c r="K45" s="168">
        <f>IF($C45="","",VLOOKUP($C45,성분!$B$2:$O$51519,9,FALSE))/100*$P45</f>
        <v>10.350000000000001</v>
      </c>
      <c r="L45" s="168">
        <f>IF($C45="","",VLOOKUP($C45,성분!$B$2:$O$51519,10,FALSE))/100*$P45</f>
        <v>1.2000000000000001E-3</v>
      </c>
      <c r="M45" s="168">
        <f>IF($C45="","",VLOOKUP($C45,성분!$B$2:$O$51519,11,FALSE))/100*$P45</f>
        <v>1.3500000000000002E-2</v>
      </c>
      <c r="N45" s="168">
        <f>IF($C45="","",VLOOKUP($C45,성분!$B$2:$O$51519,12,FALSE))/100*$P45</f>
        <v>3.0000000000000001E-3</v>
      </c>
      <c r="O45" s="167">
        <f>IF($C45="","",VLOOKUP($C45,성분!$B$2:$O$51519,13,FALSE))/100*$P45</f>
        <v>0</v>
      </c>
      <c r="P45" s="38">
        <f t="shared" si="1"/>
        <v>3</v>
      </c>
      <c r="Q45" s="17">
        <f t="shared" si="2"/>
        <v>1.224</v>
      </c>
      <c r="R45" s="18"/>
    </row>
    <row r="46" spans="1:18" customFormat="1" ht="27.75" customHeight="1">
      <c r="A46" s="42">
        <f t="shared" si="0"/>
        <v>36</v>
      </c>
      <c r="B46" s="30" t="s">
        <v>2346</v>
      </c>
      <c r="C46" s="22" t="s">
        <v>1231</v>
      </c>
      <c r="D46" s="16">
        <v>15</v>
      </c>
      <c r="E46" s="168">
        <f>IF($C46="","",VLOOKUP($C46,성분!$B$2:$O$51519,3,FALSE))/100*P46</f>
        <v>2.1</v>
      </c>
      <c r="F46" s="168">
        <f>IF($C46="","",VLOOKUP($C46,성분!$B$2:$O$51519,5,FALSE))/100*$P46</f>
        <v>0.43049999999999999</v>
      </c>
      <c r="G46" s="168">
        <f>IF($C46="","",VLOOKUP($C46,성분!$B$2:$O$51519,4,FALSE))/100*$P46</f>
        <v>0.13500000000000001</v>
      </c>
      <c r="H46" s="168">
        <f>IF($C46="","",VLOOKUP($C46,성분!$B$2:$O$51519,6,FALSE))/100*$P46</f>
        <v>4.4999999999999998E-2</v>
      </c>
      <c r="I46" s="168">
        <f>IF($C46="","",VLOOKUP($C46,성분!$B$2:$O$51519,7,FALSE))/100*$P46</f>
        <v>1.3499999999999999</v>
      </c>
      <c r="J46" s="168">
        <f>IF($C46="","",VLOOKUP($C46,성분!$B$2:$O$51519,8,FALSE))/100*$P46</f>
        <v>4.4999999999999998E-2</v>
      </c>
      <c r="K46" s="168">
        <f>IF($C46="","",VLOOKUP($C46,성분!$B$2:$O$51519,9,FALSE))/100*$P46</f>
        <v>13.5</v>
      </c>
      <c r="L46" s="168">
        <f>IF($C46="","",VLOOKUP($C46,성분!$B$2:$O$51519,10,FALSE))/100*$P46</f>
        <v>6.0000000000000001E-3</v>
      </c>
      <c r="M46" s="168">
        <f>IF($C46="","",VLOOKUP($C46,성분!$B$2:$O$51519,11,FALSE))/100*$P46</f>
        <v>1.5E-3</v>
      </c>
      <c r="N46" s="168">
        <f>IF($C46="","",VLOOKUP($C46,성분!$B$2:$O$51519,12,FALSE))/100*$P46</f>
        <v>0.09</v>
      </c>
      <c r="O46" s="167">
        <f>IF($C46="","",VLOOKUP($C46,성분!$B$2:$O$51519,13,FALSE))/100*$P46</f>
        <v>1.65</v>
      </c>
      <c r="P46" s="38">
        <f t="shared" si="1"/>
        <v>15</v>
      </c>
      <c r="Q46" s="17">
        <f t="shared" si="2"/>
        <v>6.12</v>
      </c>
      <c r="R46" s="18"/>
    </row>
    <row r="47" spans="1:18" customFormat="1" ht="27.75" customHeight="1">
      <c r="A47" s="42">
        <f t="shared" si="0"/>
        <v>37</v>
      </c>
      <c r="B47" s="30"/>
      <c r="C47" s="22" t="s">
        <v>1153</v>
      </c>
      <c r="D47" s="16">
        <v>10</v>
      </c>
      <c r="E47" s="168">
        <f>IF($C47="","",VLOOKUP($C47,성분!$B$2:$O$51519,3,FALSE))/100*P47</f>
        <v>3.1</v>
      </c>
      <c r="F47" s="168">
        <f>IF($C47="","",VLOOKUP($C47,성분!$B$2:$O$51519,5,FALSE))/100*$P47</f>
        <v>0.37000000000000005</v>
      </c>
      <c r="G47" s="168">
        <f>IF($C47="","",VLOOKUP($C47,성분!$B$2:$O$51519,4,FALSE))/100*$P47</f>
        <v>0.42999999999999994</v>
      </c>
      <c r="H47" s="168">
        <f>IF($C47="","",VLOOKUP($C47,성분!$B$2:$O$51519,6,FALSE))/100*$P47</f>
        <v>0.04</v>
      </c>
      <c r="I47" s="168">
        <f>IF($C47="","",VLOOKUP($C47,성분!$B$2:$O$51519,7,FALSE))/100*$P47</f>
        <v>3.4000000000000004</v>
      </c>
      <c r="J47" s="168">
        <f>IF($C47="","",VLOOKUP($C47,성분!$B$2:$O$51519,8,FALSE))/100*$P47</f>
        <v>0.28999999999999998</v>
      </c>
      <c r="K47" s="168">
        <f>IF($C47="","",VLOOKUP($C47,성분!$B$2:$O$51519,9,FALSE))/100*$P47</f>
        <v>63.8</v>
      </c>
      <c r="L47" s="168">
        <f>IF($C47="","",VLOOKUP($C47,성분!$B$2:$O$51519,10,FALSE))/100*$P47</f>
        <v>4.0999999999999995E-2</v>
      </c>
      <c r="M47" s="168">
        <f>IF($C47="","",VLOOKUP($C47,성분!$B$2:$O$51519,11,FALSE))/100*$P47</f>
        <v>5.9999999999999993E-3</v>
      </c>
      <c r="N47" s="168">
        <f>IF($C47="","",VLOOKUP($C47,성분!$B$2:$O$51519,12,FALSE))/100*$P47</f>
        <v>0</v>
      </c>
      <c r="O47" s="167">
        <f>IF($C47="","",VLOOKUP($C47,성분!$B$2:$O$51519,13,FALSE))/100*$P47</f>
        <v>4.0999999999999996</v>
      </c>
      <c r="P47" s="38">
        <f t="shared" ref="P47:P50" si="19">D47</f>
        <v>10</v>
      </c>
      <c r="Q47" s="17">
        <f t="shared" ref="Q47:Q50" si="20">($O$8*P47)/1000</f>
        <v>4.08</v>
      </c>
      <c r="R47" s="18"/>
    </row>
    <row r="48" spans="1:18" customFormat="1" ht="27.75" customHeight="1">
      <c r="A48" s="42">
        <f t="shared" si="0"/>
        <v>38</v>
      </c>
      <c r="B48" s="30"/>
      <c r="C48" s="22" t="s">
        <v>1980</v>
      </c>
      <c r="D48" s="16">
        <v>3</v>
      </c>
      <c r="E48" s="168">
        <f>IF($C48="","",VLOOKUP($C48,성분!$B$2:$O$51519,3,FALSE))/100*P48</f>
        <v>1.02</v>
      </c>
      <c r="F48" s="168">
        <f>IF($C48="","",VLOOKUP($C48,성분!$B$2:$O$51519,5,FALSE))/100*$P48</f>
        <v>0.2109</v>
      </c>
      <c r="G48" s="168">
        <f>IF($C48="","",VLOOKUP($C48,성분!$B$2:$O$51519,4,FALSE))/100*$P48</f>
        <v>0.03</v>
      </c>
      <c r="H48" s="168">
        <f>IF($C48="","",VLOOKUP($C48,성분!$B$2:$O$51519,6,FALSE))/100*$P48</f>
        <v>3.8999999999999998E-3</v>
      </c>
      <c r="I48" s="168">
        <f>IF($C48="","",VLOOKUP($C48,성분!$B$2:$O$51519,7,FALSE))/100*$P48</f>
        <v>1.1400000000000001</v>
      </c>
      <c r="J48" s="168">
        <f>IF($C48="","",VLOOKUP($C48,성분!$B$2:$O$51519,8,FALSE))/100*$P48</f>
        <v>2.0999999999999998E-2</v>
      </c>
      <c r="K48" s="168">
        <f>IF($C48="","",VLOOKUP($C48,성분!$B$2:$O$51519,9,FALSE))/100*$P48</f>
        <v>37.71</v>
      </c>
      <c r="L48" s="168">
        <f>IF($C48="","",VLOOKUP($C48,성분!$B$2:$O$51519,10,FALSE))/100*$P48</f>
        <v>1.8E-3</v>
      </c>
      <c r="M48" s="168">
        <f>IF($C48="","",VLOOKUP($C48,성분!$B$2:$O$51519,11,FALSE))/100*$P48</f>
        <v>1.2000000000000001E-3</v>
      </c>
      <c r="N48" s="168">
        <f>IF($C48="","",VLOOKUP($C48,성분!$B$2:$O$51519,12,FALSE))/100*$P48</f>
        <v>2.4E-2</v>
      </c>
      <c r="O48" s="167">
        <f>IF($C48="","",VLOOKUP($C48,성분!$B$2:$O$51519,13,FALSE))/100*$P48</f>
        <v>0.18</v>
      </c>
      <c r="P48" s="38">
        <f t="shared" si="19"/>
        <v>3</v>
      </c>
      <c r="Q48" s="17">
        <f t="shared" si="20"/>
        <v>1.224</v>
      </c>
      <c r="R48" s="18"/>
    </row>
    <row r="49" spans="1:19" customFormat="1" ht="27.75" customHeight="1">
      <c r="A49" s="42">
        <f t="shared" si="0"/>
        <v>39</v>
      </c>
      <c r="B49" s="30"/>
      <c r="C49" s="32" t="s">
        <v>2387</v>
      </c>
      <c r="D49" s="16">
        <v>1</v>
      </c>
      <c r="E49" s="168">
        <f>IF($C49="","",VLOOKUP($C49,성분!$B$2:$O$51519,3,FALSE))/100*P49</f>
        <v>0.5</v>
      </c>
      <c r="F49" s="168">
        <f>IF($C49="","",VLOOKUP($C49,성분!$B$2:$O$51519,5,FALSE))/100*$P49</f>
        <v>4.9000000000000002E-2</v>
      </c>
      <c r="G49" s="168">
        <f>IF($C49="","",VLOOKUP($C49,성분!$B$2:$O$51519,4,FALSE))/100*$P49</f>
        <v>6.3E-2</v>
      </c>
      <c r="H49" s="168">
        <f>IF($C49="","",VLOOKUP($C49,성분!$B$2:$O$51519,6,FALSE))/100*$P49</f>
        <v>3.0000000000000001E-3</v>
      </c>
      <c r="I49" s="168">
        <f>IF($C49="","",VLOOKUP($C49,성분!$B$2:$O$51519,7,FALSE))/100*$P49</f>
        <v>0.39</v>
      </c>
      <c r="J49" s="168">
        <f>IF($C49="","",VLOOKUP($C49,성분!$B$2:$O$51519,8,FALSE))/100*$P49</f>
        <v>2.1000000000000001E-2</v>
      </c>
      <c r="K49" s="168">
        <f>IF($C49="","",VLOOKUP($C49,성분!$B$2:$O$51519,9,FALSE))/100*$P49</f>
        <v>0</v>
      </c>
      <c r="L49" s="168">
        <f>IF($C49="","",VLOOKUP($C49,성분!$B$2:$O$51519,10,FALSE))/100*$P49</f>
        <v>2.9999999999999997E-4</v>
      </c>
      <c r="M49" s="168">
        <f>IF($C49="","",VLOOKUP($C49,성분!$B$2:$O$51519,11,FALSE))/100*$P49</f>
        <v>8.0000000000000004E-4</v>
      </c>
      <c r="N49" s="168">
        <f>IF($C49="","",VLOOKUP($C49,성분!$B$2:$O$51519,12,FALSE))/100*$P49</f>
        <v>1.2E-2</v>
      </c>
      <c r="O49" s="167">
        <f>IF($C49="","",VLOOKUP($C49,성분!$B$2:$O$51519,13,FALSE))/100*$P49</f>
        <v>0</v>
      </c>
      <c r="P49" s="38">
        <f t="shared" si="19"/>
        <v>1</v>
      </c>
      <c r="Q49" s="17">
        <f t="shared" si="20"/>
        <v>0.40799999999999997</v>
      </c>
      <c r="R49" s="18"/>
    </row>
    <row r="50" spans="1:19" customFormat="1" ht="27.75" customHeight="1">
      <c r="A50" s="42">
        <f t="shared" si="0"/>
        <v>40</v>
      </c>
      <c r="B50" s="45" t="s">
        <v>1084</v>
      </c>
      <c r="C50" s="111" t="s">
        <v>1084</v>
      </c>
      <c r="D50" s="16">
        <v>30</v>
      </c>
      <c r="E50" s="168">
        <f>IF($C50="","",VLOOKUP($C50,성분!$B$2:$O$51519,3,FALSE))/100*P50</f>
        <v>15</v>
      </c>
      <c r="F50" s="168">
        <f>IF($C50="","",VLOOKUP($C50,성분!$B$2:$O$51519,5,FALSE))/100*$P50</f>
        <v>1.32</v>
      </c>
      <c r="G50" s="168">
        <f>IF($C50="","",VLOOKUP($C50,성분!$B$2:$O$51519,4,FALSE))/100*$P50</f>
        <v>0.6</v>
      </c>
      <c r="H50" s="168">
        <f>IF($C50="","",VLOOKUP($C50,성분!$B$2:$O$51519,6,FALSE))/100*$P50</f>
        <v>0.06</v>
      </c>
      <c r="I50" s="168">
        <f>IF($C50="","",VLOOKUP($C50,성분!$B$2:$O$51519,7,FALSE))/100*$P50</f>
        <v>14.1</v>
      </c>
      <c r="J50" s="168">
        <f>IF($C50="","",VLOOKUP($C50,성분!$B$2:$O$51519,8,FALSE))/100*$P50</f>
        <v>0.89999999999999991</v>
      </c>
      <c r="K50" s="168">
        <f>IF($C50="","",VLOOKUP($C50,성분!$B$2:$O$51519,9,FALSE))/100*$P50</f>
        <v>14.399999999999999</v>
      </c>
      <c r="L50" s="168">
        <f>IF($C50="","",VLOOKUP($C50,성분!$B$2:$O$51519,10,FALSE))/100*$P50</f>
        <v>1.7999999999999999E-2</v>
      </c>
      <c r="M50" s="168">
        <f>IF($C50="","",VLOOKUP($C50,성분!$B$2:$O$51519,11,FALSE))/100*$P50</f>
        <v>1.7999999999999999E-2</v>
      </c>
      <c r="N50" s="168">
        <f>IF($C50="","",VLOOKUP($C50,성분!$B$2:$O$51519,12,FALSE))/100*$P50</f>
        <v>0.24</v>
      </c>
      <c r="O50" s="167">
        <f>IF($C50="","",VLOOKUP($C50,성분!$B$2:$O$51519,13,FALSE))/100*$P50</f>
        <v>4.2</v>
      </c>
      <c r="P50" s="38">
        <f t="shared" si="19"/>
        <v>30</v>
      </c>
      <c r="Q50" s="17">
        <f t="shared" si="20"/>
        <v>12.24</v>
      </c>
      <c r="R50" s="18"/>
    </row>
    <row r="51" spans="1:19" s="160" customFormat="1" ht="27.75" customHeight="1">
      <c r="A51" s="166">
        <f t="shared" si="0"/>
        <v>41</v>
      </c>
      <c r="B51" s="186" t="s">
        <v>2411</v>
      </c>
      <c r="C51" s="187" t="s">
        <v>2417</v>
      </c>
      <c r="D51" s="188">
        <v>131</v>
      </c>
      <c r="E51" s="168">
        <f>IF($C51="","",VLOOKUP($C51,성분!$B$2:$O$51519,3,FALSE))/100*P51</f>
        <v>158.90300000000002</v>
      </c>
      <c r="F51" s="168">
        <f>IF($C51="","",VLOOKUP($C51,성분!$B$2:$O$51519,5,FALSE))/100*$P51</f>
        <v>21.091000000000001</v>
      </c>
      <c r="G51" s="168">
        <f>IF($C51="","",VLOOKUP($C51,성분!$B$2:$O$51519,4,FALSE))/100*$P51</f>
        <v>6.6809999999999992</v>
      </c>
      <c r="H51" s="168">
        <f>IF($C51="","",VLOOKUP($C51,성분!$B$2:$O$51519,6,FALSE))/100*$P51</f>
        <v>4.7160000000000002</v>
      </c>
      <c r="I51" s="168">
        <f>IF($C51="","",VLOOKUP($C51,성분!$B$2:$O$51519,7,FALSE))/100*$P51</f>
        <v>0</v>
      </c>
      <c r="J51" s="168">
        <f>IF($C51="","",VLOOKUP($C51,성분!$B$2:$O$51519,8,FALSE))/100*$P51</f>
        <v>0</v>
      </c>
      <c r="K51" s="168">
        <f>IF($C51="","",VLOOKUP($C51,성분!$B$2:$O$51519,9,FALSE))/100*$P51</f>
        <v>0</v>
      </c>
      <c r="L51" s="168">
        <f>IF($C51="","",VLOOKUP($C51,성분!$B$2:$O$51519,10,FALSE))/100*$P51</f>
        <v>0</v>
      </c>
      <c r="M51" s="168">
        <f>IF($C51="","",VLOOKUP($C51,성분!$B$2:$O$51519,11,FALSE))/100*$P51</f>
        <v>0</v>
      </c>
      <c r="N51" s="168">
        <f>IF($C51="","",VLOOKUP($C51,성분!$B$2:$O$51519,12,FALSE))/100*$P51</f>
        <v>0</v>
      </c>
      <c r="O51" s="167">
        <f>IF($C51="","",VLOOKUP($C51,성분!$B$2:$O$51519,13,FALSE))/100*$P51</f>
        <v>0</v>
      </c>
      <c r="P51" s="165">
        <v>131</v>
      </c>
      <c r="Q51" s="162"/>
      <c r="R51" s="18"/>
    </row>
    <row r="52" spans="1:19" customFormat="1" ht="32.25" customHeight="1">
      <c r="A52" s="235" t="s">
        <v>1628</v>
      </c>
      <c r="B52" s="236"/>
      <c r="C52" s="258"/>
      <c r="D52" s="237"/>
      <c r="E52" s="44">
        <f t="shared" ref="E52:O52" si="21">SUM(E11:E51)</f>
        <v>927.33300000000031</v>
      </c>
      <c r="F52" s="44">
        <f t="shared" si="21"/>
        <v>136.89349999999999</v>
      </c>
      <c r="G52" s="44">
        <f t="shared" si="21"/>
        <v>42.076000000000001</v>
      </c>
      <c r="H52" s="44">
        <f t="shared" si="21"/>
        <v>30.616</v>
      </c>
      <c r="I52" s="44">
        <f t="shared" si="21"/>
        <v>116.46000000000001</v>
      </c>
      <c r="J52" s="44">
        <f t="shared" si="21"/>
        <v>5.0065999999999988</v>
      </c>
      <c r="K52" s="44">
        <f t="shared" si="21"/>
        <v>198.68</v>
      </c>
      <c r="L52" s="44">
        <f t="shared" si="21"/>
        <v>0.42810000000000004</v>
      </c>
      <c r="M52" s="44">
        <f t="shared" si="21"/>
        <v>0.25940000000000007</v>
      </c>
      <c r="N52" s="44">
        <f t="shared" si="21"/>
        <v>5.1750000000000007</v>
      </c>
      <c r="O52" s="44">
        <f t="shared" si="21"/>
        <v>29.823599999999995</v>
      </c>
      <c r="P52" s="38">
        <f t="shared" si="1"/>
        <v>0</v>
      </c>
      <c r="Q52" s="17">
        <f t="shared" si="2"/>
        <v>0</v>
      </c>
      <c r="R52" s="18">
        <f t="shared" si="3"/>
        <v>0</v>
      </c>
    </row>
    <row r="53" spans="1:19" s="21" customFormat="1" ht="32.25" customHeight="1">
      <c r="A53" s="238" t="s">
        <v>1790</v>
      </c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20"/>
      <c r="Q53"/>
      <c r="R53" s="18">
        <f>INT(Q53)</f>
        <v>0</v>
      </c>
    </row>
    <row r="54" spans="1:19" customFormat="1" ht="19.5" customHeight="1">
      <c r="A54" s="220" t="s">
        <v>1629</v>
      </c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2"/>
      <c r="S54" s="18">
        <f>INT(R54)</f>
        <v>0</v>
      </c>
    </row>
    <row r="55" spans="1:19" customFormat="1" ht="20.100000000000001" customHeight="1">
      <c r="A55" s="247" t="s">
        <v>1630</v>
      </c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9"/>
      <c r="P55" s="259" t="s">
        <v>5</v>
      </c>
      <c r="Q55" s="244"/>
      <c r="R55" s="261">
        <v>5000</v>
      </c>
      <c r="S55" s="262"/>
    </row>
    <row r="56" spans="1:19" customFormat="1" ht="20.100000000000001" customHeight="1">
      <c r="A56" s="251" t="s">
        <v>1769</v>
      </c>
      <c r="B56" s="260"/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53"/>
      <c r="P56" s="259" t="s">
        <v>6</v>
      </c>
      <c r="Q56" s="244"/>
      <c r="R56" s="261">
        <f>R55*0.72</f>
        <v>3600</v>
      </c>
      <c r="S56" s="262"/>
    </row>
    <row r="57" spans="1:19" customFormat="1" ht="20.100000000000001" customHeight="1">
      <c r="A57" s="241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244" t="s">
        <v>1631</v>
      </c>
      <c r="Q57" s="245"/>
      <c r="R57" s="246">
        <v>0.72</v>
      </c>
      <c r="S57" s="246"/>
    </row>
    <row r="58" spans="1:19" customFormat="1" ht="20.100000000000001" customHeight="1">
      <c r="C58" s="3"/>
      <c r="D58" s="24"/>
      <c r="E58" s="25"/>
      <c r="F58" s="25"/>
      <c r="G58" s="22">
        <v>667</v>
      </c>
      <c r="H58" s="22">
        <v>15</v>
      </c>
      <c r="I58" s="22">
        <v>300</v>
      </c>
      <c r="J58" s="22">
        <v>5.4</v>
      </c>
      <c r="K58" s="22">
        <v>234</v>
      </c>
      <c r="L58" s="22">
        <v>0.34</v>
      </c>
      <c r="M58" s="22">
        <v>0.4</v>
      </c>
      <c r="N58" s="22">
        <v>5.26</v>
      </c>
      <c r="O58" s="22">
        <v>33.4</v>
      </c>
      <c r="P58" s="104"/>
      <c r="Q58" s="104"/>
      <c r="R58" s="23"/>
      <c r="S58" s="23"/>
    </row>
    <row r="59" spans="1:19" customFormat="1" ht="20.100000000000001" customHeight="1">
      <c r="A59" s="2"/>
      <c r="B59" s="2"/>
      <c r="C59" s="3"/>
      <c r="D59" s="4"/>
      <c r="E59" s="5"/>
      <c r="F59" s="5"/>
      <c r="G59" s="5"/>
      <c r="H59" s="5"/>
      <c r="I59" s="5"/>
      <c r="J59" s="2"/>
      <c r="K59" s="5"/>
      <c r="L59" s="5"/>
      <c r="M59" s="5"/>
      <c r="N59" s="5"/>
      <c r="O59" s="6"/>
    </row>
    <row r="60" spans="1:19" customFormat="1" ht="20.100000000000001" customHeight="1">
      <c r="A60" s="2"/>
      <c r="B60" s="2"/>
      <c r="C60" s="2"/>
      <c r="D60" s="4"/>
      <c r="E60" s="2"/>
      <c r="F60" s="2"/>
      <c r="G60" s="5"/>
      <c r="H60" s="5"/>
      <c r="I60" s="5"/>
      <c r="J60" s="5"/>
      <c r="K60" s="5"/>
      <c r="L60" s="5"/>
      <c r="M60" s="5"/>
      <c r="N60" s="5"/>
      <c r="O60" s="6"/>
    </row>
    <row r="61" spans="1:19" ht="12">
      <c r="C61" s="2"/>
    </row>
    <row r="62" spans="1:19" ht="12">
      <c r="C62" s="2"/>
    </row>
    <row r="1368" spans="4:4">
      <c r="D1368" s="2">
        <v>240</v>
      </c>
    </row>
  </sheetData>
  <mergeCells count="41">
    <mergeCell ref="P55:Q55"/>
    <mergeCell ref="A56:O56"/>
    <mergeCell ref="P56:Q56"/>
    <mergeCell ref="R56:S56"/>
    <mergeCell ref="A57:O57"/>
    <mergeCell ref="P57:Q57"/>
    <mergeCell ref="R57:S57"/>
    <mergeCell ref="R55:S55"/>
    <mergeCell ref="P6:R7"/>
    <mergeCell ref="A7:C7"/>
    <mergeCell ref="A8:C8"/>
    <mergeCell ref="O8:O9"/>
    <mergeCell ref="A9:C9"/>
    <mergeCell ref="D9:N9"/>
    <mergeCell ref="A6:N6"/>
    <mergeCell ref="O6:O7"/>
    <mergeCell ref="M7:N7"/>
    <mergeCell ref="K7:L7"/>
    <mergeCell ref="H7:J7"/>
    <mergeCell ref="F7:G7"/>
    <mergeCell ref="D7:E7"/>
    <mergeCell ref="M8:N8"/>
    <mergeCell ref="K8:L8"/>
    <mergeCell ref="H8:J8"/>
    <mergeCell ref="A52:D52"/>
    <mergeCell ref="A53:O53"/>
    <mergeCell ref="A54:O54"/>
    <mergeCell ref="A55:O55"/>
    <mergeCell ref="N2:N4"/>
    <mergeCell ref="O2:O4"/>
    <mergeCell ref="A3:B3"/>
    <mergeCell ref="C3:D3"/>
    <mergeCell ref="L5:M5"/>
    <mergeCell ref="M2:M4"/>
    <mergeCell ref="F8:G8"/>
    <mergeCell ref="D8:E8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49" orientation="portrait" r:id="rId1"/>
  <headerFooter alignWithMargins="0">
    <oddHeader>&amp;C&amp;"굴림체,굵게"&amp;18
학    교    급    식    일    지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5AEA-C655-4A55-93DE-1A5AB7D4E224}">
  <sheetPr>
    <tabColor rgb="FFFFFF00"/>
    <pageSetUpPr fitToPage="1"/>
  </sheetPr>
  <dimension ref="A1:S1351"/>
  <sheetViews>
    <sheetView view="pageBreakPreview" zoomScale="85" zoomScaleNormal="85" zoomScaleSheetLayoutView="85" workbookViewId="0">
      <pane xSplit="3" ySplit="10" topLeftCell="D20" activePane="bottomRight" state="frozen"/>
      <selection activeCell="K24" sqref="K24"/>
      <selection pane="topRight" activeCell="K24" sqref="K24"/>
      <selection pane="bottomLeft" activeCell="K24" sqref="K24"/>
      <selection pane="bottomRight" activeCell="D8" sqref="D8:J8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05"/>
      <c r="F1" s="105"/>
      <c r="G1" s="39"/>
      <c r="K1" s="202"/>
      <c r="L1" s="106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05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45768</v>
      </c>
      <c r="D3" s="201"/>
      <c r="E3" s="105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180</v>
      </c>
      <c r="E8" s="226"/>
      <c r="F8" s="226">
        <v>118</v>
      </c>
      <c r="G8" s="226"/>
      <c r="H8" s="226">
        <v>109</v>
      </c>
      <c r="I8" s="226"/>
      <c r="J8" s="226"/>
      <c r="K8" s="226">
        <f>SUM(D8:J8)</f>
        <v>407</v>
      </c>
      <c r="L8" s="226"/>
      <c r="M8" s="226">
        <v>2</v>
      </c>
      <c r="N8" s="227"/>
      <c r="O8" s="228">
        <f>SUM(K8:N8)</f>
        <v>409</v>
      </c>
    </row>
    <row r="9" spans="1:18" customFormat="1" ht="20.100000000000001" customHeight="1">
      <c r="A9" s="230" t="s">
        <v>0</v>
      </c>
      <c r="B9" s="231"/>
      <c r="C9" s="232"/>
      <c r="D9" s="233" t="s">
        <v>2511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02" t="s">
        <v>1626</v>
      </c>
      <c r="Q10" s="103" t="s">
        <v>1627</v>
      </c>
      <c r="R10" s="15"/>
    </row>
    <row r="11" spans="1:18" customFormat="1" ht="27.75" customHeight="1">
      <c r="A11" s="42">
        <f>ROW()-10</f>
        <v>1</v>
      </c>
      <c r="B11" s="30" t="s">
        <v>2192</v>
      </c>
      <c r="C11" s="22" t="s">
        <v>140</v>
      </c>
      <c r="D11" s="16">
        <v>100</v>
      </c>
      <c r="E11" s="16">
        <f>IF($C11="","",VLOOKUP($C11,성분!$B$2:$O$51519,3,FALSE))/100*P11</f>
        <v>240</v>
      </c>
      <c r="F11" s="16">
        <f>IF($C11="","",VLOOKUP($C11,성분!$B$2:$O$51519,5,FALSE))/100*$P11</f>
        <v>78.5</v>
      </c>
      <c r="G11" s="16">
        <f>IF($C11="","",VLOOKUP($C11,성분!$B$2:$O$51519,4,FALSE))/100*$P11</f>
        <v>6.4</v>
      </c>
      <c r="H11" s="16">
        <f>IF($C11="","",VLOOKUP($C11,성분!$B$2:$O$51519,6,FALSE))/100*$P11</f>
        <v>0.4</v>
      </c>
      <c r="I11" s="16">
        <f>IF($C11="","",VLOOKUP($C11,성분!$B$2:$O$51519,7,FALSE))/100*$P11</f>
        <v>7.0000000000000009</v>
      </c>
      <c r="J11" s="16">
        <f>IF($C11="","",VLOOKUP($C11,성분!$B$2:$O$51519,8,FALSE))/100*$P11</f>
        <v>0.5</v>
      </c>
      <c r="K11" s="16">
        <f>IF($C11="","",VLOOKUP($C11,성분!$B$2:$O$51519,9,FALSE))/100*$P11</f>
        <v>0</v>
      </c>
      <c r="L11" s="16">
        <f>IF($C11="","",VLOOKUP($C11,성분!$B$2:$O$51519,10,FALSE))/100*$P11</f>
        <v>0.12</v>
      </c>
      <c r="M11" s="16">
        <f>IF($C11="","",VLOOKUP($C11,성분!$B$2:$O$51519,11,FALSE))/100*$P11</f>
        <v>0</v>
      </c>
      <c r="N11" s="16">
        <f>IF($C11="","",VLOOKUP($C11,성분!$B$2:$O$51519,12,FALSE))/100*$P11</f>
        <v>1.4</v>
      </c>
      <c r="O11" s="43">
        <f>IF($C11="","",VLOOKUP($C11,성분!$B$2:$O$51519,13,FALSE))/100*$P11</f>
        <v>0</v>
      </c>
      <c r="P11" s="38">
        <f t="shared" ref="P11:P35" si="0">D11</f>
        <v>100</v>
      </c>
      <c r="Q11" s="17">
        <f t="shared" ref="Q11:Q35" si="1">($O$8*P11)/1000</f>
        <v>40.9</v>
      </c>
      <c r="R11" s="18">
        <f t="shared" ref="R11:R35" si="2">INT(Q11)</f>
        <v>40</v>
      </c>
    </row>
    <row r="12" spans="1:18" customFormat="1" ht="27.75" customHeight="1">
      <c r="A12" s="42">
        <f t="shared" ref="A12:A33" si="3">ROW()-10</f>
        <v>2</v>
      </c>
      <c r="B12" s="30" t="s">
        <v>2506</v>
      </c>
      <c r="C12" s="22" t="s">
        <v>2507</v>
      </c>
      <c r="D12" s="16">
        <v>15</v>
      </c>
      <c r="E12" s="168">
        <f>IF($C12="","",VLOOKUP($C12,성분!$B$2:$O$51519,3,FALSE))/100*P12</f>
        <v>20.400000000000002</v>
      </c>
      <c r="F12" s="168">
        <f>IF($C12="","",VLOOKUP($C12,성분!$B$2:$O$51519,5,FALSE))/100*$P12</f>
        <v>0.03</v>
      </c>
      <c r="G12" s="168">
        <f>IF($C12="","",VLOOKUP($C12,성분!$B$2:$O$51519,4,FALSE))/100*$P12</f>
        <v>1.7250000000000001</v>
      </c>
      <c r="H12" s="168">
        <f>IF($C12="","",VLOOKUP($C12,성분!$B$2:$O$51519,6,FALSE))/100*$P12</f>
        <v>2.3460000000000001</v>
      </c>
      <c r="I12" s="168">
        <f>IF($C12="","",VLOOKUP($C12,성분!$B$2:$O$51519,7,FALSE))/100*$P12</f>
        <v>1.7999999999999998</v>
      </c>
      <c r="J12" s="168">
        <f>IF($C12="","",VLOOKUP($C12,성분!$B$2:$O$51519,8,FALSE))/100*$P12</f>
        <v>0.27</v>
      </c>
      <c r="K12" s="168">
        <f>IF($C12="","",VLOOKUP($C12,성분!$B$2:$O$51519,9,FALSE))/100*$P12</f>
        <v>0.6</v>
      </c>
      <c r="L12" s="168">
        <f>IF($C12="","",VLOOKUP($C12,성분!$B$2:$O$51519,10,FALSE))/100*$P12</f>
        <v>1.35E-2</v>
      </c>
      <c r="M12" s="168">
        <f>IF($C12="","",VLOOKUP($C12,성분!$B$2:$O$51519,11,FALSE))/100*$P12</f>
        <v>1.2E-2</v>
      </c>
      <c r="N12" s="168">
        <f>IF($C12="","",VLOOKUP($C12,성분!$B$2:$O$51519,12,FALSE))/100*$P12</f>
        <v>0.44999999999999996</v>
      </c>
      <c r="O12" s="167">
        <f>IF($C12="","",VLOOKUP($C12,성분!$B$2:$O$51519,13,FALSE))/100*$P12</f>
        <v>0.15</v>
      </c>
      <c r="P12" s="38">
        <f t="shared" si="0"/>
        <v>15</v>
      </c>
      <c r="Q12" s="17">
        <f t="shared" si="1"/>
        <v>6.1349999999999998</v>
      </c>
      <c r="R12" s="18">
        <f t="shared" si="2"/>
        <v>6</v>
      </c>
    </row>
    <row r="13" spans="1:18" customFormat="1" ht="27.75" customHeight="1">
      <c r="A13" s="42">
        <f t="shared" si="3"/>
        <v>3</v>
      </c>
      <c r="B13" s="30"/>
      <c r="C13" s="22" t="s">
        <v>1220</v>
      </c>
      <c r="D13" s="16">
        <v>25</v>
      </c>
      <c r="E13" s="168">
        <f>IF($C13="","",VLOOKUP($C13,성분!$B$2:$O$51519,3,FALSE))/100*P13</f>
        <v>7.5</v>
      </c>
      <c r="F13" s="168">
        <f>IF($C13="","",VLOOKUP($C13,성분!$B$2:$O$51519,5,FALSE))/100*$P13</f>
        <v>0.4</v>
      </c>
      <c r="G13" s="168">
        <f>IF($C13="","",VLOOKUP($C13,성분!$B$2:$O$51519,4,FALSE))/100*$P13</f>
        <v>0.5</v>
      </c>
      <c r="H13" s="168">
        <f>IF($C13="","",VLOOKUP($C13,성분!$B$2:$O$51519,6,FALSE))/100*$P13</f>
        <v>0.22500000000000003</v>
      </c>
      <c r="I13" s="168">
        <f>IF($C13="","",VLOOKUP($C13,성분!$B$2:$O$51519,7,FALSE))/100*$P13</f>
        <v>7.75</v>
      </c>
      <c r="J13" s="168">
        <f>IF($C13="","",VLOOKUP($C13,성분!$B$2:$O$51519,8,FALSE))/100*$P13</f>
        <v>0.1</v>
      </c>
      <c r="K13" s="168">
        <f>IF($C13="","",VLOOKUP($C13,성분!$B$2:$O$51519,9,FALSE))/100*$P13</f>
        <v>0</v>
      </c>
      <c r="L13" s="168">
        <f>IF($C13="","",VLOOKUP($C13,성분!$B$2:$O$51519,10,FALSE))/100*$P13</f>
        <v>2.5000000000000001E-3</v>
      </c>
      <c r="M13" s="168">
        <f>IF($C13="","",VLOOKUP($C13,성분!$B$2:$O$51519,11,FALSE))/100*$P13</f>
        <v>7.4999999999999997E-3</v>
      </c>
      <c r="N13" s="168">
        <f>IF($C13="","",VLOOKUP($C13,성분!$B$2:$O$51519,12,FALSE))/100*$P13</f>
        <v>0.11</v>
      </c>
      <c r="O13" s="167">
        <f>IF($C13="","",VLOOKUP($C13,성분!$B$2:$O$51519,13,FALSE))/100*$P13</f>
        <v>1.5</v>
      </c>
      <c r="P13" s="38">
        <f t="shared" si="0"/>
        <v>25</v>
      </c>
      <c r="Q13" s="17">
        <f t="shared" si="1"/>
        <v>10.225</v>
      </c>
      <c r="R13" s="18">
        <f t="shared" si="2"/>
        <v>10</v>
      </c>
    </row>
    <row r="14" spans="1:18" customFormat="1" ht="27.75" customHeight="1">
      <c r="A14" s="42">
        <f t="shared" si="3"/>
        <v>4</v>
      </c>
      <c r="B14" s="30"/>
      <c r="C14" s="22" t="s">
        <v>2193</v>
      </c>
      <c r="D14" s="16">
        <v>30</v>
      </c>
      <c r="E14" s="168">
        <f>IF($C14="","",VLOOKUP($C14,성분!$B$2:$O$51519,3,FALSE))/100*P14</f>
        <v>5.3999999999999995</v>
      </c>
      <c r="F14" s="168">
        <f>IF($C14="","",VLOOKUP($C14,성분!$B$2:$O$51519,5,FALSE))/100*$P14</f>
        <v>1.254</v>
      </c>
      <c r="G14" s="168">
        <f>IF($C14="","",VLOOKUP($C14,성분!$B$2:$O$51519,4,FALSE))/100*$P14</f>
        <v>0.24</v>
      </c>
      <c r="H14" s="168">
        <f>IF($C14="","",VLOOKUP($C14,성분!$B$2:$O$51519,6,FALSE))/100*$P14</f>
        <v>0.06</v>
      </c>
      <c r="I14" s="168">
        <f>IF($C14="","",VLOOKUP($C14,성분!$B$2:$O$51519,7,FALSE))/100*$P14</f>
        <v>7.5</v>
      </c>
      <c r="J14" s="168">
        <f>IF($C14="","",VLOOKUP($C14,성분!$B$2:$O$51519,8,FALSE))/100*$P14</f>
        <v>0.23400000000000001</v>
      </c>
      <c r="K14" s="168">
        <f>IF($C14="","",VLOOKUP($C14,성분!$B$2:$O$51519,9,FALSE))/100*$P14</f>
        <v>4.5</v>
      </c>
      <c r="L14" s="168">
        <f>IF($C14="","",VLOOKUP($C14,성분!$B$2:$O$51519,10,FALSE))/100*$P14</f>
        <v>8.9999999999999993E-3</v>
      </c>
      <c r="M14" s="168">
        <f>IF($C14="","",VLOOKUP($C14,성분!$B$2:$O$51519,11,FALSE))/100*$P14</f>
        <v>1.7999999999999999E-2</v>
      </c>
      <c r="N14" s="168">
        <f>IF($C14="","",VLOOKUP($C14,성분!$B$2:$O$51519,12,FALSE))/100*$P14</f>
        <v>6.3E-2</v>
      </c>
      <c r="O14" s="167">
        <f>IF($C14="","",VLOOKUP($C14,성분!$B$2:$O$51519,13,FALSE))/100*$P14</f>
        <v>0.96</v>
      </c>
      <c r="P14" s="38">
        <f t="shared" si="0"/>
        <v>30</v>
      </c>
      <c r="Q14" s="17">
        <f t="shared" si="1"/>
        <v>12.27</v>
      </c>
      <c r="R14" s="18"/>
    </row>
    <row r="15" spans="1:18" s="160" customFormat="1" ht="27.75" customHeight="1">
      <c r="A15" s="166">
        <f t="shared" si="3"/>
        <v>5</v>
      </c>
      <c r="B15" s="171"/>
      <c r="C15" s="169" t="s">
        <v>1052</v>
      </c>
      <c r="D15" s="168">
        <v>7</v>
      </c>
      <c r="E15" s="168">
        <f>IF($C15="","",VLOOKUP($C15,성분!$B$2:$O$51519,3,FALSE))/100*P15</f>
        <v>1.47</v>
      </c>
      <c r="F15" s="168">
        <f>IF($C15="","",VLOOKUP($C15,성분!$B$2:$O$51519,5,FALSE))/100*$P15</f>
        <v>0.24849999999999997</v>
      </c>
      <c r="G15" s="168">
        <f>IF($C15="","",VLOOKUP($C15,성분!$B$2:$O$51519,4,FALSE))/100*$P15</f>
        <v>0.224</v>
      </c>
      <c r="H15" s="168">
        <f>IF($C15="","",VLOOKUP($C15,성분!$B$2:$O$51519,6,FALSE))/100*$P15</f>
        <v>1.6799999999999999E-2</v>
      </c>
      <c r="I15" s="168">
        <f>IF($C15="","",VLOOKUP($C15,성분!$B$2:$O$51519,7,FALSE))/100*$P15</f>
        <v>1.05</v>
      </c>
      <c r="J15" s="168">
        <f>IF($C15="","",VLOOKUP($C15,성분!$B$2:$O$51519,8,FALSE))/100*$P15</f>
        <v>9.799999999999999E-2</v>
      </c>
      <c r="K15" s="168">
        <f>IF($C15="","",VLOOKUP($C15,성분!$B$2:$O$51519,9,FALSE))/100*$P15</f>
        <v>0.49000000000000005</v>
      </c>
      <c r="L15" s="168">
        <f>IF($C15="","",VLOOKUP($C15,성분!$B$2:$O$51519,10,FALSE))/100*$P15</f>
        <v>0</v>
      </c>
      <c r="M15" s="168">
        <f>IF($C15="","",VLOOKUP($C15,성분!$B$2:$O$51519,11,FALSE))/100*$P15</f>
        <v>1.4E-3</v>
      </c>
      <c r="N15" s="168">
        <f>IF($C15="","",VLOOKUP($C15,성분!$B$2:$O$51519,12,FALSE))/100*$P15</f>
        <v>0</v>
      </c>
      <c r="O15" s="167">
        <f>IF($C15="","",VLOOKUP($C15,성분!$B$2:$O$51519,13,FALSE))/100*$P15</f>
        <v>0</v>
      </c>
      <c r="P15" s="165">
        <f t="shared" si="0"/>
        <v>7</v>
      </c>
      <c r="Q15" s="162">
        <f t="shared" si="1"/>
        <v>2.863</v>
      </c>
      <c r="R15" s="18"/>
    </row>
    <row r="16" spans="1:18" s="160" customFormat="1" ht="27.75" customHeight="1">
      <c r="A16" s="166">
        <f t="shared" si="3"/>
        <v>6</v>
      </c>
      <c r="B16" s="171"/>
      <c r="C16" s="169" t="s">
        <v>1239</v>
      </c>
      <c r="D16" s="168">
        <v>5</v>
      </c>
      <c r="E16" s="168">
        <f>IF($C16="","",VLOOKUP($C16,성분!$B$2:$O$51519,3,FALSE))/100*P16</f>
        <v>1.3</v>
      </c>
      <c r="F16" s="168">
        <f>IF($C16="","",VLOOKUP($C16,성분!$B$2:$O$51519,5,FALSE))/100*$P16</f>
        <v>0.223</v>
      </c>
      <c r="G16" s="168">
        <f>IF($C16="","",VLOOKUP($C16,성분!$B$2:$O$51519,4,FALSE))/100*$P16</f>
        <v>0</v>
      </c>
      <c r="H16" s="168">
        <f>IF($C16="","",VLOOKUP($C16,성분!$B$2:$O$51519,6,FALSE))/100*$P16</f>
        <v>1.2999999999999999E-2</v>
      </c>
      <c r="I16" s="168">
        <f>IF($C16="","",VLOOKUP($C16,성분!$B$2:$O$51519,7,FALSE))/100*$P16</f>
        <v>4.0500000000000007</v>
      </c>
      <c r="J16" s="168">
        <f>IF($C16="","",VLOOKUP($C16,성분!$B$2:$O$51519,8,FALSE))/100*$P16</f>
        <v>0.05</v>
      </c>
      <c r="K16" s="168">
        <f>IF($C16="","",VLOOKUP($C16,성분!$B$2:$O$51519,9,FALSE))/100*$P16</f>
        <v>6.45</v>
      </c>
      <c r="L16" s="168">
        <f>IF($C16="","",VLOOKUP($C16,성분!$B$2:$O$51519,10,FALSE))/100*$P16</f>
        <v>2.9999999999999996E-3</v>
      </c>
      <c r="M16" s="168">
        <f>IF($C16="","",VLOOKUP($C16,성분!$B$2:$O$51519,11,FALSE))/100*$P16</f>
        <v>4.4999999999999997E-3</v>
      </c>
      <c r="N16" s="168">
        <f>IF($C16="","",VLOOKUP($C16,성분!$B$2:$O$51519,12,FALSE))/100*$P16</f>
        <v>0.03</v>
      </c>
      <c r="O16" s="167">
        <f>IF($C16="","",VLOOKUP($C16,성분!$B$2:$O$51519,13,FALSE))/100*$P16</f>
        <v>1.05</v>
      </c>
      <c r="P16" s="165">
        <f t="shared" si="0"/>
        <v>5</v>
      </c>
      <c r="Q16" s="162">
        <f t="shared" si="1"/>
        <v>2.0449999999999999</v>
      </c>
      <c r="R16" s="18">
        <f t="shared" ref="R16" si="4">INT(Q16)</f>
        <v>2</v>
      </c>
    </row>
    <row r="17" spans="1:18" customFormat="1" ht="27.75" customHeight="1">
      <c r="A17" s="42">
        <f t="shared" si="3"/>
        <v>7</v>
      </c>
      <c r="B17" s="30" t="s">
        <v>2508</v>
      </c>
      <c r="C17" s="22" t="s">
        <v>904</v>
      </c>
      <c r="D17" s="16">
        <v>80</v>
      </c>
      <c r="E17" s="168">
        <f>IF($C17="","",VLOOKUP($C17,성분!$B$2:$O$51519,3,FALSE))/100*P17</f>
        <v>119.44000000000001</v>
      </c>
      <c r="F17" s="168">
        <f>IF($C17="","",VLOOKUP($C17,성분!$B$2:$O$51519,5,FALSE))/100*$P17</f>
        <v>11.840000000000002</v>
      </c>
      <c r="G17" s="168">
        <f>IF($C17="","",VLOOKUP($C17,성분!$B$2:$O$51519,4,FALSE))/100*$P17</f>
        <v>8.24</v>
      </c>
      <c r="H17" s="168">
        <f>IF($C17="","",VLOOKUP($C17,성분!$B$2:$O$51519,6,FALSE))/100*$P17</f>
        <v>1.248</v>
      </c>
      <c r="I17" s="168">
        <f>IF($C17="","",VLOOKUP($C17,성분!$B$2:$O$51519,7,FALSE))/100*$P17</f>
        <v>1.6</v>
      </c>
      <c r="J17" s="168">
        <f>IF($C17="","",VLOOKUP($C17,성분!$B$2:$O$51519,8,FALSE))/100*$P17</f>
        <v>0.8</v>
      </c>
      <c r="K17" s="168">
        <f>IF($C17="","",VLOOKUP($C17,성분!$B$2:$O$51519,9,FALSE))/100*$P17</f>
        <v>0</v>
      </c>
      <c r="L17" s="168">
        <f>IF($C17="","",VLOOKUP($C17,성분!$B$2:$O$51519,10,FALSE))/100*$P17</f>
        <v>1.2800000000000001E-2</v>
      </c>
      <c r="M17" s="168">
        <f>IF($C17="","",VLOOKUP($C17,성분!$B$2:$O$51519,11,FALSE))/100*$P17</f>
        <v>8.0000000000000002E-3</v>
      </c>
      <c r="N17" s="168">
        <f>IF($C17="","",VLOOKUP($C17,성분!$B$2:$O$51519,12,FALSE))/100*$P17</f>
        <v>0.16</v>
      </c>
      <c r="O17" s="167">
        <f>IF($C17="","",VLOOKUP($C17,성분!$B$2:$O$51519,13,FALSE))/100*$P17</f>
        <v>0</v>
      </c>
      <c r="P17" s="38">
        <f t="shared" si="0"/>
        <v>80</v>
      </c>
      <c r="Q17" s="17">
        <f t="shared" si="1"/>
        <v>32.72</v>
      </c>
      <c r="R17" s="18"/>
    </row>
    <row r="18" spans="1:18" s="160" customFormat="1" ht="27.75" customHeight="1">
      <c r="A18" s="166">
        <f t="shared" si="3"/>
        <v>8</v>
      </c>
      <c r="B18" s="171"/>
      <c r="C18" s="169" t="s">
        <v>2509</v>
      </c>
      <c r="D18" s="168">
        <v>2</v>
      </c>
      <c r="E18" s="168">
        <f>IF($C18="","",VLOOKUP($C18,성분!$B$2:$O$51519,3,FALSE))/100*P18</f>
        <v>9.333400000000001</v>
      </c>
      <c r="F18" s="168">
        <f>IF($C18="","",VLOOKUP($C18,성분!$B$2:$O$51519,5,FALSE))/100*$P18</f>
        <v>1.4665999999999999</v>
      </c>
      <c r="G18" s="168">
        <f>IF($C18="","",VLOOKUP($C18,성분!$B$2:$O$51519,4,FALSE))/100*$P18</f>
        <v>0.13339999999999999</v>
      </c>
      <c r="H18" s="168">
        <f>IF($C18="","",VLOOKUP($C18,성분!$B$2:$O$51519,6,FALSE))/100*$P18</f>
        <v>0.32</v>
      </c>
      <c r="I18" s="168">
        <f>IF($C18="","",VLOOKUP($C18,성분!$B$2:$O$51519,7,FALSE))/100*$P18</f>
        <v>0</v>
      </c>
      <c r="J18" s="168">
        <f>IF($C18="","",VLOOKUP($C18,성분!$B$2:$O$51519,8,FALSE))/100*$P18</f>
        <v>0</v>
      </c>
      <c r="K18" s="168">
        <f>IF($C18="","",VLOOKUP($C18,성분!$B$2:$O$51519,9,FALSE))/100*$P18</f>
        <v>0</v>
      </c>
      <c r="L18" s="168">
        <f>IF($C18="","",VLOOKUP($C18,성분!$B$2:$O$51519,10,FALSE))/100*$P18</f>
        <v>0</v>
      </c>
      <c r="M18" s="168">
        <f>IF($C18="","",VLOOKUP($C18,성분!$B$2:$O$51519,11,FALSE))/100*$P18</f>
        <v>0</v>
      </c>
      <c r="N18" s="168">
        <f>IF($C18="","",VLOOKUP($C18,성분!$B$2:$O$51519,12,FALSE))/100*$P18</f>
        <v>0</v>
      </c>
      <c r="O18" s="167">
        <f>IF($C18="","",VLOOKUP($C18,성분!$B$2:$O$51519,13,FALSE))/100*$P18</f>
        <v>0</v>
      </c>
      <c r="P18" s="165">
        <f t="shared" ref="P18" si="5">D18</f>
        <v>2</v>
      </c>
      <c r="Q18" s="162">
        <f t="shared" ref="Q18" si="6">($O$8*P18)/1000</f>
        <v>0.81799999999999995</v>
      </c>
      <c r="R18" s="18">
        <f t="shared" ref="R18" si="7">INT(Q18)</f>
        <v>0</v>
      </c>
    </row>
    <row r="19" spans="1:18" customFormat="1" ht="27.75" customHeight="1">
      <c r="A19" s="42">
        <f t="shared" si="3"/>
        <v>9</v>
      </c>
      <c r="B19" s="30"/>
      <c r="C19" s="22" t="s">
        <v>1190</v>
      </c>
      <c r="D19" s="16">
        <v>12</v>
      </c>
      <c r="E19" s="168">
        <f>IF($C19="","",VLOOKUP($C19,성분!$B$2:$O$51519,3,FALSE))/100*P19</f>
        <v>4.1999999999999993</v>
      </c>
      <c r="F19" s="168">
        <f>IF($C19="","",VLOOKUP($C19,성분!$B$2:$O$51519,5,FALSE))/100*$P19</f>
        <v>0.91920000000000002</v>
      </c>
      <c r="G19" s="168">
        <f>IF($C19="","",VLOOKUP($C19,성분!$B$2:$O$51519,4,FALSE))/100*$P19</f>
        <v>0.12</v>
      </c>
      <c r="H19" s="168">
        <f>IF($C19="","",VLOOKUP($C19,성분!$B$2:$O$51519,6,FALSE))/100*$P19</f>
        <v>2.2800000000000001E-2</v>
      </c>
      <c r="I19" s="168">
        <f>IF($C19="","",VLOOKUP($C19,성분!$B$2:$O$51519,7,FALSE))/100*$P19</f>
        <v>1.7999999999999998</v>
      </c>
      <c r="J19" s="168">
        <f>IF($C19="","",VLOOKUP($C19,성분!$B$2:$O$51519,8,FALSE))/100*$P19</f>
        <v>3.6000000000000004E-2</v>
      </c>
      <c r="K19" s="168">
        <f>IF($C19="","",VLOOKUP($C19,성분!$B$2:$O$51519,9,FALSE))/100*$P19</f>
        <v>0</v>
      </c>
      <c r="L19" s="168">
        <f>IF($C19="","",VLOOKUP($C19,성분!$B$2:$O$51519,10,FALSE))/100*$P19</f>
        <v>4.8000000000000004E-3</v>
      </c>
      <c r="M19" s="168">
        <f>IF($C19="","",VLOOKUP($C19,성분!$B$2:$O$51519,11,FALSE))/100*$P19</f>
        <v>1.2000000000000001E-3</v>
      </c>
      <c r="N19" s="168">
        <f>IF($C19="","",VLOOKUP($C19,성분!$B$2:$O$51519,12,FALSE))/100*$P19</f>
        <v>2.4E-2</v>
      </c>
      <c r="O19" s="167">
        <f>IF($C19="","",VLOOKUP($C19,성분!$B$2:$O$51519,13,FALSE))/100*$P19</f>
        <v>0.96</v>
      </c>
      <c r="P19" s="38">
        <f t="shared" si="0"/>
        <v>12</v>
      </c>
      <c r="Q19" s="17">
        <f t="shared" si="1"/>
        <v>4.9080000000000004</v>
      </c>
      <c r="R19" s="18">
        <f t="shared" ref="R19" si="8">INT(Q19)</f>
        <v>4</v>
      </c>
    </row>
    <row r="20" spans="1:18" customFormat="1" ht="27.75" customHeight="1">
      <c r="A20" s="42">
        <f t="shared" si="3"/>
        <v>10</v>
      </c>
      <c r="B20" s="30"/>
      <c r="C20" s="22" t="s">
        <v>2510</v>
      </c>
      <c r="D20" s="16">
        <v>10</v>
      </c>
      <c r="E20" s="168">
        <f>IF($C20="","",VLOOKUP($C20,성분!$B$2:$O$51519,3,FALSE))/100*P20</f>
        <v>10.3</v>
      </c>
      <c r="F20" s="168">
        <f>IF($C20="","",VLOOKUP($C20,성분!$B$2:$O$51519,5,FALSE))/100*$P20</f>
        <v>5.3540000000000001</v>
      </c>
      <c r="G20" s="168">
        <f>IF($C20="","",VLOOKUP($C20,성분!$B$2:$O$51519,4,FALSE))/100*$P20</f>
        <v>0.04</v>
      </c>
      <c r="H20" s="168">
        <f>IF($C20="","",VLOOKUP($C20,성분!$B$2:$O$51519,6,FALSE))/100*$P20</f>
        <v>0.03</v>
      </c>
      <c r="I20" s="168">
        <f>IF($C20="","",VLOOKUP($C20,성분!$B$2:$O$51519,7,FALSE))/100*$P20</f>
        <v>1.7999999999999998</v>
      </c>
      <c r="J20" s="168">
        <f>IF($C20="","",VLOOKUP($C20,성분!$B$2:$O$51519,8,FALSE))/100*$P20</f>
        <v>0.03</v>
      </c>
      <c r="K20" s="168">
        <f>IF($C20="","",VLOOKUP($C20,성분!$B$2:$O$51519,9,FALSE))/100*$P20</f>
        <v>0.89999999999999991</v>
      </c>
      <c r="L20" s="168">
        <f>IF($C20="","",VLOOKUP($C20,성분!$B$2:$O$51519,10,FALSE))/100*$P20</f>
        <v>1E-3</v>
      </c>
      <c r="M20" s="168">
        <f>IF($C20="","",VLOOKUP($C20,성분!$B$2:$O$51519,11,FALSE))/100*$P20</f>
        <v>1E-3</v>
      </c>
      <c r="N20" s="168">
        <f>IF($C20="","",VLOOKUP($C20,성분!$B$2:$O$51519,12,FALSE))/100*$P20</f>
        <v>0.01</v>
      </c>
      <c r="O20" s="167">
        <f>IF($C20="","",VLOOKUP($C20,성분!$B$2:$O$51519,13,FALSE))/100*$P20</f>
        <v>0</v>
      </c>
      <c r="P20" s="38">
        <f t="shared" si="0"/>
        <v>10</v>
      </c>
      <c r="Q20" s="17">
        <f t="shared" si="1"/>
        <v>4.09</v>
      </c>
      <c r="R20" s="18"/>
    </row>
    <row r="21" spans="1:18" s="160" customFormat="1" ht="27.75" customHeight="1">
      <c r="A21" s="166">
        <f t="shared" si="3"/>
        <v>11</v>
      </c>
      <c r="B21" s="171"/>
      <c r="C21" s="169" t="s">
        <v>2551</v>
      </c>
      <c r="D21" s="168">
        <v>20</v>
      </c>
      <c r="E21" s="168">
        <f>IF($C21="","",VLOOKUP($C21,성분!$B$2:$O$51519,3,FALSE))/100*P21</f>
        <v>176.8</v>
      </c>
      <c r="F21" s="168">
        <f>IF($C21="","",VLOOKUP($C21,성분!$B$2:$O$51519,5,FALSE))/100*$P21</f>
        <v>0</v>
      </c>
      <c r="G21" s="168">
        <f>IF($C21="","",VLOOKUP($C21,성분!$B$2:$O$51519,4,FALSE))/100*$P21</f>
        <v>0</v>
      </c>
      <c r="H21" s="168">
        <f>IF($C21="","",VLOOKUP($C21,성분!$B$2:$O$51519,6,FALSE))/100*$P21</f>
        <v>20</v>
      </c>
      <c r="I21" s="168">
        <f>IF($C21="","",VLOOKUP($C21,성분!$B$2:$O$51519,7,FALSE))/100*$P21</f>
        <v>0</v>
      </c>
      <c r="J21" s="168">
        <f>IF($C21="","",VLOOKUP($C21,성분!$B$2:$O$51519,8,FALSE))/100*$P21</f>
        <v>0</v>
      </c>
      <c r="K21" s="168">
        <f>IF($C21="","",VLOOKUP($C21,성분!$B$2:$O$51519,9,FALSE))/100*$P21</f>
        <v>0</v>
      </c>
      <c r="L21" s="168">
        <f>IF($C21="","",VLOOKUP($C21,성분!$B$2:$O$51519,10,FALSE))/100*$P21</f>
        <v>0</v>
      </c>
      <c r="M21" s="168">
        <f>IF($C21="","",VLOOKUP($C21,성분!$B$2:$O$51519,11,FALSE))/100*$P21</f>
        <v>0</v>
      </c>
      <c r="N21" s="168">
        <f>IF($C21="","",VLOOKUP($C21,성분!$B$2:$O$51519,12,FALSE))/100*$P21</f>
        <v>0</v>
      </c>
      <c r="O21" s="167">
        <f>IF($C21="","",VLOOKUP($C21,성분!$B$2:$O$51519,13,FALSE))/100*$P21</f>
        <v>0</v>
      </c>
      <c r="P21" s="165">
        <f t="shared" ref="P21" si="9">D21</f>
        <v>20</v>
      </c>
      <c r="Q21" s="162">
        <f t="shared" ref="Q21" si="10">($O$8*P21)/1000</f>
        <v>8.18</v>
      </c>
      <c r="R21" s="18"/>
    </row>
    <row r="22" spans="1:18" customFormat="1" ht="27.75" customHeight="1">
      <c r="A22" s="42">
        <f t="shared" si="3"/>
        <v>12</v>
      </c>
      <c r="B22" s="30" t="s">
        <v>2347</v>
      </c>
      <c r="C22" s="22" t="s">
        <v>2348</v>
      </c>
      <c r="D22" s="16">
        <v>15</v>
      </c>
      <c r="E22" s="168">
        <f>IF($C22="","",VLOOKUP($C22,성분!$B$2:$O$51519,3,FALSE))/100*P22</f>
        <v>50.4</v>
      </c>
      <c r="F22" s="168">
        <f>IF($C22="","",VLOOKUP($C22,성분!$B$2:$O$51519,5,FALSE))/100*$P22</f>
        <v>11.564999999999998</v>
      </c>
      <c r="G22" s="168">
        <f>IF($C22="","",VLOOKUP($C22,성분!$B$2:$O$51519,4,FALSE))/100*$P22</f>
        <v>1.6799999999999997</v>
      </c>
      <c r="H22" s="168">
        <f>IF($C22="","",VLOOKUP($C22,성분!$B$2:$O$51519,6,FALSE))/100*$P22</f>
        <v>0.28499999999999998</v>
      </c>
      <c r="I22" s="168">
        <f>IF($C22="","",VLOOKUP($C22,성분!$B$2:$O$51519,7,FALSE))/100*$P22</f>
        <v>3.45</v>
      </c>
      <c r="J22" s="168">
        <f>IF($C22="","",VLOOKUP($C22,성분!$B$2:$O$51519,8,FALSE))/100*$P22</f>
        <v>0.22499999999999998</v>
      </c>
      <c r="K22" s="168">
        <f>IF($C22="","",VLOOKUP($C22,성분!$B$2:$O$51519,9,FALSE))/100*$P22</f>
        <v>0</v>
      </c>
      <c r="L22" s="168">
        <f>IF($C22="","",VLOOKUP($C22,성분!$B$2:$O$51519,10,FALSE))/100*$P22</f>
        <v>0.03</v>
      </c>
      <c r="M22" s="168">
        <f>IF($C22="","",VLOOKUP($C22,성분!$B$2:$O$51519,11,FALSE))/100*$P22</f>
        <v>6.0000000000000001E-3</v>
      </c>
      <c r="N22" s="168">
        <f>IF($C22="","",VLOOKUP($C22,성분!$B$2:$O$51519,12,FALSE))/100*$P22</f>
        <v>0.255</v>
      </c>
      <c r="O22" s="167">
        <f>IF($C22="","",VLOOKUP($C22,성분!$B$2:$O$51519,13,FALSE))/100*$P22</f>
        <v>0</v>
      </c>
      <c r="P22" s="38">
        <f t="shared" si="0"/>
        <v>15</v>
      </c>
      <c r="Q22" s="17">
        <f t="shared" si="1"/>
        <v>6.1349999999999998</v>
      </c>
      <c r="R22" s="18"/>
    </row>
    <row r="23" spans="1:18" customFormat="1" ht="27.75" customHeight="1">
      <c r="A23" s="42">
        <f t="shared" si="3"/>
        <v>13</v>
      </c>
      <c r="B23" s="30"/>
      <c r="C23" s="22" t="s">
        <v>1190</v>
      </c>
      <c r="D23" s="16">
        <v>3</v>
      </c>
      <c r="E23" s="168">
        <f>IF($C23="","",VLOOKUP($C23,성분!$B$2:$O$51519,3,FALSE))/100*P23</f>
        <v>1.0499999999999998</v>
      </c>
      <c r="F23" s="168">
        <f>IF($C23="","",VLOOKUP($C23,성분!$B$2:$O$51519,5,FALSE))/100*$P23</f>
        <v>0.2298</v>
      </c>
      <c r="G23" s="168">
        <f>IF($C23="","",VLOOKUP($C23,성분!$B$2:$O$51519,4,FALSE))/100*$P23</f>
        <v>0.03</v>
      </c>
      <c r="H23" s="168">
        <f>IF($C23="","",VLOOKUP($C23,성분!$B$2:$O$51519,6,FALSE))/100*$P23</f>
        <v>5.7000000000000002E-3</v>
      </c>
      <c r="I23" s="168">
        <f>IF($C23="","",VLOOKUP($C23,성분!$B$2:$O$51519,7,FALSE))/100*$P23</f>
        <v>0.44999999999999996</v>
      </c>
      <c r="J23" s="168">
        <f>IF($C23="","",VLOOKUP($C23,성분!$B$2:$O$51519,8,FALSE))/100*$P23</f>
        <v>9.0000000000000011E-3</v>
      </c>
      <c r="K23" s="168">
        <f>IF($C23="","",VLOOKUP($C23,성분!$B$2:$O$51519,9,FALSE))/100*$P23</f>
        <v>0</v>
      </c>
      <c r="L23" s="168">
        <f>IF($C23="","",VLOOKUP($C23,성분!$B$2:$O$51519,10,FALSE))/100*$P23</f>
        <v>1.2000000000000001E-3</v>
      </c>
      <c r="M23" s="168">
        <f>IF($C23="","",VLOOKUP($C23,성분!$B$2:$O$51519,11,FALSE))/100*$P23</f>
        <v>3.0000000000000003E-4</v>
      </c>
      <c r="N23" s="168">
        <f>IF($C23="","",VLOOKUP($C23,성분!$B$2:$O$51519,12,FALSE))/100*$P23</f>
        <v>6.0000000000000001E-3</v>
      </c>
      <c r="O23" s="167">
        <f>IF($C23="","",VLOOKUP($C23,성분!$B$2:$O$51519,13,FALSE))/100*$P23</f>
        <v>0.24</v>
      </c>
      <c r="P23" s="38">
        <f t="shared" si="0"/>
        <v>3</v>
      </c>
      <c r="Q23" s="17">
        <f t="shared" si="1"/>
        <v>1.2270000000000001</v>
      </c>
      <c r="R23" s="18"/>
    </row>
    <row r="24" spans="1:18" customFormat="1" ht="27.75" customHeight="1">
      <c r="A24" s="42">
        <f t="shared" si="3"/>
        <v>14</v>
      </c>
      <c r="B24" s="30"/>
      <c r="C24" s="22" t="s">
        <v>2262</v>
      </c>
      <c r="D24" s="16">
        <v>3</v>
      </c>
      <c r="E24" s="168">
        <f>IF($C24="","",VLOOKUP($C24,성분!$B$2:$O$51519,3,FALSE))/100*P24</f>
        <v>0.66</v>
      </c>
      <c r="F24" s="168">
        <f>IF($C24="","",VLOOKUP($C24,성분!$B$2:$O$51519,5,FALSE))/100*$P24</f>
        <v>0.1608</v>
      </c>
      <c r="G24" s="168">
        <f>IF($C24="","",VLOOKUP($C24,성분!$B$2:$O$51519,4,FALSE))/100*$P24</f>
        <v>2.7000000000000003E-2</v>
      </c>
      <c r="H24" s="168">
        <f>IF($C24="","",VLOOKUP($C24,성분!$B$2:$O$51519,6,FALSE))/100*$P24</f>
        <v>1.2000000000000001E-3</v>
      </c>
      <c r="I24" s="168">
        <f>IF($C24="","",VLOOKUP($C24,성분!$B$2:$O$51519,7,FALSE))/100*$P24</f>
        <v>0.42000000000000004</v>
      </c>
      <c r="J24" s="168">
        <f>IF($C24="","",VLOOKUP($C24,성분!$B$2:$O$51519,8,FALSE))/100*$P24</f>
        <v>1.4999999999999999E-2</v>
      </c>
      <c r="K24" s="168">
        <f>IF($C24="","",VLOOKUP($C24,성분!$B$2:$O$51519,9,FALSE))/100*$P24</f>
        <v>5.9399999999999995</v>
      </c>
      <c r="L24" s="168">
        <f>IF($C24="","",VLOOKUP($C24,성분!$B$2:$O$51519,10,FALSE))/100*$P24</f>
        <v>3.0000000000000003E-4</v>
      </c>
      <c r="M24" s="168">
        <f>IF($C24="","",VLOOKUP($C24,성분!$B$2:$O$51519,11,FALSE))/100*$P24</f>
        <v>1.2000000000000001E-3</v>
      </c>
      <c r="N24" s="168">
        <f>IF($C24="","",VLOOKUP($C24,성분!$B$2:$O$51519,12,FALSE))/100*$P24</f>
        <v>2.76E-2</v>
      </c>
      <c r="O24" s="167">
        <f>IF($C24="","",VLOOKUP($C24,성분!$B$2:$O$51519,13,FALSE))/100*$P24</f>
        <v>0.64559999999999995</v>
      </c>
      <c r="P24" s="38">
        <f t="shared" si="0"/>
        <v>3</v>
      </c>
      <c r="Q24" s="17">
        <f t="shared" si="1"/>
        <v>1.2270000000000001</v>
      </c>
      <c r="R24" s="18"/>
    </row>
    <row r="25" spans="1:18" customFormat="1" ht="27.75" customHeight="1">
      <c r="A25" s="42">
        <f t="shared" si="3"/>
        <v>15</v>
      </c>
      <c r="B25" s="30"/>
      <c r="C25" s="22" t="s">
        <v>1394</v>
      </c>
      <c r="D25" s="16">
        <v>10</v>
      </c>
      <c r="E25" s="168">
        <f>IF($C25="","",VLOOKUP($C25,성분!$B$2:$O$51519,3,FALSE))/100*P25</f>
        <v>9.6</v>
      </c>
      <c r="F25" s="168">
        <f>IF($C25="","",VLOOKUP($C25,성분!$B$2:$O$51519,5,FALSE))/100*$P25</f>
        <v>1.83</v>
      </c>
      <c r="G25" s="168">
        <f>IF($C25="","",VLOOKUP($C25,성분!$B$2:$O$51519,4,FALSE))/100*$P25</f>
        <v>0.27</v>
      </c>
      <c r="H25" s="168">
        <f>IF($C25="","",VLOOKUP($C25,성분!$B$2:$O$51519,6,FALSE))/100*$P25</f>
        <v>0.22000000000000003</v>
      </c>
      <c r="I25" s="168">
        <f>IF($C25="","",VLOOKUP($C25,성분!$B$2:$O$51519,7,FALSE))/100*$P25</f>
        <v>0.2</v>
      </c>
      <c r="J25" s="168">
        <f>IF($C25="","",VLOOKUP($C25,성분!$B$2:$O$51519,8,FALSE))/100*$P25</f>
        <v>0.04</v>
      </c>
      <c r="K25" s="168">
        <f>IF($C25="","",VLOOKUP($C25,성분!$B$2:$O$51519,9,FALSE))/100*$P25</f>
        <v>1.3</v>
      </c>
      <c r="L25" s="168">
        <f>IF($C25="","",VLOOKUP($C25,성분!$B$2:$O$51519,10,FALSE))/100*$P25</f>
        <v>2.9999999999999996E-3</v>
      </c>
      <c r="M25" s="168">
        <f>IF($C25="","",VLOOKUP($C25,성분!$B$2:$O$51519,11,FALSE))/100*$P25</f>
        <v>5.9999999999999993E-3</v>
      </c>
      <c r="N25" s="168">
        <f>IF($C25="","",VLOOKUP($C25,성분!$B$2:$O$51519,12,FALSE))/100*$P25</f>
        <v>9.0000000000000011E-2</v>
      </c>
      <c r="O25" s="167">
        <f>IF($C25="","",VLOOKUP($C25,성분!$B$2:$O$51519,13,FALSE))/100*$P25</f>
        <v>0.4</v>
      </c>
      <c r="P25" s="38">
        <f t="shared" si="0"/>
        <v>10</v>
      </c>
      <c r="Q25" s="17">
        <f t="shared" si="1"/>
        <v>4.09</v>
      </c>
      <c r="R25" s="18"/>
    </row>
    <row r="26" spans="1:18" customFormat="1" ht="27.75" customHeight="1">
      <c r="A26" s="42">
        <f t="shared" si="3"/>
        <v>16</v>
      </c>
      <c r="B26" s="30"/>
      <c r="C26" s="22" t="s">
        <v>763</v>
      </c>
      <c r="D26" s="16">
        <v>5</v>
      </c>
      <c r="E26" s="168">
        <f>IF($C26="","",VLOOKUP($C26,성분!$B$2:$O$51519,3,FALSE))/100*P26</f>
        <v>15.4</v>
      </c>
      <c r="F26" s="168">
        <f>IF($C26="","",VLOOKUP($C26,성분!$B$2:$O$51519,5,FALSE))/100*$P26</f>
        <v>6.9999999999999993E-2</v>
      </c>
      <c r="G26" s="168">
        <f>IF($C26="","",VLOOKUP($C26,성분!$B$2:$O$51519,4,FALSE))/100*$P26</f>
        <v>0.85500000000000009</v>
      </c>
      <c r="H26" s="168">
        <f>IF($C26="","",VLOOKUP($C26,성분!$B$2:$O$51519,6,FALSE))/100*$P26</f>
        <v>0.67500000000000004</v>
      </c>
      <c r="I26" s="168">
        <f>IF($C26="","",VLOOKUP($C26,성분!$B$2:$O$51519,7,FALSE))/100*$P26</f>
        <v>0.5</v>
      </c>
      <c r="J26" s="168">
        <f>IF($C26="","",VLOOKUP($C26,성분!$B$2:$O$51519,8,FALSE))/100*$P26</f>
        <v>0.04</v>
      </c>
      <c r="K26" s="168">
        <f>IF($C26="","",VLOOKUP($C26,성분!$B$2:$O$51519,9,FALSE))/100*$P26</f>
        <v>0.4</v>
      </c>
      <c r="L26" s="168">
        <f>IF($C26="","",VLOOKUP($C26,성분!$B$2:$O$51519,10,FALSE))/100*$P26</f>
        <v>2.5000000000000001E-2</v>
      </c>
      <c r="M26" s="168">
        <f>IF($C26="","",VLOOKUP($C26,성분!$B$2:$O$51519,11,FALSE))/100*$P26</f>
        <v>5.0000000000000001E-3</v>
      </c>
      <c r="N26" s="168">
        <f>IF($C26="","",VLOOKUP($C26,성분!$B$2:$O$51519,12,FALSE))/100*$P26</f>
        <v>0.23499999999999999</v>
      </c>
      <c r="O26" s="167">
        <f>IF($C26="","",VLOOKUP($C26,성분!$B$2:$O$51519,13,FALSE))/100*$P26</f>
        <v>1.35</v>
      </c>
      <c r="P26" s="38">
        <f t="shared" ref="P26:P27" si="11">D26</f>
        <v>5</v>
      </c>
      <c r="Q26" s="17">
        <f t="shared" ref="Q26:Q27" si="12">($O$8*P26)/1000</f>
        <v>2.0449999999999999</v>
      </c>
      <c r="R26" s="18"/>
    </row>
    <row r="27" spans="1:18" s="160" customFormat="1" ht="27.75" customHeight="1">
      <c r="A27" s="166">
        <f t="shared" si="3"/>
        <v>17</v>
      </c>
      <c r="B27" s="171"/>
      <c r="C27" s="169" t="s">
        <v>2420</v>
      </c>
      <c r="D27" s="168">
        <v>15</v>
      </c>
      <c r="E27" s="168">
        <f>IF($C27="","",VLOOKUP($C27,성분!$B$2:$O$51519,3,FALSE))/100*P27</f>
        <v>12.75</v>
      </c>
      <c r="F27" s="168">
        <f>IF($C27="","",VLOOKUP($C27,성분!$B$2:$O$51519,5,FALSE))/100*$P27</f>
        <v>1.5</v>
      </c>
      <c r="G27" s="168">
        <f>IF($C27="","",VLOOKUP($C27,성분!$B$2:$O$51519,4,FALSE))/100*$P27</f>
        <v>0.15</v>
      </c>
      <c r="H27" s="168">
        <f>IF($C27="","",VLOOKUP($C27,성분!$B$2:$O$51519,6,FALSE))/100*$P27</f>
        <v>0.64499999999999991</v>
      </c>
      <c r="I27" s="168">
        <f>IF($C27="","",VLOOKUP($C27,성분!$B$2:$O$51519,7,FALSE))/100*$P27</f>
        <v>0</v>
      </c>
      <c r="J27" s="168">
        <f>IF($C27="","",VLOOKUP($C27,성분!$B$2:$O$51519,8,FALSE))/100*$P27</f>
        <v>0</v>
      </c>
      <c r="K27" s="168">
        <f>IF($C27="","",VLOOKUP($C27,성분!$B$2:$O$51519,9,FALSE))/100*$P27</f>
        <v>0</v>
      </c>
      <c r="L27" s="168">
        <f>IF($C27="","",VLOOKUP($C27,성분!$B$2:$O$51519,10,FALSE))/100*$P27</f>
        <v>0</v>
      </c>
      <c r="M27" s="168">
        <f>IF($C27="","",VLOOKUP($C27,성분!$B$2:$O$51519,11,FALSE))/100*$P27</f>
        <v>0</v>
      </c>
      <c r="N27" s="168">
        <f>IF($C27="","",VLOOKUP($C27,성분!$B$2:$O$51519,12,FALSE))/100*$P27</f>
        <v>0</v>
      </c>
      <c r="O27" s="167">
        <f>IF($C27="","",VLOOKUP($C27,성분!$B$2:$O$51519,13,FALSE))/100*$P27</f>
        <v>0</v>
      </c>
      <c r="P27" s="165">
        <f t="shared" si="11"/>
        <v>15</v>
      </c>
      <c r="Q27" s="162">
        <f t="shared" si="12"/>
        <v>6.1349999999999998</v>
      </c>
      <c r="R27" s="18"/>
    </row>
    <row r="28" spans="1:18" customFormat="1" ht="27.75" customHeight="1">
      <c r="A28" s="42">
        <f t="shared" si="3"/>
        <v>18</v>
      </c>
      <c r="B28" s="30"/>
      <c r="C28" s="22" t="s">
        <v>2416</v>
      </c>
      <c r="D28" s="16">
        <v>3</v>
      </c>
      <c r="E28" s="168">
        <f>IF($C28="","",VLOOKUP($C28,성분!$B$2:$O$51519,3,FALSE))/100*P28</f>
        <v>6.0299999999999994</v>
      </c>
      <c r="F28" s="168">
        <f>IF($C28="","",VLOOKUP($C28,성분!$B$2:$O$51519,5,FALSE))/100*$P28</f>
        <v>0.12299999999999998</v>
      </c>
      <c r="G28" s="168">
        <f>IF($C28="","",VLOOKUP($C28,성분!$B$2:$O$51519,4,FALSE))/100*$P28</f>
        <v>0.77100000000000002</v>
      </c>
      <c r="H28" s="168">
        <f>IF($C28="","",VLOOKUP($C28,성분!$B$2:$O$51519,6,FALSE))/100*$P28</f>
        <v>0.44999999999999996</v>
      </c>
      <c r="I28" s="168">
        <f>IF($C28="","",VLOOKUP($C28,성분!$B$2:$O$51519,7,FALSE))/100*$P28</f>
        <v>25.92</v>
      </c>
      <c r="J28" s="168">
        <f>IF($C28="","",VLOOKUP($C28,성분!$B$2:$O$51519,8,FALSE))/100*$P28</f>
        <v>9.0000000000000011E-3</v>
      </c>
      <c r="K28" s="168">
        <f>IF($C28="","",VLOOKUP($C28,성분!$B$2:$O$51519,9,FALSE))/100*$P28</f>
        <v>10.350000000000001</v>
      </c>
      <c r="L28" s="168">
        <f>IF($C28="","",VLOOKUP($C28,성분!$B$2:$O$51519,10,FALSE))/100*$P28</f>
        <v>1.2000000000000001E-3</v>
      </c>
      <c r="M28" s="168">
        <f>IF($C28="","",VLOOKUP($C28,성분!$B$2:$O$51519,11,FALSE))/100*$P28</f>
        <v>1.3500000000000002E-2</v>
      </c>
      <c r="N28" s="168">
        <f>IF($C28="","",VLOOKUP($C28,성분!$B$2:$O$51519,12,FALSE))/100*$P28</f>
        <v>3.0000000000000001E-3</v>
      </c>
      <c r="O28" s="167">
        <f>IF($C28="","",VLOOKUP($C28,성분!$B$2:$O$51519,13,FALSE))/100*$P28</f>
        <v>0</v>
      </c>
      <c r="P28" s="38">
        <f t="shared" si="0"/>
        <v>3</v>
      </c>
      <c r="Q28" s="17">
        <f t="shared" si="1"/>
        <v>1.2270000000000001</v>
      </c>
      <c r="R28" s="18"/>
    </row>
    <row r="29" spans="1:18" customFormat="1" ht="27.75" customHeight="1">
      <c r="A29" s="42">
        <f t="shared" si="3"/>
        <v>19</v>
      </c>
      <c r="B29" s="30" t="s">
        <v>2329</v>
      </c>
      <c r="C29" s="22" t="s">
        <v>620</v>
      </c>
      <c r="D29" s="16">
        <v>25</v>
      </c>
      <c r="E29" s="168">
        <f>IF($C29="","",VLOOKUP($C29,성분!$B$2:$O$51519,3,FALSE))/100*P29</f>
        <v>32.5</v>
      </c>
      <c r="F29" s="168">
        <f>IF($C29="","",VLOOKUP($C29,성분!$B$2:$O$51519,5,FALSE))/100*$P29</f>
        <v>1.4999999999999999E-2</v>
      </c>
      <c r="G29" s="168">
        <f>IF($C29="","",VLOOKUP($C29,성분!$B$2:$O$51519,4,FALSE))/100*$P29</f>
        <v>2.4</v>
      </c>
      <c r="H29" s="168">
        <f>IF($C29="","",VLOOKUP($C29,성분!$B$2:$O$51519,6,FALSE))/100*$P29</f>
        <v>1.175</v>
      </c>
      <c r="I29" s="168">
        <f>IF($C29="","",VLOOKUP($C29,성분!$B$2:$O$51519,7,FALSE))/100*$P29</f>
        <v>0.75</v>
      </c>
      <c r="J29" s="168">
        <f>IF($C29="","",VLOOKUP($C29,성분!$B$2:$O$51519,8,FALSE))/100*$P29</f>
        <v>0.27500000000000002</v>
      </c>
      <c r="K29" s="168">
        <f>IF($C29="","",VLOOKUP($C29,성분!$B$2:$O$51519,9,FALSE))/100*$P29</f>
        <v>0</v>
      </c>
      <c r="L29" s="168">
        <f>IF($C29="","",VLOOKUP($C29,성분!$B$2:$O$51519,10,FALSE))/100*$P29</f>
        <v>2.5000000000000001E-3</v>
      </c>
      <c r="M29" s="168">
        <f>IF($C29="","",VLOOKUP($C29,성분!$B$2:$O$51519,11,FALSE))/100*$P29</f>
        <v>0.03</v>
      </c>
      <c r="N29" s="168">
        <f>IF($C29="","",VLOOKUP($C29,성분!$B$2:$O$51519,12,FALSE))/100*$P29</f>
        <v>0.1</v>
      </c>
      <c r="O29" s="167">
        <f>IF($C29="","",VLOOKUP($C29,성분!$B$2:$O$51519,13,FALSE))/100*$P29</f>
        <v>0</v>
      </c>
      <c r="P29" s="38">
        <f t="shared" si="0"/>
        <v>25</v>
      </c>
      <c r="Q29" s="17">
        <f t="shared" si="1"/>
        <v>10.225</v>
      </c>
      <c r="R29" s="18"/>
    </row>
    <row r="30" spans="1:18" s="160" customFormat="1" ht="27.75" customHeight="1">
      <c r="A30" s="166">
        <f t="shared" si="3"/>
        <v>20</v>
      </c>
      <c r="B30" s="171"/>
      <c r="C30" s="169" t="s">
        <v>2505</v>
      </c>
      <c r="D30" s="168">
        <v>15</v>
      </c>
      <c r="E30" s="168">
        <f>IF($C30="","",VLOOKUP($C30,성분!$B$2:$O$51519,3,FALSE))/100*P30</f>
        <v>34.5</v>
      </c>
      <c r="F30" s="168">
        <f>IF($C30="","",VLOOKUP($C30,성분!$B$2:$O$51519,5,FALSE))/100*$P30</f>
        <v>2.085</v>
      </c>
      <c r="G30" s="168">
        <f>IF($C30="","",VLOOKUP($C30,성분!$B$2:$O$51519,4,FALSE))/100*$P30</f>
        <v>0.36</v>
      </c>
      <c r="H30" s="168">
        <f>IF($C30="","",VLOOKUP($C30,성분!$B$2:$O$51519,6,FALSE))/100*$P30</f>
        <v>0</v>
      </c>
      <c r="I30" s="168">
        <f>IF($C30="","",VLOOKUP($C30,성분!$B$2:$O$51519,7,FALSE))/100*$P30</f>
        <v>0.6</v>
      </c>
      <c r="J30" s="168">
        <f>IF($C30="","",VLOOKUP($C30,성분!$B$2:$O$51519,8,FALSE))/100*$P30</f>
        <v>0.09</v>
      </c>
      <c r="K30" s="168">
        <f>IF($C30="","",VLOOKUP($C30,성분!$B$2:$O$51519,9,FALSE))/100*$P30</f>
        <v>0</v>
      </c>
      <c r="L30" s="168">
        <f>IF($C30="","",VLOOKUP($C30,성분!$B$2:$O$51519,10,FALSE))/100*$P30</f>
        <v>0</v>
      </c>
      <c r="M30" s="168">
        <f>IF($C30="","",VLOOKUP($C30,성분!$B$2:$O$51519,11,FALSE))/100*$P30</f>
        <v>0</v>
      </c>
      <c r="N30" s="168">
        <f>IF($C30="","",VLOOKUP($C30,성분!$B$2:$O$51519,12,FALSE))/100*$P30</f>
        <v>0</v>
      </c>
      <c r="O30" s="167">
        <f>IF($C30="","",VLOOKUP($C30,성분!$B$2:$O$51519,13,FALSE))/100*$P30</f>
        <v>0</v>
      </c>
      <c r="P30" s="165">
        <f t="shared" ref="P30" si="13">D30</f>
        <v>15</v>
      </c>
      <c r="Q30" s="162">
        <f t="shared" ref="Q30" si="14">($O$8*P30)/1000</f>
        <v>6.1349999999999998</v>
      </c>
      <c r="R30" s="18"/>
    </row>
    <row r="31" spans="1:18" s="160" customFormat="1" ht="27.75" customHeight="1">
      <c r="A31" s="166">
        <f t="shared" si="3"/>
        <v>21</v>
      </c>
      <c r="B31" s="171"/>
      <c r="C31" s="169" t="s">
        <v>1190</v>
      </c>
      <c r="D31" s="168">
        <v>10</v>
      </c>
      <c r="E31" s="168">
        <f>IF($C31="","",VLOOKUP($C31,성분!$B$2:$O$51519,3,FALSE))/100*P31</f>
        <v>3.5</v>
      </c>
      <c r="F31" s="168">
        <f>IF($C31="","",VLOOKUP($C31,성분!$B$2:$O$51519,5,FALSE))/100*$P31</f>
        <v>0.76600000000000001</v>
      </c>
      <c r="G31" s="168">
        <f>IF($C31="","",VLOOKUP($C31,성분!$B$2:$O$51519,4,FALSE))/100*$P31</f>
        <v>0.1</v>
      </c>
      <c r="H31" s="168">
        <f>IF($C31="","",VLOOKUP($C31,성분!$B$2:$O$51519,6,FALSE))/100*$P31</f>
        <v>1.9E-2</v>
      </c>
      <c r="I31" s="168">
        <f>IF($C31="","",VLOOKUP($C31,성분!$B$2:$O$51519,7,FALSE))/100*$P31</f>
        <v>1.5</v>
      </c>
      <c r="J31" s="168">
        <f>IF($C31="","",VLOOKUP($C31,성분!$B$2:$O$51519,8,FALSE))/100*$P31</f>
        <v>0.03</v>
      </c>
      <c r="K31" s="168">
        <f>IF($C31="","",VLOOKUP($C31,성분!$B$2:$O$51519,9,FALSE))/100*$P31</f>
        <v>0</v>
      </c>
      <c r="L31" s="168">
        <f>IF($C31="","",VLOOKUP($C31,성분!$B$2:$O$51519,10,FALSE))/100*$P31</f>
        <v>4.0000000000000001E-3</v>
      </c>
      <c r="M31" s="168">
        <f>IF($C31="","",VLOOKUP($C31,성분!$B$2:$O$51519,11,FALSE))/100*$P31</f>
        <v>1E-3</v>
      </c>
      <c r="N31" s="168">
        <f>IF($C31="","",VLOOKUP($C31,성분!$B$2:$O$51519,12,FALSE))/100*$P31</f>
        <v>0.02</v>
      </c>
      <c r="O31" s="167">
        <f>IF($C31="","",VLOOKUP($C31,성분!$B$2:$O$51519,13,FALSE))/100*$P31</f>
        <v>0.8</v>
      </c>
      <c r="P31" s="165">
        <f t="shared" ref="P31" si="15">D31</f>
        <v>10</v>
      </c>
      <c r="Q31" s="162">
        <f t="shared" ref="Q31" si="16">($O$8*P31)/1000</f>
        <v>4.09</v>
      </c>
      <c r="R31" s="18"/>
    </row>
    <row r="32" spans="1:18" customFormat="1" ht="27.75" customHeight="1">
      <c r="A32" s="42">
        <f t="shared" si="3"/>
        <v>22</v>
      </c>
      <c r="B32" s="30"/>
      <c r="C32" s="22" t="s">
        <v>2238</v>
      </c>
      <c r="D32" s="16">
        <v>3</v>
      </c>
      <c r="E32" s="168">
        <f>IF($C32="","",VLOOKUP($C32,성분!$B$2:$O$51519,3,FALSE))/100*P32</f>
        <v>0.60000000000000009</v>
      </c>
      <c r="F32" s="168">
        <f>IF($C32="","",VLOOKUP($C32,성분!$B$2:$O$51519,5,FALSE))/100*$P32</f>
        <v>0.18</v>
      </c>
      <c r="G32" s="168">
        <f>IF($C32="","",VLOOKUP($C32,성분!$B$2:$O$51519,4,FALSE))/100*$P32</f>
        <v>5.6999999999999995E-2</v>
      </c>
      <c r="H32" s="168">
        <f>IF($C32="","",VLOOKUP($C32,성분!$B$2:$O$51519,6,FALSE))/100*$P32</f>
        <v>6.0000000000000001E-3</v>
      </c>
      <c r="I32" s="168">
        <f>IF($C32="","",VLOOKUP($C32,성분!$B$2:$O$51519,7,FALSE))/100*$P32</f>
        <v>0.44999999999999996</v>
      </c>
      <c r="J32" s="168">
        <f>IF($C32="","",VLOOKUP($C32,성분!$B$2:$O$51519,8,FALSE))/100*$P32</f>
        <v>1.2E-2</v>
      </c>
      <c r="K32" s="168">
        <f>IF($C32="","",VLOOKUP($C32,성분!$B$2:$O$51519,9,FALSE))/100*$P32</f>
        <v>3.87</v>
      </c>
      <c r="L32" s="168">
        <f>IF($C32="","",VLOOKUP($C32,성분!$B$2:$O$51519,10,FALSE))/100*$P32</f>
        <v>2.4000000000000002E-3</v>
      </c>
      <c r="M32" s="168">
        <f>IF($C32="","",VLOOKUP($C32,성분!$B$2:$O$51519,11,FALSE))/100*$P32</f>
        <v>1.2000000000000001E-3</v>
      </c>
      <c r="N32" s="168">
        <f>IF($C32="","",VLOOKUP($C32,성분!$B$2:$O$51519,12,FALSE))/100*$P32</f>
        <v>3.9000000000000007E-2</v>
      </c>
      <c r="O32" s="167">
        <f>IF($C32="","",VLOOKUP($C32,성분!$B$2:$O$51519,13,FALSE))/100*$P32</f>
        <v>2.0100000000000002</v>
      </c>
      <c r="P32" s="38">
        <f t="shared" si="0"/>
        <v>3</v>
      </c>
      <c r="Q32" s="17">
        <f t="shared" si="1"/>
        <v>1.2270000000000001</v>
      </c>
      <c r="R32" s="18"/>
    </row>
    <row r="33" spans="1:19" customFormat="1" ht="27.75" customHeight="1">
      <c r="A33" s="42">
        <f t="shared" si="3"/>
        <v>23</v>
      </c>
      <c r="B33" s="30" t="s">
        <v>1084</v>
      </c>
      <c r="C33" s="22" t="s">
        <v>1084</v>
      </c>
      <c r="D33" s="16">
        <v>30</v>
      </c>
      <c r="E33" s="168">
        <f>IF($C33="","",VLOOKUP($C33,성분!$B$2:$O$51519,3,FALSE))/100*P33</f>
        <v>15</v>
      </c>
      <c r="F33" s="168">
        <f>IF($C33="","",VLOOKUP($C33,성분!$B$2:$O$51519,5,FALSE))/100*$P33</f>
        <v>1.32</v>
      </c>
      <c r="G33" s="168">
        <f>IF($C33="","",VLOOKUP($C33,성분!$B$2:$O$51519,4,FALSE))/100*$P33</f>
        <v>0.6</v>
      </c>
      <c r="H33" s="168">
        <f>IF($C33="","",VLOOKUP($C33,성분!$B$2:$O$51519,6,FALSE))/100*$P33</f>
        <v>0.06</v>
      </c>
      <c r="I33" s="168">
        <f>IF($C33="","",VLOOKUP($C33,성분!$B$2:$O$51519,7,FALSE))/100*$P33</f>
        <v>14.1</v>
      </c>
      <c r="J33" s="168">
        <f>IF($C33="","",VLOOKUP($C33,성분!$B$2:$O$51519,8,FALSE))/100*$P33</f>
        <v>0.89999999999999991</v>
      </c>
      <c r="K33" s="168">
        <f>IF($C33="","",VLOOKUP($C33,성분!$B$2:$O$51519,9,FALSE))/100*$P33</f>
        <v>14.399999999999999</v>
      </c>
      <c r="L33" s="168">
        <f>IF($C33="","",VLOOKUP($C33,성분!$B$2:$O$51519,10,FALSE))/100*$P33</f>
        <v>1.7999999999999999E-2</v>
      </c>
      <c r="M33" s="168">
        <f>IF($C33="","",VLOOKUP($C33,성분!$B$2:$O$51519,11,FALSE))/100*$P33</f>
        <v>1.7999999999999999E-2</v>
      </c>
      <c r="N33" s="168">
        <f>IF($C33="","",VLOOKUP($C33,성분!$B$2:$O$51519,12,FALSE))/100*$P33</f>
        <v>0.24</v>
      </c>
      <c r="O33" s="167">
        <f>IF($C33="","",VLOOKUP($C33,성분!$B$2:$O$51519,13,FALSE))/100*$P33</f>
        <v>4.2</v>
      </c>
      <c r="P33" s="38">
        <f t="shared" si="0"/>
        <v>30</v>
      </c>
      <c r="Q33" s="17">
        <f t="shared" si="1"/>
        <v>12.27</v>
      </c>
      <c r="R33" s="18"/>
    </row>
    <row r="34" spans="1:19" customFormat="1" ht="27.75" customHeight="1">
      <c r="A34" s="42">
        <v>26</v>
      </c>
      <c r="B34" s="29" t="s">
        <v>2349</v>
      </c>
      <c r="C34" s="32" t="s">
        <v>2349</v>
      </c>
      <c r="D34" s="16">
        <v>18</v>
      </c>
      <c r="E34" s="168">
        <f>IF($C34="","",VLOOKUP($C34,성분!$B$2:$O$51519,3,FALSE))/100*P34</f>
        <v>93.078000000000003</v>
      </c>
      <c r="F34" s="168">
        <f>IF($C34="","",VLOOKUP($C34,성분!$B$2:$O$51519,5,FALSE))/100*$P34</f>
        <v>12.330000000000002</v>
      </c>
      <c r="G34" s="168">
        <f>IF($C34="","",VLOOKUP($C34,성분!$B$2:$O$51519,4,FALSE))/100*$P34</f>
        <v>1.53</v>
      </c>
      <c r="H34" s="168">
        <f>IF($C34="","",VLOOKUP($C34,성분!$B$2:$O$51519,6,FALSE))/100*$P34</f>
        <v>4.1040000000000001</v>
      </c>
      <c r="I34" s="168">
        <f>IF($C34="","",VLOOKUP($C34,성분!$B$2:$O$51519,7,FALSE))/100*$P34</f>
        <v>0</v>
      </c>
      <c r="J34" s="168">
        <f>IF($C34="","",VLOOKUP($C34,성분!$B$2:$O$51519,8,FALSE))/100*$P34</f>
        <v>0</v>
      </c>
      <c r="K34" s="168">
        <f>IF($C34="","",VLOOKUP($C34,성분!$B$2:$O$51519,9,FALSE))/100*$P34</f>
        <v>0</v>
      </c>
      <c r="L34" s="168">
        <f>IF($C34="","",VLOOKUP($C34,성분!$B$2:$O$51519,10,FALSE))/100*$P34</f>
        <v>0</v>
      </c>
      <c r="M34" s="168">
        <f>IF($C34="","",VLOOKUP($C34,성분!$B$2:$O$51519,11,FALSE))/100*$P34</f>
        <v>0</v>
      </c>
      <c r="N34" s="168">
        <f>IF($C34="","",VLOOKUP($C34,성분!$B$2:$O$51519,12,FALSE))/100*$P34</f>
        <v>0</v>
      </c>
      <c r="O34" s="167">
        <f>IF($C34="","",VLOOKUP($C34,성분!$B$2:$O$51519,13,FALSE))/100*$P34</f>
        <v>0</v>
      </c>
      <c r="P34" s="38">
        <f t="shared" si="0"/>
        <v>18</v>
      </c>
      <c r="Q34" s="17">
        <f t="shared" si="1"/>
        <v>7.3620000000000001</v>
      </c>
      <c r="R34" s="18"/>
    </row>
    <row r="35" spans="1:19" customFormat="1" ht="32.25" customHeight="1">
      <c r="A35" s="235" t="s">
        <v>1628</v>
      </c>
      <c r="B35" s="236"/>
      <c r="C35" s="236"/>
      <c r="D35" s="237"/>
      <c r="E35" s="19">
        <f>SUM(E11:E34)</f>
        <v>871.2113999999998</v>
      </c>
      <c r="F35" s="19">
        <f t="shared" ref="F35:O35" si="17">SUM(F11:F34)</f>
        <v>132.40990000000002</v>
      </c>
      <c r="G35" s="19">
        <f t="shared" si="17"/>
        <v>26.452400000000004</v>
      </c>
      <c r="H35" s="44">
        <f t="shared" si="17"/>
        <v>32.327500000000001</v>
      </c>
      <c r="I35" s="44">
        <f t="shared" si="17"/>
        <v>82.690000000000012</v>
      </c>
      <c r="J35" s="44">
        <f t="shared" si="17"/>
        <v>3.7629999999999999</v>
      </c>
      <c r="K35" s="44">
        <f t="shared" si="17"/>
        <v>49.199999999999996</v>
      </c>
      <c r="L35" s="19">
        <f t="shared" si="17"/>
        <v>0.25420000000000004</v>
      </c>
      <c r="M35" s="19">
        <f t="shared" si="17"/>
        <v>0.1358</v>
      </c>
      <c r="N35" s="19">
        <f t="shared" si="17"/>
        <v>3.2625999999999999</v>
      </c>
      <c r="O35" s="19">
        <f t="shared" si="17"/>
        <v>14.265600000000003</v>
      </c>
      <c r="P35" s="38">
        <f t="shared" si="0"/>
        <v>0</v>
      </c>
      <c r="Q35" s="17">
        <f t="shared" si="1"/>
        <v>0</v>
      </c>
      <c r="R35" s="18">
        <f t="shared" si="2"/>
        <v>0</v>
      </c>
    </row>
    <row r="36" spans="1:19" s="21" customFormat="1" ht="32.25" customHeight="1">
      <c r="A36" s="238" t="s">
        <v>1790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40"/>
      <c r="P36" s="20"/>
      <c r="Q36"/>
      <c r="R36" s="18">
        <f>INT(Q36)</f>
        <v>0</v>
      </c>
    </row>
    <row r="37" spans="1:19" customFormat="1" ht="19.5" customHeight="1">
      <c r="A37" s="220" t="s">
        <v>1629</v>
      </c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2"/>
      <c r="S37" s="18">
        <f>INT(R37)</f>
        <v>0</v>
      </c>
    </row>
    <row r="38" spans="1:19" customFormat="1" ht="20.100000000000001" customHeight="1">
      <c r="A38" s="247" t="s">
        <v>1630</v>
      </c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9"/>
      <c r="P38" s="244" t="s">
        <v>5</v>
      </c>
      <c r="Q38" s="245"/>
      <c r="R38" s="250">
        <v>5000</v>
      </c>
      <c r="S38" s="250"/>
    </row>
    <row r="39" spans="1:19" customFormat="1" ht="20.100000000000001" customHeight="1">
      <c r="A39" s="251" t="s">
        <v>1769</v>
      </c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3"/>
      <c r="P39" s="244" t="s">
        <v>6</v>
      </c>
      <c r="Q39" s="245"/>
      <c r="R39" s="250">
        <f>R38*0.72</f>
        <v>3600</v>
      </c>
      <c r="S39" s="250"/>
    </row>
    <row r="40" spans="1:19" customFormat="1" ht="20.100000000000001" customHeight="1">
      <c r="A40" s="241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3"/>
      <c r="P40" s="244" t="s">
        <v>1631</v>
      </c>
      <c r="Q40" s="245"/>
      <c r="R40" s="246">
        <v>0.72</v>
      </c>
      <c r="S40" s="246"/>
    </row>
    <row r="41" spans="1:19" customFormat="1" ht="20.100000000000001" customHeight="1">
      <c r="C41" s="3"/>
      <c r="D41" s="24"/>
      <c r="E41" s="25"/>
      <c r="F41" s="25"/>
      <c r="G41" s="22">
        <v>667</v>
      </c>
      <c r="H41" s="22">
        <v>15</v>
      </c>
      <c r="I41" s="22">
        <v>300</v>
      </c>
      <c r="J41" s="22">
        <v>5.4</v>
      </c>
      <c r="K41" s="22">
        <v>234</v>
      </c>
      <c r="L41" s="22">
        <v>0.34</v>
      </c>
      <c r="M41" s="22">
        <v>0.4</v>
      </c>
      <c r="N41" s="22">
        <v>5.26</v>
      </c>
      <c r="O41" s="22">
        <v>33.4</v>
      </c>
      <c r="P41" s="104"/>
      <c r="Q41" s="104"/>
      <c r="R41" s="23"/>
      <c r="S41" s="23"/>
    </row>
    <row r="42" spans="1:19" customFormat="1" ht="20.100000000000001" customHeight="1">
      <c r="A42" s="2"/>
      <c r="B42" s="2"/>
      <c r="C42" s="3"/>
      <c r="D42" s="4"/>
      <c r="E42" s="5"/>
      <c r="F42" s="5"/>
      <c r="G42" s="5"/>
      <c r="H42" s="5"/>
      <c r="I42" s="5"/>
      <c r="J42" s="2"/>
      <c r="K42" s="5"/>
      <c r="L42" s="5"/>
      <c r="M42" s="5"/>
      <c r="N42" s="5"/>
      <c r="O42" s="6"/>
    </row>
    <row r="43" spans="1:19" customFormat="1" ht="20.100000000000001" customHeight="1">
      <c r="A43" s="2"/>
      <c r="B43" s="2"/>
      <c r="C43" s="2"/>
      <c r="D43" s="4"/>
      <c r="E43" s="2"/>
      <c r="F43" s="2"/>
      <c r="G43" s="5"/>
      <c r="H43" s="5"/>
      <c r="I43" s="5"/>
      <c r="J43" s="5"/>
      <c r="K43" s="5"/>
      <c r="L43" s="5"/>
      <c r="M43" s="5"/>
      <c r="N43" s="5"/>
      <c r="O43" s="6"/>
    </row>
    <row r="44" spans="1:19" ht="12">
      <c r="C44" s="2"/>
    </row>
    <row r="45" spans="1:19" ht="12">
      <c r="C45" s="2"/>
    </row>
    <row r="1351" spans="4:4">
      <c r="D1351" s="2">
        <v>240</v>
      </c>
    </row>
  </sheetData>
  <mergeCells count="41">
    <mergeCell ref="P38:Q38"/>
    <mergeCell ref="A39:O39"/>
    <mergeCell ref="P39:Q39"/>
    <mergeCell ref="R39:S39"/>
    <mergeCell ref="A40:O40"/>
    <mergeCell ref="P40:Q40"/>
    <mergeCell ref="R40:S40"/>
    <mergeCell ref="R38:S38"/>
    <mergeCell ref="P6:R7"/>
    <mergeCell ref="A7:C7"/>
    <mergeCell ref="A8:C8"/>
    <mergeCell ref="O8:O9"/>
    <mergeCell ref="A9:C9"/>
    <mergeCell ref="D9:N9"/>
    <mergeCell ref="A6:N6"/>
    <mergeCell ref="O6:O7"/>
    <mergeCell ref="M7:N7"/>
    <mergeCell ref="K7:L7"/>
    <mergeCell ref="H7:J7"/>
    <mergeCell ref="F7:G7"/>
    <mergeCell ref="D7:E7"/>
    <mergeCell ref="M8:N8"/>
    <mergeCell ref="K8:L8"/>
    <mergeCell ref="H8:J8"/>
    <mergeCell ref="A35:D35"/>
    <mergeCell ref="A36:O36"/>
    <mergeCell ref="A37:O37"/>
    <mergeCell ref="A38:O38"/>
    <mergeCell ref="N2:N4"/>
    <mergeCell ref="O2:O4"/>
    <mergeCell ref="A3:B3"/>
    <mergeCell ref="C3:D3"/>
    <mergeCell ref="L5:M5"/>
    <mergeCell ref="M2:M4"/>
    <mergeCell ref="F8:G8"/>
    <mergeCell ref="D8:E8"/>
    <mergeCell ref="A1:B1"/>
    <mergeCell ref="C1:D1"/>
    <mergeCell ref="K1:K4"/>
    <mergeCell ref="D2:E2"/>
    <mergeCell ref="L2:L4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228D-1DEE-4C89-AA37-152683B8CC9D}">
  <sheetPr>
    <pageSetUpPr fitToPage="1"/>
  </sheetPr>
  <dimension ref="A1:S1347"/>
  <sheetViews>
    <sheetView view="pageBreakPreview" zoomScale="85" zoomScaleNormal="85" zoomScaleSheetLayoutView="85" workbookViewId="0">
      <pane xSplit="3" ySplit="10" topLeftCell="D21" activePane="bottomRight" state="frozen"/>
      <selection activeCell="K24" sqref="K24"/>
      <selection pane="topRight" activeCell="K24" sqref="K24"/>
      <selection pane="bottomLeft" activeCell="K24" sqref="K24"/>
      <selection pane="bottomRight" activeCell="D29" sqref="D2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83"/>
      <c r="F1" s="183"/>
      <c r="G1" s="39"/>
      <c r="K1" s="202"/>
      <c r="L1" s="184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83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45769</v>
      </c>
      <c r="D3" s="201"/>
      <c r="E3" s="183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180</v>
      </c>
      <c r="E8" s="226"/>
      <c r="F8" s="226">
        <v>118</v>
      </c>
      <c r="G8" s="226"/>
      <c r="H8" s="226">
        <v>109</v>
      </c>
      <c r="I8" s="226"/>
      <c r="J8" s="226"/>
      <c r="K8" s="226">
        <f>SUM(D8:J8)</f>
        <v>407</v>
      </c>
      <c r="L8" s="226"/>
      <c r="M8" s="226">
        <v>2</v>
      </c>
      <c r="N8" s="227"/>
      <c r="O8" s="228">
        <f>SUM(K8:N8)</f>
        <v>409</v>
      </c>
    </row>
    <row r="9" spans="1:18" s="160" customFormat="1" ht="20.100000000000001" customHeight="1">
      <c r="A9" s="230" t="s">
        <v>0</v>
      </c>
      <c r="B9" s="231"/>
      <c r="C9" s="232"/>
      <c r="D9" s="233" t="s">
        <v>2426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80" t="s">
        <v>1626</v>
      </c>
      <c r="Q10" s="181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2351</v>
      </c>
      <c r="C11" s="169" t="s">
        <v>140</v>
      </c>
      <c r="D11" s="168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165">
        <f t="shared" ref="P11:P31" si="0">D11</f>
        <v>100</v>
      </c>
      <c r="Q11" s="162">
        <f t="shared" ref="Q11:Q31" si="1">($O$8*P11)/1000</f>
        <v>40.9</v>
      </c>
      <c r="R11" s="18">
        <f t="shared" ref="R11:R31" si="2">INT(Q11)</f>
        <v>40</v>
      </c>
    </row>
    <row r="12" spans="1:18" s="160" customFormat="1" ht="27.75" customHeight="1">
      <c r="A12" s="166">
        <f t="shared" ref="A12:A30" si="3">ROW()-10</f>
        <v>2</v>
      </c>
      <c r="B12" s="171"/>
      <c r="C12" s="169" t="s">
        <v>2422</v>
      </c>
      <c r="D12" s="168">
        <v>30</v>
      </c>
      <c r="E12" s="168">
        <f>IF($C12="","",VLOOKUP($C12,성분!$B$2:$O$51519,3,FALSE))/100*P12</f>
        <v>55.800000000000004</v>
      </c>
      <c r="F12" s="168">
        <f>IF($C12="","",VLOOKUP($C12,성분!$B$2:$O$51519,5,FALSE))/100*$P12</f>
        <v>0</v>
      </c>
      <c r="G12" s="168">
        <f>IF($C12="","",VLOOKUP($C12,성분!$B$2:$O$51519,4,FALSE))/100*$P12</f>
        <v>5.94</v>
      </c>
      <c r="H12" s="168">
        <f>IF($C12="","",VLOOKUP($C12,성분!$B$2:$O$51519,6,FALSE))/100*$P12</f>
        <v>3.39</v>
      </c>
      <c r="I12" s="168">
        <f>IF($C12="","",VLOOKUP($C12,성분!$B$2:$O$51519,7,FALSE))/100*$P12</f>
        <v>1.7999999999999998</v>
      </c>
      <c r="J12" s="168">
        <f>IF($C12="","",VLOOKUP($C12,성분!$B$2:$O$51519,8,FALSE))/100*$P12</f>
        <v>0.20999999999999996</v>
      </c>
      <c r="K12" s="168">
        <f>IF($C12="","",VLOOKUP($C12,성분!$B$2:$O$51519,9,FALSE))/100*$P12</f>
        <v>0</v>
      </c>
      <c r="L12" s="168">
        <f>IF($C12="","",VLOOKUP($C12,성분!$B$2:$O$51519,10,FALSE))/100*$P12</f>
        <v>0.20999999999999996</v>
      </c>
      <c r="M12" s="168">
        <f>IF($C12="","",VLOOKUP($C12,성분!$B$2:$O$51519,11,FALSE))/100*$P12</f>
        <v>0.03</v>
      </c>
      <c r="N12" s="168">
        <f>IF($C12="","",VLOOKUP($C12,성분!$B$2:$O$51519,12,FALSE))/100*$P12</f>
        <v>1.47</v>
      </c>
      <c r="O12" s="167">
        <f>IF($C12="","",VLOOKUP($C12,성분!$B$2:$O$51519,13,FALSE))/100*$P12</f>
        <v>0.33</v>
      </c>
      <c r="P12" s="165">
        <f t="shared" si="0"/>
        <v>30</v>
      </c>
      <c r="Q12" s="162">
        <f t="shared" si="1"/>
        <v>12.27</v>
      </c>
      <c r="R12" s="18">
        <f t="shared" si="2"/>
        <v>12</v>
      </c>
    </row>
    <row r="13" spans="1:18" s="160" customFormat="1" ht="27.75" customHeight="1">
      <c r="A13" s="166">
        <f t="shared" si="3"/>
        <v>3</v>
      </c>
      <c r="B13" s="171"/>
      <c r="C13" s="169" t="s">
        <v>2260</v>
      </c>
      <c r="D13" s="168">
        <v>50</v>
      </c>
      <c r="E13" s="168">
        <f>IF($C13="","",VLOOKUP($C13,성분!$B$2:$O$51519,3,FALSE))/100*P13</f>
        <v>90.5</v>
      </c>
      <c r="F13" s="168">
        <f>IF($C13="","",VLOOKUP($C13,성분!$B$2:$O$51519,5,FALSE))/100*$P13</f>
        <v>0</v>
      </c>
      <c r="G13" s="168">
        <f>IF($C13="","",VLOOKUP($C13,성분!$B$2:$O$51519,4,FALSE))/100*$P13</f>
        <v>7.5</v>
      </c>
      <c r="H13" s="168">
        <f>IF($C13="","",VLOOKUP($C13,성분!$B$2:$O$51519,6,FALSE))/100*$P13</f>
        <v>6.15</v>
      </c>
      <c r="I13" s="168">
        <f>IF($C13="","",VLOOKUP($C13,성분!$B$2:$O$51519,7,FALSE))/100*$P13</f>
        <v>0.5</v>
      </c>
      <c r="J13" s="168">
        <f>IF($C13="","",VLOOKUP($C13,성분!$B$2:$O$51519,8,FALSE))/100*$P13</f>
        <v>1</v>
      </c>
      <c r="K13" s="168">
        <f>IF($C13="","",VLOOKUP($C13,성분!$B$2:$O$51519,9,FALSE))/100*$P13</f>
        <v>1</v>
      </c>
      <c r="L13" s="168">
        <f>IF($C13="","",VLOOKUP($C13,성분!$B$2:$O$51519,10,FALSE))/100*$P13</f>
        <v>0.22</v>
      </c>
      <c r="M13" s="168">
        <f>IF($C13="","",VLOOKUP($C13,성분!$B$2:$O$51519,11,FALSE))/100*$P13</f>
        <v>8.5000000000000006E-2</v>
      </c>
      <c r="N13" s="168">
        <f>IF($C13="","",VLOOKUP($C13,성분!$B$2:$O$51519,12,FALSE))/100*$P13</f>
        <v>1.7000000000000002</v>
      </c>
      <c r="O13" s="167">
        <f>IF($C13="","",VLOOKUP($C13,성분!$B$2:$O$51519,13,FALSE))/100*$P13</f>
        <v>0</v>
      </c>
      <c r="P13" s="165">
        <f t="shared" si="0"/>
        <v>50</v>
      </c>
      <c r="Q13" s="162">
        <f t="shared" si="1"/>
        <v>20.45</v>
      </c>
      <c r="R13" s="18">
        <f t="shared" si="2"/>
        <v>20</v>
      </c>
    </row>
    <row r="14" spans="1:18" s="160" customFormat="1" ht="27.75" customHeight="1">
      <c r="A14" s="166">
        <f t="shared" si="3"/>
        <v>4</v>
      </c>
      <c r="B14" s="171"/>
      <c r="C14" s="169" t="s">
        <v>2261</v>
      </c>
      <c r="D14" s="168">
        <v>90</v>
      </c>
      <c r="E14" s="168">
        <f>IF($C14="","",VLOOKUP($C14,성분!$B$2:$O$51519,3,FALSE))/100*P14</f>
        <v>110.7</v>
      </c>
      <c r="F14" s="168">
        <f>IF($C14="","",VLOOKUP($C14,성분!$B$2:$O$51519,5,FALSE))/100*$P14</f>
        <v>0</v>
      </c>
      <c r="G14" s="168">
        <f>IF($C14="","",VLOOKUP($C14,성분!$B$2:$O$51519,4,FALSE))/100*$P14</f>
        <v>6.48</v>
      </c>
      <c r="H14" s="168">
        <f>IF($C14="","",VLOOKUP($C14,성분!$B$2:$O$51519,6,FALSE))/100*$P14</f>
        <v>14.850000000000001</v>
      </c>
      <c r="I14" s="168">
        <f>IF($C14="","",VLOOKUP($C14,성분!$B$2:$O$51519,7,FALSE))/100*$P14</f>
        <v>0.9</v>
      </c>
      <c r="J14" s="168">
        <f>IF($C14="","",VLOOKUP($C14,성분!$B$2:$O$51519,8,FALSE))/100*$P14</f>
        <v>0.9</v>
      </c>
      <c r="K14" s="168">
        <f>IF($C14="","",VLOOKUP($C14,성분!$B$2:$O$51519,9,FALSE))/100*$P14</f>
        <v>14.4</v>
      </c>
      <c r="L14" s="168">
        <f>IF($C14="","",VLOOKUP($C14,성분!$B$2:$O$51519,10,FALSE))/100*$P14</f>
        <v>0.09</v>
      </c>
      <c r="M14" s="168">
        <f>IF($C14="","",VLOOKUP($C14,성분!$B$2:$O$51519,11,FALSE))/100*$P14</f>
        <v>7.2000000000000008E-2</v>
      </c>
      <c r="N14" s="168">
        <f>IF($C14="","",VLOOKUP($C14,성분!$B$2:$O$51519,12,FALSE))/100*$P14</f>
        <v>0.78299999999999992</v>
      </c>
      <c r="O14" s="167">
        <f>IF($C14="","",VLOOKUP($C14,성분!$B$2:$O$51519,13,FALSE))/100*$P14</f>
        <v>0</v>
      </c>
      <c r="P14" s="165">
        <f t="shared" si="0"/>
        <v>90</v>
      </c>
      <c r="Q14" s="162">
        <f t="shared" si="1"/>
        <v>36.81</v>
      </c>
      <c r="R14" s="18"/>
    </row>
    <row r="15" spans="1:18" s="160" customFormat="1" ht="27.75" customHeight="1">
      <c r="A15" s="166">
        <f t="shared" si="3"/>
        <v>5</v>
      </c>
      <c r="B15" s="171"/>
      <c r="C15" s="169" t="s">
        <v>2392</v>
      </c>
      <c r="D15" s="168">
        <v>30</v>
      </c>
      <c r="E15" s="168">
        <f>IF($C15="","",VLOOKUP($C15,성분!$B$2:$O$51519,3,FALSE))/100*P15</f>
        <v>3.3</v>
      </c>
      <c r="F15" s="168">
        <f>IF($C15="","",VLOOKUP($C15,성분!$B$2:$O$51519,5,FALSE))/100*$P15</f>
        <v>0.39</v>
      </c>
      <c r="G15" s="168">
        <f>IF($C15="","",VLOOKUP($C15,성분!$B$2:$O$51519,4,FALSE))/100*$P15</f>
        <v>0.66</v>
      </c>
      <c r="H15" s="168">
        <f>IF($C15="","",VLOOKUP($C15,성분!$B$2:$O$51519,6,FALSE))/100*$P15</f>
        <v>0.03</v>
      </c>
      <c r="I15" s="168">
        <f>IF($C15="","",VLOOKUP($C15,성분!$B$2:$O$51519,7,FALSE))/100*$P15</f>
        <v>4.5</v>
      </c>
      <c r="J15" s="168">
        <f>IF($C15="","",VLOOKUP($C15,성분!$B$2:$O$51519,8,FALSE))/100*$P15</f>
        <v>0.18</v>
      </c>
      <c r="K15" s="168">
        <f>IF($C15="","",VLOOKUP($C15,성분!$B$2:$O$51519,9,FALSE))/100*$P15</f>
        <v>1.2</v>
      </c>
      <c r="L15" s="168">
        <f>IF($C15="","",VLOOKUP($C15,성분!$B$2:$O$51519,10,FALSE))/100*$P15</f>
        <v>1.2E-2</v>
      </c>
      <c r="M15" s="168">
        <f>IF($C15="","",VLOOKUP($C15,성분!$B$2:$O$51519,11,FALSE))/100*$P15</f>
        <v>1.4999999999999999E-2</v>
      </c>
      <c r="N15" s="168">
        <f>IF($C15="","",VLOOKUP($C15,성분!$B$2:$O$51519,12,FALSE))/100*$P15</f>
        <v>0.15</v>
      </c>
      <c r="O15" s="167">
        <f>IF($C15="","",VLOOKUP($C15,성분!$B$2:$O$51519,13,FALSE))/100*$P15</f>
        <v>3</v>
      </c>
      <c r="P15" s="165">
        <f t="shared" si="0"/>
        <v>30</v>
      </c>
      <c r="Q15" s="162">
        <f t="shared" si="1"/>
        <v>12.27</v>
      </c>
      <c r="R15" s="18">
        <f t="shared" ref="R15" si="4">INT(Q15)</f>
        <v>12</v>
      </c>
    </row>
    <row r="16" spans="1:18" s="160" customFormat="1" ht="27.75" customHeight="1">
      <c r="A16" s="166">
        <f t="shared" si="3"/>
        <v>6</v>
      </c>
      <c r="B16" s="171"/>
      <c r="C16" s="169" t="s">
        <v>2423</v>
      </c>
      <c r="D16" s="168">
        <v>20</v>
      </c>
      <c r="E16" s="168">
        <f>IF($C16="","",VLOOKUP($C16,성분!$B$2:$O$51519,3,FALSE))/100*P16</f>
        <v>6.2</v>
      </c>
      <c r="F16" s="168">
        <f>IF($C16="","",VLOOKUP($C16,성분!$B$2:$O$51519,5,FALSE))/100*$P16</f>
        <v>1.2560000000000002</v>
      </c>
      <c r="G16" s="168">
        <f>IF($C16="","",VLOOKUP($C16,성분!$B$2:$O$51519,4,FALSE))/100*$P16</f>
        <v>0.27999999999999997</v>
      </c>
      <c r="H16" s="168">
        <f>IF($C16="","",VLOOKUP($C16,성분!$B$2:$O$51519,6,FALSE))/100*$P16</f>
        <v>0.26800000000000002</v>
      </c>
      <c r="I16" s="168">
        <f>IF($C16="","",VLOOKUP($C16,성분!$B$2:$O$51519,7,FALSE))/100*$P16</f>
        <v>7.6</v>
      </c>
      <c r="J16" s="168">
        <f>IF($C16="","",VLOOKUP($C16,성분!$B$2:$O$51519,8,FALSE))/100*$P16</f>
        <v>0.08</v>
      </c>
      <c r="K16" s="168">
        <f>IF($C16="","",VLOOKUP($C16,성분!$B$2:$O$51519,9,FALSE))/100*$P16</f>
        <v>0.6</v>
      </c>
      <c r="L16" s="168">
        <f>IF($C16="","",VLOOKUP($C16,성분!$B$2:$O$51519,10,FALSE))/100*$P16</f>
        <v>8.0000000000000002E-3</v>
      </c>
      <c r="M16" s="168">
        <f>IF($C16="","",VLOOKUP($C16,성분!$B$2:$O$51519,11,FALSE))/100*$P16</f>
        <v>8.0000000000000002E-3</v>
      </c>
      <c r="N16" s="168">
        <f>IF($C16="","",VLOOKUP($C16,성분!$B$2:$O$51519,12,FALSE))/100*$P16</f>
        <v>0.06</v>
      </c>
      <c r="O16" s="167">
        <f>IF($C16="","",VLOOKUP($C16,성분!$B$2:$O$51519,13,FALSE))/100*$P16</f>
        <v>5.8</v>
      </c>
      <c r="P16" s="165">
        <f t="shared" si="0"/>
        <v>20</v>
      </c>
      <c r="Q16" s="162">
        <f t="shared" si="1"/>
        <v>8.18</v>
      </c>
      <c r="R16" s="18"/>
    </row>
    <row r="17" spans="1:18" s="160" customFormat="1" ht="27.75" customHeight="1">
      <c r="A17" s="166">
        <f t="shared" si="3"/>
        <v>7</v>
      </c>
      <c r="B17" s="171"/>
      <c r="C17" s="169" t="s">
        <v>2352</v>
      </c>
      <c r="D17" s="168">
        <v>3</v>
      </c>
      <c r="E17" s="168">
        <f>IF($C17="","",VLOOKUP($C17,성분!$B$2:$O$51519,3,FALSE))/100*P17</f>
        <v>0.39</v>
      </c>
      <c r="F17" s="168">
        <f>IF($C17="","",VLOOKUP($C17,성분!$B$2:$O$51519,5,FALSE))/100*$P17</f>
        <v>0.129</v>
      </c>
      <c r="G17" s="168">
        <f>IF($C17="","",VLOOKUP($C17,성분!$B$2:$O$51519,4,FALSE))/100*$P17</f>
        <v>4.4999999999999998E-2</v>
      </c>
      <c r="H17" s="168">
        <f>IF($C17="","",VLOOKUP($C17,성분!$B$2:$O$51519,6,FALSE))/100*$P17</f>
        <v>4.5000000000000005E-3</v>
      </c>
      <c r="I17" s="168">
        <f>IF($C17="","",VLOOKUP($C17,성분!$B$2:$O$51519,7,FALSE))/100*$P17</f>
        <v>2.25</v>
      </c>
      <c r="J17" s="168">
        <f>IF($C17="","",VLOOKUP($C17,성분!$B$2:$O$51519,8,FALSE))/100*$P17</f>
        <v>2.4E-2</v>
      </c>
      <c r="K17" s="168">
        <f>IF($C17="","",VLOOKUP($C17,성분!$B$2:$O$51519,9,FALSE))/100*$P17</f>
        <v>6.6000000000000005</v>
      </c>
      <c r="L17" s="168">
        <f>IF($C17="","",VLOOKUP($C17,성분!$B$2:$O$51519,10,FALSE))/100*$P17</f>
        <v>1.5E-3</v>
      </c>
      <c r="M17" s="168">
        <f>IF($C17="","",VLOOKUP($C17,성분!$B$2:$O$51519,11,FALSE))/100*$P17</f>
        <v>2.4000000000000002E-3</v>
      </c>
      <c r="N17" s="168">
        <f>IF($C17="","",VLOOKUP($C17,성분!$B$2:$O$51519,12,FALSE))/100*$P17</f>
        <v>1.2E-2</v>
      </c>
      <c r="O17" s="167">
        <f>IF($C17="","",VLOOKUP($C17,성분!$B$2:$O$51519,13,FALSE))/100*$P17</f>
        <v>0.72</v>
      </c>
      <c r="P17" s="165">
        <f t="shared" si="0"/>
        <v>3</v>
      </c>
      <c r="Q17" s="162">
        <f t="shared" si="1"/>
        <v>1.2270000000000001</v>
      </c>
      <c r="R17" s="18">
        <f t="shared" ref="R17" si="5">INT(Q17)</f>
        <v>1</v>
      </c>
    </row>
    <row r="18" spans="1:18" s="160" customFormat="1" ht="27.75" customHeight="1">
      <c r="A18" s="166">
        <f t="shared" si="3"/>
        <v>8</v>
      </c>
      <c r="B18" s="171"/>
      <c r="C18" s="169" t="s">
        <v>2424</v>
      </c>
      <c r="D18" s="168">
        <v>7</v>
      </c>
      <c r="E18" s="168">
        <f>IF($C18="","",VLOOKUP($C18,성분!$B$2:$O$51519,3,FALSE))/100*P18</f>
        <v>3.71</v>
      </c>
      <c r="F18" s="168">
        <f>IF($C18="","",VLOOKUP($C18,성분!$B$2:$O$51519,5,FALSE))/100*$P18</f>
        <v>0.19319999999999998</v>
      </c>
      <c r="G18" s="168">
        <f>IF($C18="","",VLOOKUP($C18,성분!$B$2:$O$51519,4,FALSE))/100*$P18</f>
        <v>0.105</v>
      </c>
      <c r="H18" s="168">
        <f>IF($C18="","",VLOOKUP($C18,성분!$B$2:$O$51519,6,FALSE))/100*$P18</f>
        <v>1.1900000000000001E-2</v>
      </c>
      <c r="I18" s="168">
        <f>IF($C18="","",VLOOKUP($C18,성분!$B$2:$O$51519,7,FALSE))/100*$P18</f>
        <v>0.91</v>
      </c>
      <c r="J18" s="168">
        <f>IF($C18="","",VLOOKUP($C18,성분!$B$2:$O$51519,8,FALSE))/100*$P18</f>
        <v>5.6000000000000001E-2</v>
      </c>
      <c r="K18" s="168">
        <f>IF($C18="","",VLOOKUP($C18,성분!$B$2:$O$51519,9,FALSE))/100*$P18</f>
        <v>0</v>
      </c>
      <c r="L18" s="168">
        <f>IF($C18="","",VLOOKUP($C18,성분!$B$2:$O$51519,10,FALSE))/100*$P18</f>
        <v>2.0999999999999999E-3</v>
      </c>
      <c r="M18" s="168">
        <f>IF($C18="","",VLOOKUP($C18,성분!$B$2:$O$51519,11,FALSE))/100*$P18</f>
        <v>2.8E-3</v>
      </c>
      <c r="N18" s="168">
        <f>IF($C18="","",VLOOKUP($C18,성분!$B$2:$O$51519,12,FALSE))/100*$P18</f>
        <v>7.0000000000000007E-2</v>
      </c>
      <c r="O18" s="167">
        <f>IF($C18="","",VLOOKUP($C18,성분!$B$2:$O$51519,13,FALSE))/100*$P18</f>
        <v>0.35000000000000003</v>
      </c>
      <c r="P18" s="165">
        <f t="shared" si="0"/>
        <v>7</v>
      </c>
      <c r="Q18" s="162">
        <f t="shared" si="1"/>
        <v>2.863</v>
      </c>
      <c r="R18" s="18"/>
    </row>
    <row r="19" spans="1:18" s="160" customFormat="1" ht="27.75" customHeight="1">
      <c r="A19" s="166">
        <f t="shared" si="3"/>
        <v>9</v>
      </c>
      <c r="B19" s="171" t="s">
        <v>2353</v>
      </c>
      <c r="C19" s="169" t="s">
        <v>433</v>
      </c>
      <c r="D19" s="168">
        <v>10</v>
      </c>
      <c r="E19" s="168">
        <f>IF($C19="","",VLOOKUP($C19,성분!$B$2:$O$51519,3,FALSE))/100*P19</f>
        <v>3.2</v>
      </c>
      <c r="F19" s="168">
        <f>IF($C19="","",VLOOKUP($C19,성분!$B$2:$O$51519,5,FALSE))/100*$P19</f>
        <v>0.55399999999999994</v>
      </c>
      <c r="G19" s="168">
        <f>IF($C19="","",VLOOKUP($C19,성분!$B$2:$O$51519,4,FALSE))/100*$P19</f>
        <v>0.28999999999999998</v>
      </c>
      <c r="H19" s="168">
        <f>IF($C19="","",VLOOKUP($C19,성분!$B$2:$O$51519,6,FALSE))/100*$P19</f>
        <v>2.5999999999999999E-2</v>
      </c>
      <c r="I19" s="168">
        <f>IF($C19="","",VLOOKUP($C19,성분!$B$2:$O$51519,7,FALSE))/100*$P19</f>
        <v>0.2</v>
      </c>
      <c r="J19" s="168">
        <f>IF($C19="","",VLOOKUP($C19,성분!$B$2:$O$51519,8,FALSE))/100*$P19</f>
        <v>0.1</v>
      </c>
      <c r="K19" s="168">
        <f>IF($C19="","",VLOOKUP($C19,성분!$B$2:$O$51519,9,FALSE))/100*$P19</f>
        <v>0</v>
      </c>
      <c r="L19" s="168">
        <f>IF($C19="","",VLOOKUP($C19,성분!$B$2:$O$51519,10,FALSE))/100*$P19</f>
        <v>2.8000000000000004E-2</v>
      </c>
      <c r="M19" s="168">
        <f>IF($C19="","",VLOOKUP($C19,성분!$B$2:$O$51519,11,FALSE))/100*$P19</f>
        <v>0.02</v>
      </c>
      <c r="N19" s="168">
        <f>IF($C19="","",VLOOKUP($C19,성분!$B$2:$O$51519,12,FALSE))/100*$P19</f>
        <v>0.55999999999999994</v>
      </c>
      <c r="O19" s="167">
        <f>IF($C19="","",VLOOKUP($C19,성분!$B$2:$O$51519,13,FALSE))/100*$P19</f>
        <v>0.2</v>
      </c>
      <c r="P19" s="165">
        <f t="shared" si="0"/>
        <v>10</v>
      </c>
      <c r="Q19" s="162">
        <f t="shared" si="1"/>
        <v>4.09</v>
      </c>
      <c r="R19" s="18">
        <f t="shared" si="2"/>
        <v>4</v>
      </c>
    </row>
    <row r="20" spans="1:18" s="160" customFormat="1" ht="27.75" customHeight="1">
      <c r="A20" s="166">
        <f t="shared" si="3"/>
        <v>10</v>
      </c>
      <c r="B20" s="171"/>
      <c r="C20" s="169" t="s">
        <v>395</v>
      </c>
      <c r="D20" s="168">
        <v>20</v>
      </c>
      <c r="E20" s="168">
        <f>IF($C20="","",VLOOKUP($C20,성분!$B$2:$O$51519,3,FALSE))/100*P20</f>
        <v>15.8</v>
      </c>
      <c r="F20" s="168">
        <f>IF($C20="","",VLOOKUP($C20,성분!$B$2:$O$51519,5,FALSE))/100*$P20</f>
        <v>0.7400000000000001</v>
      </c>
      <c r="G20" s="168">
        <f>IF($C20="","",VLOOKUP($C20,성분!$B$2:$O$51519,4,FALSE))/100*$P20</f>
        <v>1.6800000000000002</v>
      </c>
      <c r="H20" s="168">
        <f>IF($C20="","",VLOOKUP($C20,성분!$B$2:$O$51519,6,FALSE))/100*$P20</f>
        <v>0.70000000000000007</v>
      </c>
      <c r="I20" s="168">
        <f>IF($C20="","",VLOOKUP($C20,성분!$B$2:$O$51519,7,FALSE))/100*$P20</f>
        <v>31.8</v>
      </c>
      <c r="J20" s="168">
        <f>IF($C20="","",VLOOKUP($C20,성분!$B$2:$O$51519,8,FALSE))/100*$P20</f>
        <v>0.52</v>
      </c>
      <c r="K20" s="168">
        <f>IF($C20="","",VLOOKUP($C20,성분!$B$2:$O$51519,9,FALSE))/100*$P20</f>
        <v>0</v>
      </c>
      <c r="L20" s="168">
        <f>IF($C20="","",VLOOKUP($C20,성분!$B$2:$O$51519,10,FALSE))/100*$P20</f>
        <v>0.01</v>
      </c>
      <c r="M20" s="168">
        <f>IF($C20="","",VLOOKUP($C20,성분!$B$2:$O$51519,11,FALSE))/100*$P20</f>
        <v>8.0000000000000002E-3</v>
      </c>
      <c r="N20" s="168">
        <f>IF($C20="","",VLOOKUP($C20,성분!$B$2:$O$51519,12,FALSE))/100*$P20</f>
        <v>0.13999999999999999</v>
      </c>
      <c r="O20" s="167">
        <f>IF($C20="","",VLOOKUP($C20,성분!$B$2:$O$51519,13,FALSE))/100*$P20</f>
        <v>0</v>
      </c>
      <c r="P20" s="165">
        <f t="shared" si="0"/>
        <v>20</v>
      </c>
      <c r="Q20" s="162">
        <f t="shared" si="1"/>
        <v>8.18</v>
      </c>
      <c r="R20" s="18"/>
    </row>
    <row r="21" spans="1:18" s="160" customFormat="1" ht="27.75" customHeight="1">
      <c r="A21" s="166">
        <f t="shared" si="3"/>
        <v>11</v>
      </c>
      <c r="B21" s="171"/>
      <c r="C21" s="169" t="s">
        <v>2193</v>
      </c>
      <c r="D21" s="168">
        <v>25</v>
      </c>
      <c r="E21" s="168">
        <f>IF($C21="","",VLOOKUP($C21,성분!$B$2:$O$51519,3,FALSE))/100*P21</f>
        <v>4.5</v>
      </c>
      <c r="F21" s="168">
        <f>IF($C21="","",VLOOKUP($C21,성분!$B$2:$O$51519,5,FALSE))/100*$P21</f>
        <v>1.0449999999999999</v>
      </c>
      <c r="G21" s="168">
        <f>IF($C21="","",VLOOKUP($C21,성분!$B$2:$O$51519,4,FALSE))/100*$P21</f>
        <v>0.2</v>
      </c>
      <c r="H21" s="168">
        <f>IF($C21="","",VLOOKUP($C21,성분!$B$2:$O$51519,6,FALSE))/100*$P21</f>
        <v>0.05</v>
      </c>
      <c r="I21" s="168">
        <f>IF($C21="","",VLOOKUP($C21,성분!$B$2:$O$51519,7,FALSE))/100*$P21</f>
        <v>6.25</v>
      </c>
      <c r="J21" s="168">
        <f>IF($C21="","",VLOOKUP($C21,성분!$B$2:$O$51519,8,FALSE))/100*$P21</f>
        <v>0.19500000000000001</v>
      </c>
      <c r="K21" s="168">
        <f>IF($C21="","",VLOOKUP($C21,성분!$B$2:$O$51519,9,FALSE))/100*$P21</f>
        <v>3.75</v>
      </c>
      <c r="L21" s="168">
        <f>IF($C21="","",VLOOKUP($C21,성분!$B$2:$O$51519,10,FALSE))/100*$P21</f>
        <v>7.4999999999999997E-3</v>
      </c>
      <c r="M21" s="168">
        <f>IF($C21="","",VLOOKUP($C21,성분!$B$2:$O$51519,11,FALSE))/100*$P21</f>
        <v>1.4999999999999999E-2</v>
      </c>
      <c r="N21" s="168">
        <f>IF($C21="","",VLOOKUP($C21,성분!$B$2:$O$51519,12,FALSE))/100*$P21</f>
        <v>5.2499999999999998E-2</v>
      </c>
      <c r="O21" s="167">
        <f>IF($C21="","",VLOOKUP($C21,성분!$B$2:$O$51519,13,FALSE))/100*$P21</f>
        <v>0.8</v>
      </c>
      <c r="P21" s="165">
        <f t="shared" si="0"/>
        <v>25</v>
      </c>
      <c r="Q21" s="162">
        <f t="shared" si="1"/>
        <v>10.225</v>
      </c>
      <c r="R21" s="18"/>
    </row>
    <row r="22" spans="1:18" s="160" customFormat="1" ht="27.75" customHeight="1">
      <c r="A22" s="166">
        <f t="shared" si="3"/>
        <v>12</v>
      </c>
      <c r="B22" s="171"/>
      <c r="C22" s="169" t="s">
        <v>1239</v>
      </c>
      <c r="D22" s="168">
        <v>5</v>
      </c>
      <c r="E22" s="168">
        <f>IF($C22="","",VLOOKUP($C22,성분!$B$2:$O$51519,3,FALSE))/100*P22</f>
        <v>1.3</v>
      </c>
      <c r="F22" s="168">
        <f>IF($C22="","",VLOOKUP($C22,성분!$B$2:$O$51519,5,FALSE))/100*$P22</f>
        <v>0.223</v>
      </c>
      <c r="G22" s="168">
        <f>IF($C22="","",VLOOKUP($C22,성분!$B$2:$O$51519,4,FALSE))/100*$P22</f>
        <v>0</v>
      </c>
      <c r="H22" s="168">
        <f>IF($C22="","",VLOOKUP($C22,성분!$B$2:$O$51519,6,FALSE))/100*$P22</f>
        <v>1.2999999999999999E-2</v>
      </c>
      <c r="I22" s="168">
        <f>IF($C22="","",VLOOKUP($C22,성분!$B$2:$O$51519,7,FALSE))/100*$P22</f>
        <v>4.0500000000000007</v>
      </c>
      <c r="J22" s="168">
        <f>IF($C22="","",VLOOKUP($C22,성분!$B$2:$O$51519,8,FALSE))/100*$P22</f>
        <v>0.05</v>
      </c>
      <c r="K22" s="168">
        <f>IF($C22="","",VLOOKUP($C22,성분!$B$2:$O$51519,9,FALSE))/100*$P22</f>
        <v>6.45</v>
      </c>
      <c r="L22" s="168">
        <f>IF($C22="","",VLOOKUP($C22,성분!$B$2:$O$51519,10,FALSE))/100*$P22</f>
        <v>2.9999999999999996E-3</v>
      </c>
      <c r="M22" s="168">
        <f>IF($C22="","",VLOOKUP($C22,성분!$B$2:$O$51519,11,FALSE))/100*$P22</f>
        <v>4.4999999999999997E-3</v>
      </c>
      <c r="N22" s="168">
        <f>IF($C22="","",VLOOKUP($C22,성분!$B$2:$O$51519,12,FALSE))/100*$P22</f>
        <v>0.03</v>
      </c>
      <c r="O22" s="167">
        <f>IF($C22="","",VLOOKUP($C22,성분!$B$2:$O$51519,13,FALSE))/100*$P22</f>
        <v>1.05</v>
      </c>
      <c r="P22" s="165">
        <f t="shared" si="0"/>
        <v>5</v>
      </c>
      <c r="Q22" s="162">
        <f t="shared" si="1"/>
        <v>2.0449999999999999</v>
      </c>
      <c r="R22" s="18"/>
    </row>
    <row r="23" spans="1:18" s="160" customFormat="1" ht="27.75" customHeight="1">
      <c r="A23" s="166">
        <f t="shared" si="3"/>
        <v>13</v>
      </c>
      <c r="B23" s="171"/>
      <c r="C23" s="169" t="s">
        <v>2396</v>
      </c>
      <c r="D23" s="168">
        <v>3</v>
      </c>
      <c r="E23" s="168">
        <f>IF($C23="","",VLOOKUP($C23,성분!$B$2:$O$51519,3,FALSE))/100*P23</f>
        <v>5.67</v>
      </c>
      <c r="F23" s="168">
        <f>IF($C23="","",VLOOKUP($C23,성분!$B$2:$O$51519,5,FALSE))/100*$P23</f>
        <v>1.3560000000000001</v>
      </c>
      <c r="G23" s="168">
        <f>IF($C23="","",VLOOKUP($C23,성분!$B$2:$O$51519,4,FALSE))/100*$P23</f>
        <v>0.22200000000000003</v>
      </c>
      <c r="H23" s="168">
        <f>IF($C23="","",VLOOKUP($C23,성분!$B$2:$O$51519,6,FALSE))/100*$P23</f>
        <v>3.3000000000000002E-2</v>
      </c>
      <c r="I23" s="168">
        <f>IF($C23="","",VLOOKUP($C23,성분!$B$2:$O$51519,7,FALSE))/100*$P23</f>
        <v>21.240000000000002</v>
      </c>
      <c r="J23" s="168">
        <f>IF($C23="","",VLOOKUP($C23,성분!$B$2:$O$51519,8,FALSE))/100*$P23</f>
        <v>0.189</v>
      </c>
      <c r="K23" s="168">
        <f>IF($C23="","",VLOOKUP($C23,성분!$B$2:$O$51519,9,FALSE))/100*$P23</f>
        <v>2.88</v>
      </c>
      <c r="L23" s="168">
        <f>IF($C23="","",VLOOKUP($C23,성분!$B$2:$O$51519,10,FALSE))/100*$P23</f>
        <v>6.6E-3</v>
      </c>
      <c r="M23" s="168">
        <f>IF($C23="","",VLOOKUP($C23,성분!$B$2:$O$51519,11,FALSE))/100*$P23</f>
        <v>1.3500000000000002E-2</v>
      </c>
      <c r="N23" s="168">
        <f>IF($C23="","",VLOOKUP($C23,성분!$B$2:$O$51519,12,FALSE))/100*$P23</f>
        <v>0.13500000000000001</v>
      </c>
      <c r="O23" s="167">
        <f>IF($C23="","",VLOOKUP($C23,성분!$B$2:$O$51519,13,FALSE))/100*$P23</f>
        <v>0.54</v>
      </c>
      <c r="P23" s="165">
        <f t="shared" ref="P23:P24" si="6">D23</f>
        <v>3</v>
      </c>
      <c r="Q23" s="162">
        <f t="shared" ref="Q23:Q24" si="7">($O$8*P23)/1000</f>
        <v>1.2270000000000001</v>
      </c>
      <c r="R23" s="18"/>
    </row>
    <row r="24" spans="1:18" s="160" customFormat="1" ht="27.75" customHeight="1">
      <c r="A24" s="166">
        <f t="shared" si="3"/>
        <v>14</v>
      </c>
      <c r="B24" s="171"/>
      <c r="C24" s="169" t="s">
        <v>2397</v>
      </c>
      <c r="D24" s="168">
        <v>3</v>
      </c>
      <c r="E24" s="168">
        <f>IF($C24="","",VLOOKUP($C24,성분!$B$2:$O$51519,3,FALSE))/100*P24</f>
        <v>9.09</v>
      </c>
      <c r="F24" s="168">
        <f>IF($C24="","",VLOOKUP($C24,성분!$B$2:$O$51519,5,FALSE))/100*$P24</f>
        <v>9.0000000000000011E-3</v>
      </c>
      <c r="G24" s="168">
        <f>IF($C24="","",VLOOKUP($C24,성분!$B$2:$O$51519,4,FALSE))/100*$P24</f>
        <v>0.99</v>
      </c>
      <c r="H24" s="168">
        <f>IF($C24="","",VLOOKUP($C24,성분!$B$2:$O$51519,6,FALSE))/100*$P24</f>
        <v>0.21899999999999997</v>
      </c>
      <c r="I24" s="168">
        <f>IF($C24="","",VLOOKUP($C24,성분!$B$2:$O$51519,7,FALSE))/100*$P24</f>
        <v>51</v>
      </c>
      <c r="J24" s="168">
        <f>IF($C24="","",VLOOKUP($C24,성분!$B$2:$O$51519,8,FALSE))/100*$P24</f>
        <v>0.12</v>
      </c>
      <c r="K24" s="168">
        <f>IF($C24="","",VLOOKUP($C24,성분!$B$2:$O$51519,9,FALSE))/100*$P24</f>
        <v>0</v>
      </c>
      <c r="L24" s="168">
        <f>IF($C24="","",VLOOKUP($C24,성분!$B$2:$O$51519,10,FALSE))/100*$P24</f>
        <v>4.2000000000000006E-3</v>
      </c>
      <c r="M24" s="168">
        <f>IF($C24="","",VLOOKUP($C24,성분!$B$2:$O$51519,11,FALSE))/100*$P24</f>
        <v>3.5999999999999999E-3</v>
      </c>
      <c r="N24" s="168">
        <f>IF($C24="","",VLOOKUP($C24,성분!$B$2:$O$51519,12,FALSE))/100*$P24</f>
        <v>0.06</v>
      </c>
      <c r="O24" s="167">
        <f>IF($C24="","",VLOOKUP($C24,성분!$B$2:$O$51519,13,FALSE))/100*$P24</f>
        <v>0</v>
      </c>
      <c r="P24" s="165">
        <f t="shared" si="6"/>
        <v>3</v>
      </c>
      <c r="Q24" s="162">
        <f t="shared" si="7"/>
        <v>1.2270000000000001</v>
      </c>
      <c r="R24" s="18"/>
    </row>
    <row r="25" spans="1:18" s="160" customFormat="1" ht="27.75" customHeight="1">
      <c r="A25" s="166">
        <f t="shared" si="3"/>
        <v>15</v>
      </c>
      <c r="B25" s="171" t="s">
        <v>2354</v>
      </c>
      <c r="C25" s="169" t="s">
        <v>2239</v>
      </c>
      <c r="D25" s="168">
        <v>95</v>
      </c>
      <c r="E25" s="168">
        <f>IF($C25="","",VLOOKUP($C25,성분!$B$2:$O$51519,3,FALSE))/100*P25</f>
        <v>123.5</v>
      </c>
      <c r="F25" s="168">
        <f>IF($C25="","",VLOOKUP($C25,성분!$B$2:$O$51519,5,FALSE))/100*$P25</f>
        <v>49.875</v>
      </c>
      <c r="G25" s="168">
        <f>IF($C25="","",VLOOKUP($C25,성분!$B$2:$O$51519,4,FALSE))/100*$P25</f>
        <v>1.9000000000000001</v>
      </c>
      <c r="H25" s="168">
        <f>IF($C25="","",VLOOKUP($C25,성분!$B$2:$O$51519,6,FALSE))/100*$P25</f>
        <v>6.1749999999999998</v>
      </c>
      <c r="I25" s="168">
        <f>IF($C25="","",VLOOKUP($C25,성분!$B$2:$O$51519,7,FALSE))/100*$P25</f>
        <v>4.75</v>
      </c>
      <c r="J25" s="168">
        <f>IF($C25="","",VLOOKUP($C25,성분!$B$2:$O$51519,8,FALSE))/100*$P25</f>
        <v>0.57000000000000006</v>
      </c>
      <c r="K25" s="168">
        <f>IF($C25="","",VLOOKUP($C25,성분!$B$2:$O$51519,9,FALSE))/100*$P25</f>
        <v>0</v>
      </c>
      <c r="L25" s="168">
        <f>IF($C25="","",VLOOKUP($C25,성분!$B$2:$O$51519,10,FALSE))/100*$P25</f>
        <v>8.5499999999999993E-2</v>
      </c>
      <c r="M25" s="168">
        <f>IF($C25="","",VLOOKUP($C25,성분!$B$2:$O$51519,11,FALSE))/100*$P25</f>
        <v>2.8499999999999998E-2</v>
      </c>
      <c r="N25" s="168">
        <f>IF($C25="","",VLOOKUP($C25,성분!$B$2:$O$51519,12,FALSE))/100*$P25</f>
        <v>1.52</v>
      </c>
      <c r="O25" s="167">
        <f>IF($C25="","",VLOOKUP($C25,성분!$B$2:$O$51519,13,FALSE))/100*$P25</f>
        <v>6.65</v>
      </c>
      <c r="P25" s="165">
        <f t="shared" si="0"/>
        <v>95</v>
      </c>
      <c r="Q25" s="162">
        <f t="shared" si="1"/>
        <v>38.854999999999997</v>
      </c>
      <c r="R25" s="18"/>
    </row>
    <row r="26" spans="1:18" s="160" customFormat="1" ht="27.75" customHeight="1">
      <c r="A26" s="166">
        <f t="shared" si="3"/>
        <v>16</v>
      </c>
      <c r="B26" s="171"/>
      <c r="C26" s="169" t="s">
        <v>2350</v>
      </c>
      <c r="D26" s="168">
        <v>3</v>
      </c>
      <c r="E26" s="168">
        <f>IF($C26="","",VLOOKUP($C26,성분!$B$2:$O$51519,3,FALSE))/100*P26</f>
        <v>1.5</v>
      </c>
      <c r="F26" s="168">
        <f>IF($C26="","",VLOOKUP($C26,성분!$B$2:$O$51519,5,FALSE))/100*$P26</f>
        <v>1.32</v>
      </c>
      <c r="G26" s="168">
        <f>IF($C26="","",VLOOKUP($C26,성분!$B$2:$O$51519,4,FALSE))/100*$P26</f>
        <v>0.06</v>
      </c>
      <c r="H26" s="168">
        <f>IF($C26="","",VLOOKUP($C26,성분!$B$2:$O$51519,6,FALSE))/100*$P26</f>
        <v>0</v>
      </c>
      <c r="I26" s="168">
        <f>IF($C26="","",VLOOKUP($C26,성분!$B$2:$O$51519,7,FALSE))/100*$P26</f>
        <v>0.54</v>
      </c>
      <c r="J26" s="168">
        <f>IF($C26="","",VLOOKUP($C26,성분!$B$2:$O$51519,8,FALSE))/100*$P26</f>
        <v>2.7000000000000003E-2</v>
      </c>
      <c r="K26" s="168">
        <f>IF($C26="","",VLOOKUP($C26,성분!$B$2:$O$51519,9,FALSE))/100*$P26</f>
        <v>4.74</v>
      </c>
      <c r="L26" s="168">
        <f>IF($C26="","",VLOOKUP($C26,성분!$B$2:$O$51519,10,FALSE))/100*$P26</f>
        <v>2.7000000000000001E-3</v>
      </c>
      <c r="M26" s="168">
        <f>IF($C26="","",VLOOKUP($C26,성분!$B$2:$O$51519,11,FALSE))/100*$P26</f>
        <v>2.4000000000000002E-3</v>
      </c>
      <c r="N26" s="168">
        <f>IF($C26="","",VLOOKUP($C26,성분!$B$2:$O$51519,12,FALSE))/100*$P26</f>
        <v>3.9000000000000007E-2</v>
      </c>
      <c r="O26" s="167">
        <f>IF($C26="","",VLOOKUP($C26,성분!$B$2:$O$51519,13,FALSE))/100*$P26</f>
        <v>0.30000000000000004</v>
      </c>
      <c r="P26" s="165">
        <f t="shared" si="0"/>
        <v>3</v>
      </c>
      <c r="Q26" s="162">
        <f t="shared" si="1"/>
        <v>1.2270000000000001</v>
      </c>
      <c r="R26" s="18"/>
    </row>
    <row r="27" spans="1:18" s="160" customFormat="1" ht="27.75" customHeight="1">
      <c r="A27" s="166">
        <f t="shared" si="3"/>
        <v>17</v>
      </c>
      <c r="B27" s="171"/>
      <c r="C27" s="169" t="s">
        <v>2425</v>
      </c>
      <c r="D27" s="168">
        <v>15</v>
      </c>
      <c r="E27" s="168">
        <f>IF($C27="","",VLOOKUP($C27,성분!$B$2:$O$51519,3,FALSE))/100*P27</f>
        <v>6.9</v>
      </c>
      <c r="F27" s="168">
        <f>IF($C27="","",VLOOKUP($C27,성분!$B$2:$O$51519,5,FALSE))/100*$P27</f>
        <v>6.6</v>
      </c>
      <c r="G27" s="168">
        <f>IF($C27="","",VLOOKUP($C27,성분!$B$2:$O$51519,4,FALSE))/100*$P27</f>
        <v>0.3</v>
      </c>
      <c r="H27" s="168">
        <f>IF($C27="","",VLOOKUP($C27,성분!$B$2:$O$51519,6,FALSE))/100*$P27</f>
        <v>0</v>
      </c>
      <c r="I27" s="168">
        <f>IF($C27="","",VLOOKUP($C27,성분!$B$2:$O$51519,7,FALSE))/100*$P27</f>
        <v>2.6999999999999997</v>
      </c>
      <c r="J27" s="168">
        <f>IF($C27="","",VLOOKUP($C27,성분!$B$2:$O$51519,8,FALSE))/100*$P27</f>
        <v>0.13500000000000001</v>
      </c>
      <c r="K27" s="168">
        <f>IF($C27="","",VLOOKUP($C27,성분!$B$2:$O$51519,9,FALSE))/100*$P27</f>
        <v>23.700000000000003</v>
      </c>
      <c r="L27" s="168">
        <f>IF($C27="","",VLOOKUP($C27,성분!$B$2:$O$51519,10,FALSE))/100*$P27</f>
        <v>1.35E-2</v>
      </c>
      <c r="M27" s="168">
        <f>IF($C27="","",VLOOKUP($C27,성분!$B$2:$O$51519,11,FALSE))/100*$P27</f>
        <v>1.2E-2</v>
      </c>
      <c r="N27" s="168">
        <f>IF($C27="","",VLOOKUP($C27,성분!$B$2:$O$51519,12,FALSE))/100*$P27</f>
        <v>0.19500000000000001</v>
      </c>
      <c r="O27" s="167">
        <f>IF($C27="","",VLOOKUP($C27,성분!$B$2:$O$51519,13,FALSE))/100*$P27</f>
        <v>1.5</v>
      </c>
      <c r="P27" s="165">
        <f t="shared" si="0"/>
        <v>15</v>
      </c>
      <c r="Q27" s="162">
        <f t="shared" si="1"/>
        <v>6.1349999999999998</v>
      </c>
      <c r="R27" s="18"/>
    </row>
    <row r="28" spans="1:18" s="160" customFormat="1" ht="27.75" customHeight="1">
      <c r="A28" s="166">
        <f t="shared" si="3"/>
        <v>18</v>
      </c>
      <c r="B28" s="171"/>
      <c r="C28" s="169" t="s">
        <v>2053</v>
      </c>
      <c r="D28" s="168">
        <v>10</v>
      </c>
      <c r="E28" s="168">
        <f>IF($C28="","",VLOOKUP($C28,성분!$B$2:$O$51519,3,FALSE))/100*P28</f>
        <v>88.4</v>
      </c>
      <c r="F28" s="168">
        <f>IF($C28="","",VLOOKUP($C28,성분!$B$2:$O$51519,5,FALSE))/100*$P28</f>
        <v>0</v>
      </c>
      <c r="G28" s="168">
        <f>IF($C28="","",VLOOKUP($C28,성분!$B$2:$O$51519,4,FALSE))/100*$P28</f>
        <v>0</v>
      </c>
      <c r="H28" s="168">
        <f>IF($C28="","",VLOOKUP($C28,성분!$B$2:$O$51519,6,FALSE))/100*$P28</f>
        <v>10</v>
      </c>
      <c r="I28" s="168">
        <f>IF($C28="","",VLOOKUP($C28,성분!$B$2:$O$51519,7,FALSE))/100*$P28</f>
        <v>0</v>
      </c>
      <c r="J28" s="168">
        <f>IF($C28="","",VLOOKUP($C28,성분!$B$2:$O$51519,8,FALSE))/100*$P28</f>
        <v>0</v>
      </c>
      <c r="K28" s="168">
        <f>IF($C28="","",VLOOKUP($C28,성분!$B$2:$O$51519,9,FALSE))/100*$P28</f>
        <v>0</v>
      </c>
      <c r="L28" s="168">
        <f>IF($C28="","",VLOOKUP($C28,성분!$B$2:$O$51519,10,FALSE))/100*$P28</f>
        <v>0</v>
      </c>
      <c r="M28" s="168">
        <f>IF($C28="","",VLOOKUP($C28,성분!$B$2:$O$51519,11,FALSE))/100*$P28</f>
        <v>0</v>
      </c>
      <c r="N28" s="168">
        <f>IF($C28="","",VLOOKUP($C28,성분!$B$2:$O$51519,12,FALSE))/100*$P28</f>
        <v>0</v>
      </c>
      <c r="O28" s="167">
        <f>IF($C28="","",VLOOKUP($C28,성분!$B$2:$O$51519,13,FALSE))/100*$P28</f>
        <v>0</v>
      </c>
      <c r="P28" s="165">
        <f t="shared" ref="P28" si="8">D28</f>
        <v>10</v>
      </c>
      <c r="Q28" s="162">
        <f t="shared" ref="Q28" si="9">($O$8*P28)/1000</f>
        <v>4.09</v>
      </c>
      <c r="R28" s="18"/>
    </row>
    <row r="29" spans="1:18" s="160" customFormat="1" ht="27.75" customHeight="1">
      <c r="A29" s="166">
        <f t="shared" si="3"/>
        <v>19</v>
      </c>
      <c r="B29" s="171" t="s">
        <v>1084</v>
      </c>
      <c r="C29" s="169" t="s">
        <v>1084</v>
      </c>
      <c r="D29" s="168">
        <v>30</v>
      </c>
      <c r="E29" s="168">
        <f>IF($C29="","",VLOOKUP($C29,성분!$B$2:$O$51519,3,FALSE))/100*P29</f>
        <v>15</v>
      </c>
      <c r="F29" s="168">
        <f>IF($C29="","",VLOOKUP($C29,성분!$B$2:$O$51519,5,FALSE))/100*$P29</f>
        <v>1.32</v>
      </c>
      <c r="G29" s="168">
        <f>IF($C29="","",VLOOKUP($C29,성분!$B$2:$O$51519,4,FALSE))/100*$P29</f>
        <v>0.6</v>
      </c>
      <c r="H29" s="168">
        <f>IF($C29="","",VLOOKUP($C29,성분!$B$2:$O$51519,6,FALSE))/100*$P29</f>
        <v>0.06</v>
      </c>
      <c r="I29" s="168">
        <f>IF($C29="","",VLOOKUP($C29,성분!$B$2:$O$51519,7,FALSE))/100*$P29</f>
        <v>14.1</v>
      </c>
      <c r="J29" s="168">
        <f>IF($C29="","",VLOOKUP($C29,성분!$B$2:$O$51519,8,FALSE))/100*$P29</f>
        <v>0.89999999999999991</v>
      </c>
      <c r="K29" s="168">
        <f>IF($C29="","",VLOOKUP($C29,성분!$B$2:$O$51519,9,FALSE))/100*$P29</f>
        <v>14.399999999999999</v>
      </c>
      <c r="L29" s="168">
        <f>IF($C29="","",VLOOKUP($C29,성분!$B$2:$O$51519,10,FALSE))/100*$P29</f>
        <v>1.7999999999999999E-2</v>
      </c>
      <c r="M29" s="168">
        <f>IF($C29="","",VLOOKUP($C29,성분!$B$2:$O$51519,11,FALSE))/100*$P29</f>
        <v>1.7999999999999999E-2</v>
      </c>
      <c r="N29" s="168">
        <f>IF($C29="","",VLOOKUP($C29,성분!$B$2:$O$51519,12,FALSE))/100*$P29</f>
        <v>0.24</v>
      </c>
      <c r="O29" s="167">
        <f>IF($C29="","",VLOOKUP($C29,성분!$B$2:$O$51519,13,FALSE))/100*$P29</f>
        <v>4.2</v>
      </c>
      <c r="P29" s="165">
        <f t="shared" si="0"/>
        <v>30</v>
      </c>
      <c r="Q29" s="162">
        <f t="shared" si="1"/>
        <v>12.27</v>
      </c>
      <c r="R29" s="18"/>
    </row>
    <row r="30" spans="1:18" s="160" customFormat="1" ht="27.75" customHeight="1">
      <c r="A30" s="166">
        <f t="shared" si="3"/>
        <v>20</v>
      </c>
      <c r="B30" s="171" t="s">
        <v>2542</v>
      </c>
      <c r="C30" s="169" t="s">
        <v>2543</v>
      </c>
      <c r="D30" s="168">
        <v>200</v>
      </c>
      <c r="E30" s="168">
        <f>IF($C30="","",VLOOKUP($C30,성분!$B$2:$O$51519,3,FALSE))/100*P30</f>
        <v>90</v>
      </c>
      <c r="F30" s="168">
        <f>IF($C30="","",VLOOKUP($C30,성분!$B$2:$O$51519,5,FALSE))/100*$P30</f>
        <v>43</v>
      </c>
      <c r="G30" s="168">
        <f>IF($C30="","",VLOOKUP($C30,성분!$B$2:$O$51519,4,FALSE))/100*$P30</f>
        <v>1.2</v>
      </c>
      <c r="H30" s="168">
        <f>IF($C30="","",VLOOKUP($C30,성분!$B$2:$O$51519,6,FALSE))/100*$P30</f>
        <v>0.2</v>
      </c>
      <c r="I30" s="168">
        <f>IF($C30="","",VLOOKUP($C30,성분!$B$2:$O$51519,7,FALSE))/100*$P30</f>
        <v>18</v>
      </c>
      <c r="J30" s="168">
        <f>IF($C30="","",VLOOKUP($C30,성분!$B$2:$O$51519,8,FALSE))/100*$P30</f>
        <v>0.4</v>
      </c>
      <c r="K30" s="168">
        <f>IF($C30="","",VLOOKUP($C30,성분!$B$2:$O$51519,9,FALSE))/100*$P30</f>
        <v>0</v>
      </c>
      <c r="L30" s="168">
        <f>IF($C30="","",VLOOKUP($C30,성분!$B$2:$O$51519,10,FALSE))/100*$P30</f>
        <v>0.02</v>
      </c>
      <c r="M30" s="168">
        <f>IF($C30="","",VLOOKUP($C30,성분!$B$2:$O$51519,11,FALSE))/100*$P30</f>
        <v>0.02</v>
      </c>
      <c r="N30" s="168">
        <f>IF($C30="","",VLOOKUP($C30,성분!$B$2:$O$51519,12,FALSE))/100*$P30</f>
        <v>0.6</v>
      </c>
      <c r="O30" s="167">
        <f>IF($C30="","",VLOOKUP($C30,성분!$B$2:$O$51519,13,FALSE))/100*$P30</f>
        <v>0</v>
      </c>
      <c r="P30" s="165">
        <f t="shared" si="0"/>
        <v>200</v>
      </c>
      <c r="Q30" s="162">
        <f t="shared" si="1"/>
        <v>81.8</v>
      </c>
      <c r="R30" s="18"/>
    </row>
    <row r="31" spans="1:18" s="160" customFormat="1" ht="32.25" customHeight="1">
      <c r="A31" s="235">
        <v>0</v>
      </c>
      <c r="B31" s="236"/>
      <c r="C31" s="236"/>
      <c r="D31" s="237"/>
      <c r="E31" s="19">
        <f t="shared" ref="E31:O31" si="10">SUM(E11:E30)</f>
        <v>875.45999999999981</v>
      </c>
      <c r="F31" s="19">
        <f t="shared" si="10"/>
        <v>186.51019999999997</v>
      </c>
      <c r="G31" s="44">
        <f t="shared" si="10"/>
        <v>34.852000000000004</v>
      </c>
      <c r="H31" s="44">
        <f t="shared" si="10"/>
        <v>42.580400000000012</v>
      </c>
      <c r="I31" s="44">
        <f t="shared" si="10"/>
        <v>180.08999999999997</v>
      </c>
      <c r="J31" s="44">
        <f t="shared" si="10"/>
        <v>6.1560000000000006</v>
      </c>
      <c r="K31" s="44">
        <f t="shared" si="10"/>
        <v>79.720000000000027</v>
      </c>
      <c r="L31" s="19">
        <f t="shared" si="10"/>
        <v>0.86259999999999992</v>
      </c>
      <c r="M31" s="19">
        <f t="shared" si="10"/>
        <v>0.36070000000000008</v>
      </c>
      <c r="N31" s="19">
        <f t="shared" si="10"/>
        <v>9.2164999999999981</v>
      </c>
      <c r="O31" s="19">
        <f t="shared" si="10"/>
        <v>25.439999999999998</v>
      </c>
      <c r="P31" s="165">
        <f t="shared" si="0"/>
        <v>0</v>
      </c>
      <c r="Q31" s="162">
        <f t="shared" si="1"/>
        <v>0</v>
      </c>
      <c r="R31" s="18">
        <f t="shared" si="2"/>
        <v>0</v>
      </c>
    </row>
    <row r="32" spans="1:18" s="21" customFormat="1" ht="32.25" customHeight="1">
      <c r="A32" s="238" t="s">
        <v>1790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40"/>
      <c r="P32" s="20"/>
      <c r="Q32" s="160"/>
      <c r="R32" s="18">
        <f>INT(Q32)</f>
        <v>0</v>
      </c>
    </row>
    <row r="33" spans="1:19" s="160" customFormat="1" ht="19.5" customHeight="1">
      <c r="A33" s="220" t="s">
        <v>1629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2"/>
      <c r="S33" s="18">
        <f>INT(R33)</f>
        <v>0</v>
      </c>
    </row>
    <row r="34" spans="1:19" s="160" customFormat="1" ht="20.100000000000001" customHeight="1">
      <c r="A34" s="247" t="s">
        <v>1630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9"/>
      <c r="P34" s="244" t="s">
        <v>5</v>
      </c>
      <c r="Q34" s="245"/>
      <c r="R34" s="250">
        <v>5000</v>
      </c>
      <c r="S34" s="250"/>
    </row>
    <row r="35" spans="1:19" s="160" customFormat="1" ht="20.100000000000001" customHeight="1">
      <c r="A35" s="251" t="s">
        <v>1769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3"/>
      <c r="P35" s="244" t="s">
        <v>6</v>
      </c>
      <c r="Q35" s="245"/>
      <c r="R35" s="250">
        <f>R34*0.72</f>
        <v>3600</v>
      </c>
      <c r="S35" s="250"/>
    </row>
    <row r="36" spans="1:19" s="160" customFormat="1" ht="20.100000000000001" customHeight="1">
      <c r="A36" s="241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3"/>
      <c r="P36" s="244" t="s">
        <v>1631</v>
      </c>
      <c r="Q36" s="245"/>
      <c r="R36" s="246">
        <v>0.72</v>
      </c>
      <c r="S36" s="246"/>
    </row>
    <row r="37" spans="1:19" s="160" customFormat="1" ht="20.100000000000001" customHeight="1">
      <c r="C37" s="3"/>
      <c r="D37" s="24"/>
      <c r="E37" s="25"/>
      <c r="F37" s="25"/>
      <c r="G37" s="169">
        <v>667</v>
      </c>
      <c r="H37" s="169">
        <v>15</v>
      </c>
      <c r="I37" s="169">
        <v>300</v>
      </c>
      <c r="J37" s="169">
        <v>5.4</v>
      </c>
      <c r="K37" s="169">
        <v>234</v>
      </c>
      <c r="L37" s="169">
        <v>0.34</v>
      </c>
      <c r="M37" s="169">
        <v>0.4</v>
      </c>
      <c r="N37" s="169">
        <v>5.26</v>
      </c>
      <c r="O37" s="169">
        <v>33.4</v>
      </c>
      <c r="P37" s="182"/>
      <c r="Q37" s="182"/>
      <c r="R37" s="23"/>
      <c r="S37" s="23"/>
    </row>
    <row r="38" spans="1:19" s="160" customFormat="1" ht="20.100000000000001" customHeight="1">
      <c r="A38" s="2"/>
      <c r="B38" s="2"/>
      <c r="C38" s="3"/>
      <c r="D38" s="4"/>
      <c r="E38" s="5"/>
      <c r="F38" s="5"/>
      <c r="G38" s="5"/>
      <c r="H38" s="5"/>
      <c r="I38" s="5"/>
      <c r="J38" s="2"/>
      <c r="K38" s="5"/>
      <c r="L38" s="5"/>
      <c r="M38" s="5"/>
      <c r="N38" s="5"/>
      <c r="O38" s="6"/>
    </row>
    <row r="39" spans="1:19" s="160" customFormat="1" ht="20.100000000000001" customHeight="1">
      <c r="A39" s="2"/>
      <c r="B39" s="2"/>
      <c r="C39" s="2"/>
      <c r="D39" s="4"/>
      <c r="E39" s="2"/>
      <c r="F39" s="2"/>
      <c r="G39" s="5"/>
      <c r="H39" s="5"/>
      <c r="I39" s="5"/>
      <c r="J39" s="5"/>
      <c r="K39" s="5"/>
      <c r="L39" s="5"/>
      <c r="M39" s="5"/>
      <c r="N39" s="5"/>
      <c r="O39" s="6"/>
    </row>
    <row r="40" spans="1:19" ht="12">
      <c r="C40" s="2"/>
    </row>
    <row r="41" spans="1:19" ht="12">
      <c r="C41" s="2"/>
    </row>
    <row r="1347" spans="4:4">
      <c r="D1347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3:O33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1:D31"/>
    <mergeCell ref="A32:O32"/>
    <mergeCell ref="A36:O36"/>
    <mergeCell ref="P36:Q36"/>
    <mergeCell ref="R36:S36"/>
    <mergeCell ref="A34:O34"/>
    <mergeCell ref="P34:Q34"/>
    <mergeCell ref="R34:S34"/>
    <mergeCell ref="A35:O35"/>
    <mergeCell ref="P35:Q35"/>
    <mergeCell ref="R35:S35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4B8B-707C-4A98-BC79-46E75AFB128A}">
  <sheetPr>
    <pageSetUpPr fitToPage="1"/>
  </sheetPr>
  <dimension ref="A1:S1349"/>
  <sheetViews>
    <sheetView view="pageBreakPreview" zoomScale="85" zoomScaleNormal="85" zoomScaleSheetLayoutView="85" workbookViewId="0">
      <pane xSplit="3" ySplit="10" topLeftCell="D11" activePane="bottomRight" state="frozen"/>
      <selection activeCell="K24" sqref="K24"/>
      <selection pane="topRight" activeCell="K24" sqref="K24"/>
      <selection pane="bottomLeft" activeCell="K24" sqref="K24"/>
      <selection pane="bottomRight" activeCell="D11" sqref="D11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94"/>
      <c r="F1" s="194"/>
      <c r="G1" s="39"/>
      <c r="K1" s="202"/>
      <c r="L1" s="195"/>
      <c r="M1" s="196" t="s">
        <v>2371</v>
      </c>
      <c r="N1" s="110" t="s">
        <v>2372</v>
      </c>
      <c r="O1" s="196" t="s">
        <v>2373</v>
      </c>
    </row>
    <row r="2" spans="1:18" s="1" customFormat="1" ht="20.100000000000001" customHeight="1">
      <c r="A2" s="27"/>
      <c r="B2" s="27"/>
      <c r="C2" s="194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45770</v>
      </c>
      <c r="D3" s="201"/>
      <c r="E3" s="194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13</v>
      </c>
      <c r="E8" s="226"/>
      <c r="F8" s="226">
        <v>17</v>
      </c>
      <c r="G8" s="226"/>
      <c r="H8" s="226">
        <v>109</v>
      </c>
      <c r="I8" s="226"/>
      <c r="J8" s="226"/>
      <c r="K8" s="226">
        <f>SUM(D8:J8)</f>
        <v>139</v>
      </c>
      <c r="L8" s="226"/>
      <c r="M8" s="226">
        <v>2</v>
      </c>
      <c r="N8" s="227"/>
      <c r="O8" s="228">
        <f>SUM(K8:N8)</f>
        <v>141</v>
      </c>
    </row>
    <row r="9" spans="1:18" s="160" customFormat="1" ht="20.100000000000001" customHeight="1">
      <c r="A9" s="230" t="s">
        <v>0</v>
      </c>
      <c r="B9" s="231"/>
      <c r="C9" s="232"/>
      <c r="D9" s="233" t="s">
        <v>2525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97" t="s">
        <v>1626</v>
      </c>
      <c r="Q10" s="198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2514</v>
      </c>
      <c r="C11" s="169" t="s">
        <v>140</v>
      </c>
      <c r="D11" s="168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165">
        <f t="shared" ref="P11:P33" si="0">D11</f>
        <v>100</v>
      </c>
      <c r="Q11" s="162">
        <f t="shared" ref="Q11:Q33" si="1">($O$8*P11)/1000</f>
        <v>14.1</v>
      </c>
      <c r="R11" s="18">
        <f t="shared" ref="R11:R33" si="2">INT(Q11)</f>
        <v>14</v>
      </c>
    </row>
    <row r="12" spans="1:18" s="160" customFormat="1" ht="27.75" customHeight="1">
      <c r="A12" s="166">
        <f t="shared" ref="A12:A32" si="3">ROW()-10</f>
        <v>2</v>
      </c>
      <c r="B12" s="171"/>
      <c r="C12" s="169" t="s">
        <v>1306</v>
      </c>
      <c r="D12" s="168">
        <v>10</v>
      </c>
      <c r="E12" s="168">
        <f>IF($C12="","",VLOOKUP($C12,성분!$B$2:$O$51519,3,FALSE))/100*P12</f>
        <v>27.200000000000003</v>
      </c>
      <c r="F12" s="168">
        <f>IF($C12="","",VLOOKUP($C12,성분!$B$2:$O$51519,5,FALSE))/100*$P12</f>
        <v>4.1100000000000003</v>
      </c>
      <c r="G12" s="168">
        <f>IF($C12="","",VLOOKUP($C12,성분!$B$2:$O$51519,4,FALSE))/100*$P12</f>
        <v>2</v>
      </c>
      <c r="H12" s="168">
        <f>IF($C12="","",VLOOKUP($C12,성분!$B$2:$O$51519,6,FALSE))/100*$P12</f>
        <v>0.22999999999999998</v>
      </c>
      <c r="I12" s="168">
        <f>IF($C12="","",VLOOKUP($C12,성분!$B$2:$O$51519,7,FALSE))/100*$P12</f>
        <v>41</v>
      </c>
      <c r="J12" s="168">
        <f>IF($C12="","",VLOOKUP($C12,성분!$B$2:$O$51519,8,FALSE))/100*$P12</f>
        <v>0.5</v>
      </c>
      <c r="K12" s="168">
        <f>IF($C12="","",VLOOKUP($C12,성분!$B$2:$O$51519,9,FALSE))/100*$P12</f>
        <v>24</v>
      </c>
      <c r="L12" s="168">
        <f>IF($C12="","",VLOOKUP($C12,성분!$B$2:$O$51519,10,FALSE))/100*$P12</f>
        <v>0.03</v>
      </c>
      <c r="M12" s="168">
        <f>IF($C12="","",VLOOKUP($C12,성분!$B$2:$O$51519,11,FALSE))/100*$P12</f>
        <v>0.01</v>
      </c>
      <c r="N12" s="168">
        <f>IF($C12="","",VLOOKUP($C12,성분!$B$2:$O$51519,12,FALSE))/100*$P12</f>
        <v>0.5</v>
      </c>
      <c r="O12" s="167">
        <f>IF($C12="","",VLOOKUP($C12,성분!$B$2:$O$51519,13,FALSE))/100*$P12</f>
        <v>3.7</v>
      </c>
      <c r="P12" s="165">
        <f t="shared" si="0"/>
        <v>10</v>
      </c>
      <c r="Q12" s="162">
        <f t="shared" si="1"/>
        <v>1.41</v>
      </c>
      <c r="R12" s="18">
        <f t="shared" si="2"/>
        <v>1</v>
      </c>
    </row>
    <row r="13" spans="1:18" s="160" customFormat="1" ht="27.75" customHeight="1">
      <c r="A13" s="166">
        <f t="shared" si="3"/>
        <v>3</v>
      </c>
      <c r="B13" s="171"/>
      <c r="C13" s="169" t="s">
        <v>2221</v>
      </c>
      <c r="D13" s="168">
        <v>5</v>
      </c>
      <c r="E13" s="168">
        <f>IF($C13="","",VLOOKUP($C13,성분!$B$2:$O$51519,3,FALSE))/100*P13</f>
        <v>44.2</v>
      </c>
      <c r="F13" s="168">
        <f>IF($C13="","",VLOOKUP($C13,성분!$B$2:$O$51519,5,FALSE))/100*$P13</f>
        <v>0.02</v>
      </c>
      <c r="G13" s="168">
        <f>IF($C13="","",VLOOKUP($C13,성분!$B$2:$O$51519,4,FALSE))/100*$P13</f>
        <v>0</v>
      </c>
      <c r="H13" s="168">
        <f>IF($C13="","",VLOOKUP($C13,성분!$B$2:$O$51519,6,FALSE))/100*$P13</f>
        <v>5</v>
      </c>
      <c r="I13" s="168">
        <f>IF($C13="","",VLOOKUP($C13,성분!$B$2:$O$51519,7,FALSE))/100*$P13</f>
        <v>0</v>
      </c>
      <c r="J13" s="168">
        <f>IF($C13="","",VLOOKUP($C13,성분!$B$2:$O$51519,8,FALSE))/100*$P13</f>
        <v>0</v>
      </c>
      <c r="K13" s="168">
        <f>IF($C13="","",VLOOKUP($C13,성분!$B$2:$O$51519,9,FALSE))/100*$P13</f>
        <v>0</v>
      </c>
      <c r="L13" s="168">
        <f>IF($C13="","",VLOOKUP($C13,성분!$B$2:$O$51519,10,FALSE))/100*$P13</f>
        <v>0</v>
      </c>
      <c r="M13" s="168">
        <f>IF($C13="","",VLOOKUP($C13,성분!$B$2:$O$51519,11,FALSE))/100*$P13</f>
        <v>0</v>
      </c>
      <c r="N13" s="168">
        <f>IF($C13="","",VLOOKUP($C13,성분!$B$2:$O$51519,12,FALSE))/100*$P13</f>
        <v>0</v>
      </c>
      <c r="O13" s="167">
        <f>IF($C13="","",VLOOKUP($C13,성분!$B$2:$O$51519,13,FALSE))/100*$P13</f>
        <v>0</v>
      </c>
      <c r="P13" s="165">
        <f t="shared" si="0"/>
        <v>5</v>
      </c>
      <c r="Q13" s="162">
        <f t="shared" si="1"/>
        <v>0.70499999999999996</v>
      </c>
      <c r="R13" s="18">
        <f t="shared" si="2"/>
        <v>0</v>
      </c>
    </row>
    <row r="14" spans="1:18" s="160" customFormat="1" ht="27.75" customHeight="1">
      <c r="A14" s="166">
        <f t="shared" si="3"/>
        <v>4</v>
      </c>
      <c r="B14" s="171"/>
      <c r="C14" s="169" t="s">
        <v>620</v>
      </c>
      <c r="D14" s="168">
        <v>35</v>
      </c>
      <c r="E14" s="168">
        <f>IF($C14="","",VLOOKUP($C14,성분!$B$2:$O$51519,3,FALSE))/100*P14</f>
        <v>45.5</v>
      </c>
      <c r="F14" s="168">
        <f>IF($C14="","",VLOOKUP($C14,성분!$B$2:$O$51519,5,FALSE))/100*$P14</f>
        <v>2.0999999999999998E-2</v>
      </c>
      <c r="G14" s="168">
        <f>IF($C14="","",VLOOKUP($C14,성분!$B$2:$O$51519,4,FALSE))/100*$P14</f>
        <v>3.36</v>
      </c>
      <c r="H14" s="168">
        <f>IF($C14="","",VLOOKUP($C14,성분!$B$2:$O$51519,6,FALSE))/100*$P14</f>
        <v>1.645</v>
      </c>
      <c r="I14" s="168">
        <f>IF($C14="","",VLOOKUP($C14,성분!$B$2:$O$51519,7,FALSE))/100*$P14</f>
        <v>1.05</v>
      </c>
      <c r="J14" s="168">
        <f>IF($C14="","",VLOOKUP($C14,성분!$B$2:$O$51519,8,FALSE))/100*$P14</f>
        <v>0.38500000000000006</v>
      </c>
      <c r="K14" s="168">
        <f>IF($C14="","",VLOOKUP($C14,성분!$B$2:$O$51519,9,FALSE))/100*$P14</f>
        <v>0</v>
      </c>
      <c r="L14" s="168">
        <f>IF($C14="","",VLOOKUP($C14,성분!$B$2:$O$51519,10,FALSE))/100*$P14</f>
        <v>3.5000000000000001E-3</v>
      </c>
      <c r="M14" s="168">
        <f>IF($C14="","",VLOOKUP($C14,성분!$B$2:$O$51519,11,FALSE))/100*$P14</f>
        <v>4.1999999999999996E-2</v>
      </c>
      <c r="N14" s="168">
        <f>IF($C14="","",VLOOKUP($C14,성분!$B$2:$O$51519,12,FALSE))/100*$P14</f>
        <v>0.14000000000000001</v>
      </c>
      <c r="O14" s="167">
        <f>IF($C14="","",VLOOKUP($C14,성분!$B$2:$O$51519,13,FALSE))/100*$P14</f>
        <v>0</v>
      </c>
      <c r="P14" s="165">
        <f t="shared" si="0"/>
        <v>35</v>
      </c>
      <c r="Q14" s="162">
        <f t="shared" si="1"/>
        <v>4.9349999999999996</v>
      </c>
      <c r="R14" s="18"/>
    </row>
    <row r="15" spans="1:18" s="160" customFormat="1" ht="27.75" customHeight="1">
      <c r="A15" s="166">
        <f t="shared" si="3"/>
        <v>5</v>
      </c>
      <c r="B15" s="171"/>
      <c r="C15" s="169" t="s">
        <v>962</v>
      </c>
      <c r="D15" s="168">
        <v>10</v>
      </c>
      <c r="E15" s="168">
        <f>IF($C15="","",VLOOKUP($C15,성분!$B$2:$O$51519,3,FALSE))/100*P15</f>
        <v>70.7</v>
      </c>
      <c r="F15" s="168">
        <f>IF($C15="","",VLOOKUP($C15,성분!$B$2:$O$51519,5,FALSE))/100*$P15</f>
        <v>0.42000000000000004</v>
      </c>
      <c r="G15" s="168">
        <f>IF($C15="","",VLOOKUP($C15,성분!$B$2:$O$51519,4,FALSE))/100*$P15</f>
        <v>0.06</v>
      </c>
      <c r="H15" s="168">
        <f>IF($C15="","",VLOOKUP($C15,성분!$B$2:$O$51519,6,FALSE))/100*$P15</f>
        <v>7.0900000000000007</v>
      </c>
      <c r="I15" s="168">
        <f>IF($C15="","",VLOOKUP($C15,성분!$B$2:$O$51519,7,FALSE))/100*$P15</f>
        <v>2.1</v>
      </c>
      <c r="J15" s="168">
        <f>IF($C15="","",VLOOKUP($C15,성분!$B$2:$O$51519,8,FALSE))/100*$P15</f>
        <v>8.0000000000000002E-3</v>
      </c>
      <c r="K15" s="168">
        <f>IF($C15="","",VLOOKUP($C15,성분!$B$2:$O$51519,9,FALSE))/100*$P15</f>
        <v>1.5</v>
      </c>
      <c r="L15" s="168">
        <f>IF($C15="","",VLOOKUP($C15,성분!$B$2:$O$51519,10,FALSE))/100*$P15</f>
        <v>2E-3</v>
      </c>
      <c r="M15" s="168">
        <f>IF($C15="","",VLOOKUP($C15,성분!$B$2:$O$51519,11,FALSE))/100*$P15</f>
        <v>2.9999999999999996E-3</v>
      </c>
      <c r="N15" s="168">
        <f>IF($C15="","",VLOOKUP($C15,성분!$B$2:$O$51519,12,FALSE))/100*$P15</f>
        <v>0.01</v>
      </c>
      <c r="O15" s="167">
        <f>IF($C15="","",VLOOKUP($C15,성분!$B$2:$O$51519,13,FALSE))/100*$P15</f>
        <v>0</v>
      </c>
      <c r="P15" s="165">
        <f t="shared" si="0"/>
        <v>10</v>
      </c>
      <c r="Q15" s="162">
        <f t="shared" si="1"/>
        <v>1.41</v>
      </c>
      <c r="R15" s="18">
        <f t="shared" ref="R15" si="4">INT(Q15)</f>
        <v>1</v>
      </c>
    </row>
    <row r="16" spans="1:18" s="160" customFormat="1" ht="27.75" customHeight="1">
      <c r="A16" s="166">
        <f t="shared" si="3"/>
        <v>6</v>
      </c>
      <c r="B16" s="171"/>
      <c r="C16" s="169" t="s">
        <v>1708</v>
      </c>
      <c r="D16" s="168">
        <v>60</v>
      </c>
      <c r="E16" s="168">
        <f>IF($C16="","",VLOOKUP($C16,성분!$B$2:$O$51519,3,FALSE))/100*P16</f>
        <v>30</v>
      </c>
      <c r="F16" s="168">
        <f>IF($C16="","",VLOOKUP($C16,성분!$B$2:$O$51519,5,FALSE))/100*$P16</f>
        <v>2.64</v>
      </c>
      <c r="G16" s="168">
        <f>IF($C16="","",VLOOKUP($C16,성분!$B$2:$O$51519,4,FALSE))/100*$P16</f>
        <v>1.2</v>
      </c>
      <c r="H16" s="168">
        <f>IF($C16="","",VLOOKUP($C16,성분!$B$2:$O$51519,6,FALSE))/100*$P16</f>
        <v>0.12</v>
      </c>
      <c r="I16" s="168">
        <f>IF($C16="","",VLOOKUP($C16,성분!$B$2:$O$51519,7,FALSE))/100*$P16</f>
        <v>28.2</v>
      </c>
      <c r="J16" s="168">
        <f>IF($C16="","",VLOOKUP($C16,성분!$B$2:$O$51519,8,FALSE))/100*$P16</f>
        <v>0.48</v>
      </c>
      <c r="K16" s="168">
        <f>IF($C16="","",VLOOKUP($C16,성분!$B$2:$O$51519,9,FALSE))/100*$P16</f>
        <v>28.799999999999997</v>
      </c>
      <c r="L16" s="168">
        <f>IF($C16="","",VLOOKUP($C16,성분!$B$2:$O$51519,10,FALSE))/100*$P16</f>
        <v>3.5999999999999997E-2</v>
      </c>
      <c r="M16" s="168">
        <f>IF($C16="","",VLOOKUP($C16,성분!$B$2:$O$51519,11,FALSE))/100*$P16</f>
        <v>3.5999999999999997E-2</v>
      </c>
      <c r="N16" s="168">
        <f>IF($C16="","",VLOOKUP($C16,성분!$B$2:$O$51519,12,FALSE))/100*$P16</f>
        <v>0.48</v>
      </c>
      <c r="O16" s="167">
        <f>IF($C16="","",VLOOKUP($C16,성분!$B$2:$O$51519,13,FALSE))/100*$P16</f>
        <v>8.4</v>
      </c>
      <c r="P16" s="165">
        <f t="shared" si="0"/>
        <v>60</v>
      </c>
      <c r="Q16" s="162">
        <f t="shared" si="1"/>
        <v>8.4600000000000009</v>
      </c>
      <c r="R16" s="18"/>
    </row>
    <row r="17" spans="1:18" s="160" customFormat="1" ht="27.75" customHeight="1">
      <c r="A17" s="166">
        <f t="shared" si="3"/>
        <v>7</v>
      </c>
      <c r="B17" s="171"/>
      <c r="C17" s="169" t="s">
        <v>2515</v>
      </c>
      <c r="D17" s="168">
        <v>25</v>
      </c>
      <c r="E17" s="168">
        <f>IF($C17="","",VLOOKUP($C17,성분!$B$2:$O$51519,3,FALSE))/100*P17</f>
        <v>3.75</v>
      </c>
      <c r="F17" s="168">
        <f>IF($C17="","",VLOOKUP($C17,성분!$B$2:$O$51519,5,FALSE))/100*$P17</f>
        <v>0.25</v>
      </c>
      <c r="G17" s="168">
        <f>IF($C17="","",VLOOKUP($C17,성분!$B$2:$O$51519,4,FALSE))/100*$P17</f>
        <v>0</v>
      </c>
      <c r="H17" s="168">
        <f>IF($C17="","",VLOOKUP($C17,성분!$B$2:$O$51519,6,FALSE))/100*$P17</f>
        <v>0</v>
      </c>
      <c r="I17" s="168">
        <f>IF($C17="","",VLOOKUP($C17,성분!$B$2:$O$51519,7,FALSE))/100*$P17</f>
        <v>0</v>
      </c>
      <c r="J17" s="168">
        <f>IF($C17="","",VLOOKUP($C17,성분!$B$2:$O$51519,8,FALSE))/100*$P17</f>
        <v>0</v>
      </c>
      <c r="K17" s="168">
        <f>IF($C17="","",VLOOKUP($C17,성분!$B$2:$O$51519,9,FALSE))/100*$P17</f>
        <v>0</v>
      </c>
      <c r="L17" s="168">
        <f>IF($C17="","",VLOOKUP($C17,성분!$B$2:$O$51519,10,FALSE))/100*$P17</f>
        <v>0</v>
      </c>
      <c r="M17" s="168">
        <f>IF($C17="","",VLOOKUP($C17,성분!$B$2:$O$51519,11,FALSE))/100*$P17</f>
        <v>0</v>
      </c>
      <c r="N17" s="168">
        <f>IF($C17="","",VLOOKUP($C17,성분!$B$2:$O$51519,12,FALSE))/100*$P17</f>
        <v>0</v>
      </c>
      <c r="O17" s="167">
        <f>IF($C17="","",VLOOKUP($C17,성분!$B$2:$O$51519,13,FALSE))/100*$P17</f>
        <v>0</v>
      </c>
      <c r="P17" s="165">
        <f t="shared" si="0"/>
        <v>25</v>
      </c>
      <c r="Q17" s="162">
        <f t="shared" si="1"/>
        <v>3.5249999999999999</v>
      </c>
      <c r="R17" s="18">
        <f t="shared" ref="R17" si="5">INT(Q17)</f>
        <v>3</v>
      </c>
    </row>
    <row r="18" spans="1:18" s="160" customFormat="1" ht="27.75" customHeight="1">
      <c r="A18" s="166">
        <f t="shared" si="3"/>
        <v>8</v>
      </c>
      <c r="B18" s="171"/>
      <c r="C18" s="169" t="s">
        <v>2259</v>
      </c>
      <c r="D18" s="168">
        <v>45</v>
      </c>
      <c r="E18" s="168">
        <f>IF($C18="","",VLOOKUP($C18,성분!$B$2:$O$51519,3,FALSE))/100*P18</f>
        <v>57.6</v>
      </c>
      <c r="F18" s="168">
        <f>IF($C18="","",VLOOKUP($C18,성분!$B$2:$O$51519,5,FALSE))/100*$P18</f>
        <v>2.61</v>
      </c>
      <c r="G18" s="168">
        <f>IF($C18="","",VLOOKUP($C18,성분!$B$2:$O$51519,4,FALSE))/100*$P18</f>
        <v>7.2</v>
      </c>
      <c r="H18" s="168">
        <f>IF($C18="","",VLOOKUP($C18,성분!$B$2:$O$51519,6,FALSE))/100*$P18</f>
        <v>5.4450000000000003</v>
      </c>
      <c r="I18" s="168">
        <f>IF($C18="","",VLOOKUP($C18,성분!$B$2:$O$51519,7,FALSE))/100*$P18</f>
        <v>2.6999999999999997</v>
      </c>
      <c r="J18" s="168">
        <f>IF($C18="","",VLOOKUP($C18,성분!$B$2:$O$51519,8,FALSE))/100*$P18</f>
        <v>0.40500000000000003</v>
      </c>
      <c r="K18" s="168">
        <f>IF($C18="","",VLOOKUP($C18,성분!$B$2:$O$51519,9,FALSE))/100*$P18</f>
        <v>0</v>
      </c>
      <c r="L18" s="168">
        <f>IF($C18="","",VLOOKUP($C18,성분!$B$2:$O$51519,10,FALSE))/100*$P18</f>
        <v>4.4999999999999998E-2</v>
      </c>
      <c r="M18" s="168">
        <f>IF($C18="","",VLOOKUP($C18,성분!$B$2:$O$51519,11,FALSE))/100*$P18</f>
        <v>9.4500000000000001E-2</v>
      </c>
      <c r="N18" s="168">
        <f>IF($C18="","",VLOOKUP($C18,성분!$B$2:$O$51519,12,FALSE))/100*$P18</f>
        <v>3.1500000000000004</v>
      </c>
      <c r="O18" s="167">
        <f>IF($C18="","",VLOOKUP($C18,성분!$B$2:$O$51519,13,FALSE))/100*$P18</f>
        <v>21.15</v>
      </c>
      <c r="P18" s="165">
        <f t="shared" si="0"/>
        <v>45</v>
      </c>
      <c r="Q18" s="162">
        <f t="shared" si="1"/>
        <v>6.3449999999999998</v>
      </c>
      <c r="R18" s="18"/>
    </row>
    <row r="19" spans="1:18" s="160" customFormat="1" ht="27.75" customHeight="1">
      <c r="A19" s="166">
        <f t="shared" si="3"/>
        <v>9</v>
      </c>
      <c r="B19" s="171"/>
      <c r="C19" s="169" t="s">
        <v>1832</v>
      </c>
      <c r="D19" s="168">
        <v>1</v>
      </c>
      <c r="E19" s="168">
        <f>IF($C19="","",VLOOKUP($C19,성분!$B$2:$O$51519,3,FALSE))/100*P19</f>
        <v>2.92</v>
      </c>
      <c r="F19" s="168">
        <f>IF($C19="","",VLOOKUP($C19,성분!$B$2:$O$51519,5,FALSE))/100*$P19</f>
        <v>0.50639999999999996</v>
      </c>
      <c r="G19" s="168">
        <f>IF($C19="","",VLOOKUP($C19,성분!$B$2:$O$51519,4,FALSE))/100*$P19</f>
        <v>0.26629999999999998</v>
      </c>
      <c r="H19" s="168">
        <f>IF($C19="","",VLOOKUP($C19,성분!$B$2:$O$51519,6,FALSE))/100*$P19</f>
        <v>5.4800000000000001E-2</v>
      </c>
      <c r="I19" s="168">
        <f>IF($C19="","",VLOOKUP($C19,성분!$B$2:$O$51519,7,FALSE))/100*$P19</f>
        <v>11.4</v>
      </c>
      <c r="J19" s="168">
        <f>IF($C19="","",VLOOKUP($C19,성분!$B$2:$O$51519,8,FALSE))/100*$P19</f>
        <v>0.22039999999999998</v>
      </c>
      <c r="K19" s="168">
        <f>IF($C19="","",VLOOKUP($C19,성분!$B$2:$O$51519,9,FALSE))/100*$P19</f>
        <v>11.52</v>
      </c>
      <c r="L19" s="168">
        <f>IF($C19="","",VLOOKUP($C19,성분!$B$2:$O$51519,10,FALSE))/100*$P19</f>
        <v>2E-3</v>
      </c>
      <c r="M19" s="168">
        <f>IF($C19="","",VLOOKUP($C19,성분!$B$2:$O$51519,11,FALSE))/100*$P19</f>
        <v>2.3799999999999998E-2</v>
      </c>
      <c r="N19" s="168">
        <f>IF($C19="","",VLOOKUP($C19,성분!$B$2:$O$51519,12,FALSE))/100*$P19</f>
        <v>9.9399999999999988E-2</v>
      </c>
      <c r="O19" s="167">
        <f>IF($C19="","",VLOOKUP($C19,성분!$B$2:$O$51519,13,FALSE))/100*$P19</f>
        <v>1.25</v>
      </c>
      <c r="P19" s="165">
        <f t="shared" si="0"/>
        <v>1</v>
      </c>
      <c r="Q19" s="162">
        <f t="shared" si="1"/>
        <v>0.14099999999999999</v>
      </c>
      <c r="R19" s="18">
        <f t="shared" si="2"/>
        <v>0</v>
      </c>
    </row>
    <row r="20" spans="1:18" s="160" customFormat="1" ht="27.75" customHeight="1">
      <c r="A20" s="166">
        <f t="shared" si="3"/>
        <v>10</v>
      </c>
      <c r="B20" s="171" t="s">
        <v>2516</v>
      </c>
      <c r="C20" s="169" t="s">
        <v>2517</v>
      </c>
      <c r="D20" s="168">
        <v>85</v>
      </c>
      <c r="E20" s="168">
        <f>IF($C20="","",VLOOKUP($C20,성분!$B$2:$O$51519,3,FALSE))/100*P20</f>
        <v>113.05000000000001</v>
      </c>
      <c r="F20" s="168">
        <f>IF($C20="","",VLOOKUP($C20,성분!$B$2:$O$51519,5,FALSE))/100*$P20</f>
        <v>24.65</v>
      </c>
      <c r="G20" s="168">
        <f>IF($C20="","",VLOOKUP($C20,성분!$B$2:$O$51519,4,FALSE))/100*$P20</f>
        <v>2.5499999999999998</v>
      </c>
      <c r="H20" s="168">
        <f>IF($C20="","",VLOOKUP($C20,성분!$B$2:$O$51519,6,FALSE))/100*$P20</f>
        <v>0.51</v>
      </c>
      <c r="I20" s="168">
        <f>IF($C20="","",VLOOKUP($C20,성분!$B$2:$O$51519,7,FALSE))/100*$P20</f>
        <v>0</v>
      </c>
      <c r="J20" s="168">
        <f>IF($C20="","",VLOOKUP($C20,성분!$B$2:$O$51519,8,FALSE))/100*$P20</f>
        <v>0</v>
      </c>
      <c r="K20" s="168">
        <f>IF($C20="","",VLOOKUP($C20,성분!$B$2:$O$51519,9,FALSE))/100*$P20</f>
        <v>0</v>
      </c>
      <c r="L20" s="168">
        <f>IF($C20="","",VLOOKUP($C20,성분!$B$2:$O$51519,10,FALSE))/100*$P20</f>
        <v>0</v>
      </c>
      <c r="M20" s="168">
        <f>IF($C20="","",VLOOKUP($C20,성분!$B$2:$O$51519,11,FALSE))/100*$P20</f>
        <v>0</v>
      </c>
      <c r="N20" s="168">
        <f>IF($C20="","",VLOOKUP($C20,성분!$B$2:$O$51519,12,FALSE))/100*$P20</f>
        <v>0</v>
      </c>
      <c r="O20" s="167">
        <f>IF($C20="","",VLOOKUP($C20,성분!$B$2:$O$51519,13,FALSE))/100*$P20</f>
        <v>0</v>
      </c>
      <c r="P20" s="165">
        <f t="shared" si="0"/>
        <v>85</v>
      </c>
      <c r="Q20" s="162">
        <f t="shared" si="1"/>
        <v>11.984999999999999</v>
      </c>
      <c r="R20" s="18"/>
    </row>
    <row r="21" spans="1:18" s="160" customFormat="1" ht="27.75" customHeight="1">
      <c r="A21" s="166">
        <f t="shared" si="3"/>
        <v>11</v>
      </c>
      <c r="B21" s="171"/>
      <c r="C21" s="169" t="s">
        <v>2245</v>
      </c>
      <c r="D21" s="168">
        <v>4</v>
      </c>
      <c r="E21" s="168">
        <f>IF($C21="","",VLOOKUP($C21,성분!$B$2:$O$51519,3,FALSE))/100*P21</f>
        <v>13.84</v>
      </c>
      <c r="F21" s="168">
        <f>IF($C21="","",VLOOKUP($C21,성분!$B$2:$O$51519,5,FALSE))/100*$P21</f>
        <v>0.12</v>
      </c>
      <c r="G21" s="168">
        <f>IF($C21="","",VLOOKUP($C21,성분!$B$2:$O$51519,4,FALSE))/100*$P21</f>
        <v>0.81599999999999995</v>
      </c>
      <c r="H21" s="168">
        <f>IF($C21="","",VLOOKUP($C21,성분!$B$2:$O$51519,6,FALSE))/100*$P21</f>
        <v>1.24</v>
      </c>
      <c r="I21" s="168">
        <f>IF($C21="","",VLOOKUP($C21,성분!$B$2:$O$51519,7,FALSE))/100*$P21</f>
        <v>11.8</v>
      </c>
      <c r="J21" s="168">
        <f>IF($C21="","",VLOOKUP($C21,성분!$B$2:$O$51519,8,FALSE))/100*$P21</f>
        <v>0.184</v>
      </c>
      <c r="K21" s="168">
        <f>IF($C21="","",VLOOKUP($C21,성분!$B$2:$O$51519,9,FALSE))/100*$P21</f>
        <v>0</v>
      </c>
      <c r="L21" s="168">
        <f>IF($C21="","",VLOOKUP($C21,성분!$B$2:$O$51519,10,FALSE))/100*$P21</f>
        <v>2E-3</v>
      </c>
      <c r="M21" s="168">
        <f>IF($C21="","",VLOOKUP($C21,성분!$B$2:$O$51519,11,FALSE))/100*$P21</f>
        <v>8.0000000000000004E-4</v>
      </c>
      <c r="N21" s="168">
        <f>IF($C21="","",VLOOKUP($C21,성분!$B$2:$O$51519,12,FALSE))/100*$P21</f>
        <v>1.2E-2</v>
      </c>
      <c r="O21" s="167">
        <f>IF($C21="","",VLOOKUP($C21,성분!$B$2:$O$51519,13,FALSE))/100*$P21</f>
        <v>0</v>
      </c>
      <c r="P21" s="165">
        <f t="shared" si="0"/>
        <v>4</v>
      </c>
      <c r="Q21" s="162">
        <f t="shared" si="1"/>
        <v>0.56399999999999995</v>
      </c>
      <c r="R21" s="18"/>
    </row>
    <row r="22" spans="1:18" s="160" customFormat="1" ht="27.75" customHeight="1">
      <c r="A22" s="166">
        <f t="shared" si="3"/>
        <v>12</v>
      </c>
      <c r="B22" s="171"/>
      <c r="C22" s="169" t="s">
        <v>2518</v>
      </c>
      <c r="D22" s="168">
        <v>15</v>
      </c>
      <c r="E22" s="168">
        <f>IF($C22="","",VLOOKUP($C22,성분!$B$2:$O$51519,3,FALSE))/100*P22</f>
        <v>22.5</v>
      </c>
      <c r="F22" s="168">
        <f>IF($C22="","",VLOOKUP($C22,성분!$B$2:$O$51519,5,FALSE))/100*$P22</f>
        <v>1.8599999999999999</v>
      </c>
      <c r="G22" s="168">
        <f>IF($C22="","",VLOOKUP($C22,성분!$B$2:$O$51519,4,FALSE))/100*$P22</f>
        <v>1.9500000000000002</v>
      </c>
      <c r="H22" s="168">
        <f>IF($C22="","",VLOOKUP($C22,성분!$B$2:$O$51519,6,FALSE))/100*$P22</f>
        <v>0.10499999999999998</v>
      </c>
      <c r="I22" s="168">
        <f>IF($C22="","",VLOOKUP($C22,성분!$B$2:$O$51519,7,FALSE))/100*$P22</f>
        <v>6.3</v>
      </c>
      <c r="J22" s="168">
        <f>IF($C22="","",VLOOKUP($C22,성분!$B$2:$O$51519,8,FALSE))/100*$P22</f>
        <v>0.44999999999999996</v>
      </c>
      <c r="K22" s="168">
        <f>IF($C22="","",VLOOKUP($C22,성분!$B$2:$O$51519,9,FALSE))/100*$P22</f>
        <v>0</v>
      </c>
      <c r="L22" s="168">
        <f>IF($C22="","",VLOOKUP($C22,성분!$B$2:$O$51519,10,FALSE))/100*$P22</f>
        <v>3.0000000000000001E-3</v>
      </c>
      <c r="M22" s="168">
        <f>IF($C22="","",VLOOKUP($C22,성분!$B$2:$O$51519,11,FALSE))/100*$P22</f>
        <v>1.0500000000000002E-2</v>
      </c>
      <c r="N22" s="168">
        <f>IF($C22="","",VLOOKUP($C22,성분!$B$2:$O$51519,12,FALSE))/100*$P22</f>
        <v>0.19500000000000001</v>
      </c>
      <c r="O22" s="167">
        <f>IF($C22="","",VLOOKUP($C22,성분!$B$2:$O$51519,13,FALSE))/100*$P22</f>
        <v>0</v>
      </c>
      <c r="P22" s="165">
        <f t="shared" si="0"/>
        <v>15</v>
      </c>
      <c r="Q22" s="162">
        <f t="shared" si="1"/>
        <v>2.1150000000000002</v>
      </c>
      <c r="R22" s="18"/>
    </row>
    <row r="23" spans="1:18" s="160" customFormat="1" ht="27.75" customHeight="1">
      <c r="A23" s="166">
        <f t="shared" si="3"/>
        <v>13</v>
      </c>
      <c r="B23" s="171"/>
      <c r="C23" s="169" t="s">
        <v>2519</v>
      </c>
      <c r="D23" s="168">
        <v>1.5</v>
      </c>
      <c r="E23" s="168">
        <f>IF($C23="","",VLOOKUP($C23,성분!$B$2:$O$51519,3,FALSE))/100*P23</f>
        <v>8.8500000000000014</v>
      </c>
      <c r="F23" s="168">
        <f>IF($C23="","",VLOOKUP($C23,성분!$B$2:$O$51519,5,FALSE))/100*$P23</f>
        <v>0.71249999999999991</v>
      </c>
      <c r="G23" s="168">
        <f>IF($C23="","",VLOOKUP($C23,성분!$B$2:$O$51519,4,FALSE))/100*$P23</f>
        <v>9.6000000000000002E-2</v>
      </c>
      <c r="H23" s="168">
        <f>IF($C23="","",VLOOKUP($C23,성분!$B$2:$O$51519,6,FALSE))/100*$P23</f>
        <v>9.6000000000000002E-2</v>
      </c>
      <c r="I23" s="168">
        <f>IF($C23="","",VLOOKUP($C23,성분!$B$2:$O$51519,7,FALSE))/100*$P23</f>
        <v>0</v>
      </c>
      <c r="J23" s="168">
        <f>IF($C23="","",VLOOKUP($C23,성분!$B$2:$O$51519,8,FALSE))/100*$P23</f>
        <v>0</v>
      </c>
      <c r="K23" s="168">
        <f>IF($C23="","",VLOOKUP($C23,성분!$B$2:$O$51519,9,FALSE))/100*$P23</f>
        <v>0</v>
      </c>
      <c r="L23" s="168">
        <f>IF($C23="","",VLOOKUP($C23,성분!$B$2:$O$51519,10,FALSE))/100*$P23</f>
        <v>0</v>
      </c>
      <c r="M23" s="168">
        <f>IF($C23="","",VLOOKUP($C23,성분!$B$2:$O$51519,11,FALSE))/100*$P23</f>
        <v>0</v>
      </c>
      <c r="N23" s="168">
        <f>IF($C23="","",VLOOKUP($C23,성분!$B$2:$O$51519,12,FALSE))/100*$P23</f>
        <v>0</v>
      </c>
      <c r="O23" s="167">
        <f>IF($C23="","",VLOOKUP($C23,성분!$B$2:$O$51519,13,FALSE))/100*$P23</f>
        <v>0</v>
      </c>
      <c r="P23" s="165">
        <f t="shared" si="0"/>
        <v>1.5</v>
      </c>
      <c r="Q23" s="162">
        <f t="shared" si="1"/>
        <v>0.21149999999999999</v>
      </c>
      <c r="R23" s="18"/>
    </row>
    <row r="24" spans="1:18" s="160" customFormat="1" ht="27.75" customHeight="1">
      <c r="A24" s="166">
        <f t="shared" si="3"/>
        <v>14</v>
      </c>
      <c r="B24" s="171"/>
      <c r="C24" s="169" t="s">
        <v>1173</v>
      </c>
      <c r="D24" s="168">
        <v>4</v>
      </c>
      <c r="E24" s="168">
        <f>IF($C24="","",VLOOKUP($C24,성분!$B$2:$O$51519,3,FALSE))/100*P24</f>
        <v>0.76</v>
      </c>
      <c r="F24" s="168">
        <f>IF($C24="","",VLOOKUP($C24,성분!$B$2:$O$51519,5,FALSE))/100*$P24</f>
        <v>0.10400000000000001</v>
      </c>
      <c r="G24" s="168">
        <f>IF($C24="","",VLOOKUP($C24,성분!$B$2:$O$51519,4,FALSE))/100*$P24</f>
        <v>0.10800000000000001</v>
      </c>
      <c r="H24" s="168">
        <f>IF($C24="","",VLOOKUP($C24,성분!$B$2:$O$51519,6,FALSE))/100*$P24</f>
        <v>1.1200000000000002E-2</v>
      </c>
      <c r="I24" s="168">
        <f>IF($C24="","",VLOOKUP($C24,성분!$B$2:$O$51519,7,FALSE))/100*$P24</f>
        <v>3.76</v>
      </c>
      <c r="J24" s="168">
        <f>IF($C24="","",VLOOKUP($C24,성분!$B$2:$O$51519,8,FALSE))/100*$P24</f>
        <v>7.5999999999999998E-2</v>
      </c>
      <c r="K24" s="168">
        <f>IF($C24="","",VLOOKUP($C24,성분!$B$2:$O$51519,9,FALSE))/100*$P24</f>
        <v>18.32</v>
      </c>
      <c r="L24" s="168">
        <f>IF($C24="","",VLOOKUP($C24,성분!$B$2:$O$51519,10,FALSE))/100*$P24</f>
        <v>4.4000000000000003E-3</v>
      </c>
      <c r="M24" s="168">
        <f>IF($C24="","",VLOOKUP($C24,성분!$B$2:$O$51519,11,FALSE))/100*$P24</f>
        <v>9.1999999999999998E-3</v>
      </c>
      <c r="N24" s="168">
        <f>IF($C24="","",VLOOKUP($C24,성분!$B$2:$O$51519,12,FALSE))/100*$P24</f>
        <v>2.4E-2</v>
      </c>
      <c r="O24" s="167">
        <f>IF($C24="","",VLOOKUP($C24,성분!$B$2:$O$51519,13,FALSE))/100*$P24</f>
        <v>0.6</v>
      </c>
      <c r="P24" s="165">
        <f t="shared" si="0"/>
        <v>4</v>
      </c>
      <c r="Q24" s="162">
        <f t="shared" si="1"/>
        <v>0.56399999999999995</v>
      </c>
      <c r="R24" s="18"/>
    </row>
    <row r="25" spans="1:18" s="160" customFormat="1" ht="27.75" customHeight="1">
      <c r="A25" s="166">
        <f t="shared" si="3"/>
        <v>15</v>
      </c>
      <c r="B25" s="171"/>
      <c r="C25" s="169" t="s">
        <v>1954</v>
      </c>
      <c r="D25" s="168">
        <v>3</v>
      </c>
      <c r="E25" s="168">
        <f>IF($C25="","",VLOOKUP($C25,성분!$B$2:$O$51519,3,FALSE))/100*P25</f>
        <v>5.67</v>
      </c>
      <c r="F25" s="168">
        <f>IF($C25="","",VLOOKUP($C25,성분!$B$2:$O$51519,5,FALSE))/100*$P25</f>
        <v>1.3560000000000001</v>
      </c>
      <c r="G25" s="168">
        <f>IF($C25="","",VLOOKUP($C25,성분!$B$2:$O$51519,4,FALSE))/100*$P25</f>
        <v>0.22200000000000003</v>
      </c>
      <c r="H25" s="168">
        <f>IF($C25="","",VLOOKUP($C25,성분!$B$2:$O$51519,6,FALSE))/100*$P25</f>
        <v>3.3000000000000002E-2</v>
      </c>
      <c r="I25" s="168">
        <f>IF($C25="","",VLOOKUP($C25,성분!$B$2:$O$51519,7,FALSE))/100*$P25</f>
        <v>21.240000000000002</v>
      </c>
      <c r="J25" s="168">
        <f>IF($C25="","",VLOOKUP($C25,성분!$B$2:$O$51519,8,FALSE))/100*$P25</f>
        <v>0.189</v>
      </c>
      <c r="K25" s="168">
        <f>IF($C25="","",VLOOKUP($C25,성분!$B$2:$O$51519,9,FALSE))/100*$P25</f>
        <v>2.88</v>
      </c>
      <c r="L25" s="168">
        <f>IF($C25="","",VLOOKUP($C25,성분!$B$2:$O$51519,10,FALSE))/100*$P25</f>
        <v>6.6E-3</v>
      </c>
      <c r="M25" s="168">
        <f>IF($C25="","",VLOOKUP($C25,성분!$B$2:$O$51519,11,FALSE))/100*$P25</f>
        <v>1.3500000000000002E-2</v>
      </c>
      <c r="N25" s="168">
        <f>IF($C25="","",VLOOKUP($C25,성분!$B$2:$O$51519,12,FALSE))/100*$P25</f>
        <v>0.13500000000000001</v>
      </c>
      <c r="O25" s="167">
        <f>IF($C25="","",VLOOKUP($C25,성분!$B$2:$O$51519,13,FALSE))/100*$P25</f>
        <v>0.54</v>
      </c>
      <c r="P25" s="165">
        <f t="shared" si="0"/>
        <v>3</v>
      </c>
      <c r="Q25" s="162">
        <f t="shared" si="1"/>
        <v>0.42299999999999999</v>
      </c>
      <c r="R25" s="18"/>
    </row>
    <row r="26" spans="1:18" s="160" customFormat="1" ht="27.75" customHeight="1">
      <c r="A26" s="166">
        <f t="shared" si="3"/>
        <v>16</v>
      </c>
      <c r="B26" s="171"/>
      <c r="C26" s="169" t="s">
        <v>1933</v>
      </c>
      <c r="D26" s="168">
        <v>3</v>
      </c>
      <c r="E26" s="168">
        <f>IF($C26="","",VLOOKUP($C26,성분!$B$2:$O$51519,3,FALSE))/100*P26</f>
        <v>9.09</v>
      </c>
      <c r="F26" s="168">
        <f>IF($C26="","",VLOOKUP($C26,성분!$B$2:$O$51519,5,FALSE))/100*$P26</f>
        <v>9.0000000000000011E-3</v>
      </c>
      <c r="G26" s="168">
        <f>IF($C26="","",VLOOKUP($C26,성분!$B$2:$O$51519,4,FALSE))/100*$P26</f>
        <v>0.99</v>
      </c>
      <c r="H26" s="168">
        <f>IF($C26="","",VLOOKUP($C26,성분!$B$2:$O$51519,6,FALSE))/100*$P26</f>
        <v>0.21899999999999997</v>
      </c>
      <c r="I26" s="168">
        <f>IF($C26="","",VLOOKUP($C26,성분!$B$2:$O$51519,7,FALSE))/100*$P26</f>
        <v>51</v>
      </c>
      <c r="J26" s="168">
        <f>IF($C26="","",VLOOKUP($C26,성분!$B$2:$O$51519,8,FALSE))/100*$P26</f>
        <v>0.12</v>
      </c>
      <c r="K26" s="168">
        <f>IF($C26="","",VLOOKUP($C26,성분!$B$2:$O$51519,9,FALSE))/100*$P26</f>
        <v>0</v>
      </c>
      <c r="L26" s="168">
        <f>IF($C26="","",VLOOKUP($C26,성분!$B$2:$O$51519,10,FALSE))/100*$P26</f>
        <v>4.2000000000000006E-3</v>
      </c>
      <c r="M26" s="168">
        <f>IF($C26="","",VLOOKUP($C26,성분!$B$2:$O$51519,11,FALSE))/100*$P26</f>
        <v>3.5999999999999999E-3</v>
      </c>
      <c r="N26" s="168">
        <f>IF($C26="","",VLOOKUP($C26,성분!$B$2:$O$51519,12,FALSE))/100*$P26</f>
        <v>0.06</v>
      </c>
      <c r="O26" s="167">
        <f>IF($C26="","",VLOOKUP($C26,성분!$B$2:$O$51519,13,FALSE))/100*$P26</f>
        <v>0</v>
      </c>
      <c r="P26" s="165">
        <f t="shared" si="0"/>
        <v>3</v>
      </c>
      <c r="Q26" s="162">
        <f t="shared" si="1"/>
        <v>0.42299999999999999</v>
      </c>
      <c r="R26" s="18"/>
    </row>
    <row r="27" spans="1:18" s="160" customFormat="1" ht="27.75" customHeight="1">
      <c r="A27" s="166">
        <f t="shared" si="3"/>
        <v>17</v>
      </c>
      <c r="B27" s="171" t="s">
        <v>2520</v>
      </c>
      <c r="C27" s="169" t="s">
        <v>2521</v>
      </c>
      <c r="D27" s="168">
        <v>100</v>
      </c>
      <c r="E27" s="168">
        <f>IF($C27="","",VLOOKUP($C27,성분!$B$2:$O$51519,3,FALSE))/100*P27</f>
        <v>150</v>
      </c>
      <c r="F27" s="168">
        <f>IF($C27="","",VLOOKUP($C27,성분!$B$2:$O$51519,5,FALSE))/100*$P27</f>
        <v>51</v>
      </c>
      <c r="G27" s="168">
        <f>IF($C27="","",VLOOKUP($C27,성분!$B$2:$O$51519,4,FALSE))/100*$P27</f>
        <v>9.3000000000000007</v>
      </c>
      <c r="H27" s="168">
        <f>IF($C27="","",VLOOKUP($C27,성분!$B$2:$O$51519,6,FALSE))/100*$P27</f>
        <v>12</v>
      </c>
      <c r="I27" s="168">
        <f>IF($C27="","",VLOOKUP($C27,성분!$B$2:$O$51519,7,FALSE))/100*$P27</f>
        <v>28.000000000000004</v>
      </c>
      <c r="J27" s="168">
        <f>IF($C27="","",VLOOKUP($C27,성분!$B$2:$O$51519,8,FALSE))/100*$P27</f>
        <v>0.90000000000000013</v>
      </c>
      <c r="K27" s="168">
        <f>IF($C27="","",VLOOKUP($C27,성분!$B$2:$O$51519,9,FALSE))/100*$P27</f>
        <v>2</v>
      </c>
      <c r="L27" s="168">
        <f>IF($C27="","",VLOOKUP($C27,성분!$B$2:$O$51519,10,FALSE))/100*$P27</f>
        <v>7.0000000000000007E-2</v>
      </c>
      <c r="M27" s="168">
        <f>IF($C27="","",VLOOKUP($C27,성분!$B$2:$O$51519,11,FALSE))/100*$P27</f>
        <v>0.05</v>
      </c>
      <c r="N27" s="168">
        <f>IF($C27="","",VLOOKUP($C27,성분!$B$2:$O$51519,12,FALSE))/100*$P27</f>
        <v>1.1000000000000001</v>
      </c>
      <c r="O27" s="167">
        <f>IF($C27="","",VLOOKUP($C27,성분!$B$2:$O$51519,13,FALSE))/100*$P27</f>
        <v>0</v>
      </c>
      <c r="P27" s="165">
        <f t="shared" si="0"/>
        <v>100</v>
      </c>
      <c r="Q27" s="162">
        <f t="shared" si="1"/>
        <v>14.1</v>
      </c>
      <c r="R27" s="18"/>
    </row>
    <row r="28" spans="1:18" s="160" customFormat="1" ht="27.75" customHeight="1">
      <c r="A28" s="166">
        <f t="shared" si="3"/>
        <v>18</v>
      </c>
      <c r="B28" s="171"/>
      <c r="C28" s="169" t="s">
        <v>962</v>
      </c>
      <c r="D28" s="168">
        <v>10</v>
      </c>
      <c r="E28" s="168">
        <f>IF($C28="","",VLOOKUP($C28,성분!$B$2:$O$51519,3,FALSE))/100*P28</f>
        <v>70.7</v>
      </c>
      <c r="F28" s="168">
        <f>IF($C28="","",VLOOKUP($C28,성분!$B$2:$O$51519,5,FALSE))/100*$P28</f>
        <v>0.42000000000000004</v>
      </c>
      <c r="G28" s="168">
        <f>IF($C28="","",VLOOKUP($C28,성분!$B$2:$O$51519,4,FALSE))/100*$P28</f>
        <v>0.06</v>
      </c>
      <c r="H28" s="168">
        <f>IF($C28="","",VLOOKUP($C28,성분!$B$2:$O$51519,6,FALSE))/100*$P28</f>
        <v>7.0900000000000007</v>
      </c>
      <c r="I28" s="168">
        <f>IF($C28="","",VLOOKUP($C28,성분!$B$2:$O$51519,7,FALSE))/100*$P28</f>
        <v>2.1</v>
      </c>
      <c r="J28" s="168">
        <f>IF($C28="","",VLOOKUP($C28,성분!$B$2:$O$51519,8,FALSE))/100*$P28</f>
        <v>8.0000000000000002E-3</v>
      </c>
      <c r="K28" s="168">
        <f>IF($C28="","",VLOOKUP($C28,성분!$B$2:$O$51519,9,FALSE))/100*$P28</f>
        <v>1.5</v>
      </c>
      <c r="L28" s="168">
        <f>IF($C28="","",VLOOKUP($C28,성분!$B$2:$O$51519,10,FALSE))/100*$P28</f>
        <v>2E-3</v>
      </c>
      <c r="M28" s="168">
        <f>IF($C28="","",VLOOKUP($C28,성분!$B$2:$O$51519,11,FALSE))/100*$P28</f>
        <v>2.9999999999999996E-3</v>
      </c>
      <c r="N28" s="168">
        <f>IF($C28="","",VLOOKUP($C28,성분!$B$2:$O$51519,12,FALSE))/100*$P28</f>
        <v>0.01</v>
      </c>
      <c r="O28" s="167">
        <f>IF($C28="","",VLOOKUP($C28,성분!$B$2:$O$51519,13,FALSE))/100*$P28</f>
        <v>0</v>
      </c>
      <c r="P28" s="165">
        <f t="shared" si="0"/>
        <v>10</v>
      </c>
      <c r="Q28" s="162">
        <f t="shared" si="1"/>
        <v>1.41</v>
      </c>
      <c r="R28" s="18"/>
    </row>
    <row r="29" spans="1:18" s="160" customFormat="1" ht="27.75" customHeight="1">
      <c r="A29" s="166">
        <f t="shared" si="3"/>
        <v>19</v>
      </c>
      <c r="B29" s="171"/>
      <c r="C29" s="169" t="s">
        <v>1711</v>
      </c>
      <c r="D29" s="168">
        <v>5</v>
      </c>
      <c r="E29" s="168">
        <f>IF($C29="","",VLOOKUP($C29,성분!$B$2:$O$51519,3,FALSE))/100*P29</f>
        <v>18.55</v>
      </c>
      <c r="F29" s="168">
        <f>IF($C29="","",VLOOKUP($C29,성분!$B$2:$O$51519,5,FALSE))/100*$P29</f>
        <v>0.1</v>
      </c>
      <c r="G29" s="168">
        <f>IF($C29="","",VLOOKUP($C29,성분!$B$2:$O$51519,4,FALSE))/100*$P29</f>
        <v>0.5</v>
      </c>
      <c r="H29" s="168">
        <f>IF($C29="","",VLOOKUP($C29,성분!$B$2:$O$51519,6,FALSE))/100*$P29</f>
        <v>0</v>
      </c>
      <c r="I29" s="168">
        <f>IF($C29="","",VLOOKUP($C29,성분!$B$2:$O$51519,7,FALSE))/100*$P29</f>
        <v>2.375</v>
      </c>
      <c r="J29" s="168">
        <f>IF($C29="","",VLOOKUP($C29,성분!$B$2:$O$51519,8,FALSE))/100*$P29</f>
        <v>0.21000000000000002</v>
      </c>
      <c r="K29" s="168">
        <f>IF($C29="","",VLOOKUP($C29,성분!$B$2:$O$51519,9,FALSE))/100*$P29</f>
        <v>0</v>
      </c>
      <c r="L29" s="168">
        <f>IF($C29="","",VLOOKUP($C29,성분!$B$2:$O$51519,10,FALSE))/100*$P29</f>
        <v>0</v>
      </c>
      <c r="M29" s="168">
        <f>IF($C29="","",VLOOKUP($C29,성분!$B$2:$O$51519,11,FALSE))/100*$P29</f>
        <v>0</v>
      </c>
      <c r="N29" s="168">
        <f>IF($C29="","",VLOOKUP($C29,성분!$B$2:$O$51519,12,FALSE))/100*$P29</f>
        <v>0</v>
      </c>
      <c r="O29" s="167">
        <f>IF($C29="","",VLOOKUP($C29,성분!$B$2:$O$51519,13,FALSE))/100*$P29</f>
        <v>0</v>
      </c>
      <c r="P29" s="165">
        <f t="shared" si="0"/>
        <v>5</v>
      </c>
      <c r="Q29" s="162">
        <f t="shared" si="1"/>
        <v>0.70499999999999996</v>
      </c>
      <c r="R29" s="18"/>
    </row>
    <row r="30" spans="1:18" s="160" customFormat="1" ht="27.75" customHeight="1">
      <c r="A30" s="166">
        <f t="shared" si="3"/>
        <v>20</v>
      </c>
      <c r="B30" s="171"/>
      <c r="C30" s="169" t="s">
        <v>2522</v>
      </c>
      <c r="D30" s="168">
        <v>1.5</v>
      </c>
      <c r="E30" s="168">
        <f>IF($C30="","",VLOOKUP($C30,성분!$B$2:$O$51519,3,FALSE))/100*P30</f>
        <v>5.58</v>
      </c>
      <c r="F30" s="168">
        <f>IF($C30="","",VLOOKUP($C30,성분!$B$2:$O$51519,5,FALSE))/100*$P30</f>
        <v>2.4E-2</v>
      </c>
      <c r="G30" s="168">
        <f>IF($C30="","",VLOOKUP($C30,성분!$B$2:$O$51519,4,FALSE))/100*$P30</f>
        <v>1.0394999999999999</v>
      </c>
      <c r="H30" s="168">
        <f>IF($C30="","",VLOOKUP($C30,성분!$B$2:$O$51519,6,FALSE))/100*$P30</f>
        <v>0.11549999999999999</v>
      </c>
      <c r="I30" s="168">
        <f>IF($C30="","",VLOOKUP($C30,성분!$B$2:$O$51519,7,FALSE))/100*$P30</f>
        <v>0.24</v>
      </c>
      <c r="J30" s="168">
        <f>IF($C30="","",VLOOKUP($C30,성분!$B$2:$O$51519,8,FALSE))/100*$P30</f>
        <v>2.4E-2</v>
      </c>
      <c r="K30" s="168">
        <f>IF($C30="","",VLOOKUP($C30,성분!$B$2:$O$51519,9,FALSE))/100*$P30</f>
        <v>0</v>
      </c>
      <c r="L30" s="168">
        <f>IF($C30="","",VLOOKUP($C30,성분!$B$2:$O$51519,10,FALSE))/100*$P30</f>
        <v>0</v>
      </c>
      <c r="M30" s="168">
        <f>IF($C30="","",VLOOKUP($C30,성분!$B$2:$O$51519,11,FALSE))/100*$P30</f>
        <v>7.4999999999999997E-3</v>
      </c>
      <c r="N30" s="168">
        <f>IF($C30="","",VLOOKUP($C30,성분!$B$2:$O$51519,12,FALSE))/100*$P30</f>
        <v>0.41250000000000003</v>
      </c>
      <c r="O30" s="167">
        <f>IF($C30="","",VLOOKUP($C30,성분!$B$2:$O$51519,13,FALSE))/100*$P30</f>
        <v>0</v>
      </c>
      <c r="P30" s="165">
        <f t="shared" ref="P30" si="6">D30</f>
        <v>1.5</v>
      </c>
      <c r="Q30" s="162">
        <f t="shared" ref="Q30" si="7">($O$8*P30)/1000</f>
        <v>0.21149999999999999</v>
      </c>
      <c r="R30" s="18"/>
    </row>
    <row r="31" spans="1:18" s="160" customFormat="1" ht="27.75" customHeight="1">
      <c r="A31" s="166">
        <f t="shared" si="3"/>
        <v>21</v>
      </c>
      <c r="B31" s="171" t="s">
        <v>1084</v>
      </c>
      <c r="C31" s="169" t="s">
        <v>1084</v>
      </c>
      <c r="D31" s="168">
        <v>30</v>
      </c>
      <c r="E31" s="168">
        <f>IF($C31="","",VLOOKUP($C31,성분!$B$2:$O$51519,3,FALSE))/100*P31</f>
        <v>15</v>
      </c>
      <c r="F31" s="168">
        <f>IF($C31="","",VLOOKUP($C31,성분!$B$2:$O$51519,5,FALSE))/100*$P31</f>
        <v>1.32</v>
      </c>
      <c r="G31" s="168">
        <f>IF($C31="","",VLOOKUP($C31,성분!$B$2:$O$51519,4,FALSE))/100*$P31</f>
        <v>0.6</v>
      </c>
      <c r="H31" s="168">
        <f>IF($C31="","",VLOOKUP($C31,성분!$B$2:$O$51519,6,FALSE))/100*$P31</f>
        <v>0.06</v>
      </c>
      <c r="I31" s="168">
        <f>IF($C31="","",VLOOKUP($C31,성분!$B$2:$O$51519,7,FALSE))/100*$P31</f>
        <v>14.1</v>
      </c>
      <c r="J31" s="168">
        <f>IF($C31="","",VLOOKUP($C31,성분!$B$2:$O$51519,8,FALSE))/100*$P31</f>
        <v>0.89999999999999991</v>
      </c>
      <c r="K31" s="168">
        <f>IF($C31="","",VLOOKUP($C31,성분!$B$2:$O$51519,9,FALSE))/100*$P31</f>
        <v>14.399999999999999</v>
      </c>
      <c r="L31" s="168">
        <f>IF($C31="","",VLOOKUP($C31,성분!$B$2:$O$51519,10,FALSE))/100*$P31</f>
        <v>1.7999999999999999E-2</v>
      </c>
      <c r="M31" s="168">
        <f>IF($C31="","",VLOOKUP($C31,성분!$B$2:$O$51519,11,FALSE))/100*$P31</f>
        <v>1.7999999999999999E-2</v>
      </c>
      <c r="N31" s="168">
        <f>IF($C31="","",VLOOKUP($C31,성분!$B$2:$O$51519,12,FALSE))/100*$P31</f>
        <v>0.24</v>
      </c>
      <c r="O31" s="167">
        <f>IF($C31="","",VLOOKUP($C31,성분!$B$2:$O$51519,13,FALSE))/100*$P31</f>
        <v>4.2</v>
      </c>
      <c r="P31" s="165">
        <f t="shared" ref="P31:P32" si="8">D31</f>
        <v>30</v>
      </c>
      <c r="Q31" s="162">
        <f t="shared" ref="Q31:Q32" si="9">($O$8*P31)/1000</f>
        <v>4.2300000000000004</v>
      </c>
      <c r="R31" s="18"/>
    </row>
    <row r="32" spans="1:18" s="160" customFormat="1" ht="27.75" customHeight="1">
      <c r="A32" s="166">
        <f t="shared" si="3"/>
        <v>22</v>
      </c>
      <c r="B32" s="171" t="s">
        <v>2523</v>
      </c>
      <c r="C32" s="169" t="s">
        <v>2523</v>
      </c>
      <c r="D32" s="168">
        <v>190</v>
      </c>
      <c r="E32" s="168">
        <f>IF($C32="","",VLOOKUP($C32,성분!$B$2:$O$51519,3,FALSE))/100*P32</f>
        <v>30.400000000000002</v>
      </c>
      <c r="F32" s="168">
        <f>IF($C32="","",VLOOKUP($C32,성분!$B$2:$O$51519,5,FALSE))/100*$P32</f>
        <v>0</v>
      </c>
      <c r="G32" s="168">
        <f>IF($C32="","",VLOOKUP($C32,성분!$B$2:$O$51519,4,FALSE))/100*$P32</f>
        <v>0</v>
      </c>
      <c r="H32" s="168">
        <f>IF($C32="","",VLOOKUP($C32,성분!$B$2:$O$51519,6,FALSE))/100*$P32</f>
        <v>0</v>
      </c>
      <c r="I32" s="168">
        <f>IF($C32="","",VLOOKUP($C32,성분!$B$2:$O$51519,7,FALSE))/100*$P32</f>
        <v>0</v>
      </c>
      <c r="J32" s="168">
        <f>IF($C32="","",VLOOKUP($C32,성분!$B$2:$O$51519,8,FALSE))/100*$P32</f>
        <v>0</v>
      </c>
      <c r="K32" s="168">
        <f>IF($C32="","",VLOOKUP($C32,성분!$B$2:$O$51519,9,FALSE))/100*$P32</f>
        <v>0</v>
      </c>
      <c r="L32" s="168">
        <f>IF($C32="","",VLOOKUP($C32,성분!$B$2:$O$51519,10,FALSE))/100*$P32</f>
        <v>0</v>
      </c>
      <c r="M32" s="168">
        <f>IF($C32="","",VLOOKUP($C32,성분!$B$2:$O$51519,11,FALSE))/100*$P32</f>
        <v>0</v>
      </c>
      <c r="N32" s="168">
        <f>IF($C32="","",VLOOKUP($C32,성분!$B$2:$O$51519,12,FALSE))/100*$P32</f>
        <v>0</v>
      </c>
      <c r="O32" s="167">
        <f>IF($C32="","",VLOOKUP($C32,성분!$B$2:$O$51519,13,FALSE))/100*$P32</f>
        <v>0</v>
      </c>
      <c r="P32" s="165">
        <f t="shared" si="8"/>
        <v>190</v>
      </c>
      <c r="Q32" s="162">
        <f t="shared" si="9"/>
        <v>26.79</v>
      </c>
      <c r="R32" s="18"/>
    </row>
    <row r="33" spans="1:19" s="160" customFormat="1" ht="32.25" customHeight="1">
      <c r="A33" s="235" t="s">
        <v>1628</v>
      </c>
      <c r="B33" s="236"/>
      <c r="C33" s="236"/>
      <c r="D33" s="237"/>
      <c r="E33" s="19">
        <f t="shared" ref="E33:O33" si="10">SUM(E11:E32)</f>
        <v>985.8599999999999</v>
      </c>
      <c r="F33" s="19">
        <f t="shared" si="10"/>
        <v>170.75289999999995</v>
      </c>
      <c r="G33" s="44">
        <f t="shared" si="10"/>
        <v>38.717799999999997</v>
      </c>
      <c r="H33" s="44">
        <f t="shared" si="10"/>
        <v>41.464500000000001</v>
      </c>
      <c r="I33" s="44">
        <f t="shared" si="10"/>
        <v>234.36500000000001</v>
      </c>
      <c r="J33" s="44">
        <f t="shared" si="10"/>
        <v>5.5594000000000001</v>
      </c>
      <c r="K33" s="44">
        <f t="shared" si="10"/>
        <v>104.91999999999999</v>
      </c>
      <c r="L33" s="19">
        <f t="shared" si="10"/>
        <v>0.34870000000000001</v>
      </c>
      <c r="M33" s="19">
        <f t="shared" si="10"/>
        <v>0.32540000000000002</v>
      </c>
      <c r="N33" s="19">
        <f t="shared" si="10"/>
        <v>7.9678999999999984</v>
      </c>
      <c r="O33" s="19">
        <f t="shared" si="10"/>
        <v>39.840000000000003</v>
      </c>
      <c r="P33" s="165">
        <f t="shared" si="0"/>
        <v>0</v>
      </c>
      <c r="Q33" s="162">
        <f t="shared" si="1"/>
        <v>0</v>
      </c>
      <c r="R33" s="18">
        <f t="shared" si="2"/>
        <v>0</v>
      </c>
    </row>
    <row r="34" spans="1:19" s="21" customFormat="1" ht="32.25" customHeight="1">
      <c r="A34" s="238" t="s">
        <v>1790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40"/>
      <c r="P34" s="20"/>
      <c r="Q34" s="160"/>
      <c r="R34" s="18">
        <f>INT(Q34)</f>
        <v>0</v>
      </c>
    </row>
    <row r="35" spans="1:19" s="160" customFormat="1" ht="19.5" customHeight="1">
      <c r="A35" s="220" t="s">
        <v>1629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2"/>
      <c r="S35" s="18">
        <f>INT(R35)</f>
        <v>0</v>
      </c>
    </row>
    <row r="36" spans="1:19" s="160" customFormat="1" ht="20.100000000000001" customHeight="1">
      <c r="A36" s="247" t="s">
        <v>1630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  <c r="P36" s="244" t="s">
        <v>5</v>
      </c>
      <c r="Q36" s="245"/>
      <c r="R36" s="250">
        <v>5000</v>
      </c>
      <c r="S36" s="250"/>
    </row>
    <row r="37" spans="1:19" s="160" customFormat="1" ht="20.100000000000001" customHeight="1">
      <c r="A37" s="251" t="s">
        <v>1769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3"/>
      <c r="P37" s="244" t="s">
        <v>6</v>
      </c>
      <c r="Q37" s="245"/>
      <c r="R37" s="250">
        <f>R36*0.72</f>
        <v>3600</v>
      </c>
      <c r="S37" s="250"/>
    </row>
    <row r="38" spans="1:19" s="160" customFormat="1" ht="20.100000000000001" customHeight="1">
      <c r="A38" s="241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3"/>
      <c r="P38" s="244" t="s">
        <v>1631</v>
      </c>
      <c r="Q38" s="245"/>
      <c r="R38" s="246">
        <v>0.72</v>
      </c>
      <c r="S38" s="246"/>
    </row>
    <row r="39" spans="1:19" s="160" customFormat="1" ht="20.100000000000001" customHeight="1">
      <c r="C39" s="3"/>
      <c r="D39" s="24"/>
      <c r="E39" s="25"/>
      <c r="F39" s="25"/>
      <c r="G39" s="169">
        <v>667</v>
      </c>
      <c r="H39" s="169">
        <v>15</v>
      </c>
      <c r="I39" s="169">
        <v>300</v>
      </c>
      <c r="J39" s="169">
        <v>5.4</v>
      </c>
      <c r="K39" s="169">
        <v>234</v>
      </c>
      <c r="L39" s="169">
        <v>0.34</v>
      </c>
      <c r="M39" s="169">
        <v>0.4</v>
      </c>
      <c r="N39" s="169">
        <v>5.26</v>
      </c>
      <c r="O39" s="169">
        <v>33.4</v>
      </c>
      <c r="P39" s="199"/>
      <c r="Q39" s="199"/>
      <c r="R39" s="23"/>
      <c r="S39" s="23"/>
    </row>
    <row r="40" spans="1:19" s="160" customFormat="1" ht="20.100000000000001" customHeight="1">
      <c r="A40" s="2"/>
      <c r="B40" s="2"/>
      <c r="C40" s="3"/>
      <c r="D40" s="4"/>
      <c r="E40" s="5"/>
      <c r="F40" s="5"/>
      <c r="G40" s="5"/>
      <c r="H40" s="5"/>
      <c r="I40" s="5"/>
      <c r="J40" s="2"/>
      <c r="K40" s="5"/>
      <c r="L40" s="5"/>
      <c r="M40" s="5"/>
      <c r="N40" s="5"/>
      <c r="O40" s="6"/>
    </row>
    <row r="41" spans="1:19" s="160" customFormat="1" ht="20.100000000000001" customHeight="1">
      <c r="A41" s="2"/>
      <c r="B41" s="2"/>
      <c r="C41" s="2"/>
      <c r="D41" s="4"/>
      <c r="E41" s="2"/>
      <c r="F41" s="2"/>
      <c r="G41" s="5"/>
      <c r="H41" s="5"/>
      <c r="I41" s="5"/>
      <c r="J41" s="5"/>
      <c r="K41" s="5"/>
      <c r="L41" s="5"/>
      <c r="M41" s="5"/>
      <c r="N41" s="5"/>
      <c r="O41" s="6"/>
    </row>
    <row r="42" spans="1:19" ht="12">
      <c r="C42" s="2"/>
    </row>
    <row r="43" spans="1:19" ht="12">
      <c r="C43" s="2"/>
    </row>
    <row r="1349" spans="4:4">
      <c r="D1349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5:O35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3:D33"/>
    <mergeCell ref="A34:O34"/>
    <mergeCell ref="A38:O38"/>
    <mergeCell ref="P38:Q38"/>
    <mergeCell ref="R38:S38"/>
    <mergeCell ref="A36:O36"/>
    <mergeCell ref="P36:Q36"/>
    <mergeCell ref="R36:S36"/>
    <mergeCell ref="A37:O37"/>
    <mergeCell ref="P37:Q37"/>
    <mergeCell ref="R37:S37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CA8A-9E38-4396-991F-886720FD948D}">
  <sheetPr>
    <pageSetUpPr fitToPage="1"/>
  </sheetPr>
  <dimension ref="A1:S1350"/>
  <sheetViews>
    <sheetView view="pageBreakPreview" zoomScale="85" zoomScaleNormal="85" zoomScaleSheetLayoutView="85" workbookViewId="0">
      <pane xSplit="3" ySplit="10" topLeftCell="D26" activePane="bottomRight" state="frozen"/>
      <selection activeCell="K24" sqref="K24"/>
      <selection pane="topRight" activeCell="K24" sqref="K24"/>
      <selection pane="bottomLeft" activeCell="K24" sqref="K24"/>
      <selection pane="bottomRight" activeCell="A9" sqref="A9:C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83"/>
      <c r="F1" s="183"/>
      <c r="G1" s="39"/>
      <c r="K1" s="202"/>
      <c r="L1" s="184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83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45771</v>
      </c>
      <c r="D3" s="201"/>
      <c r="E3" s="183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180</v>
      </c>
      <c r="E8" s="226"/>
      <c r="F8" s="226">
        <v>118</v>
      </c>
      <c r="G8" s="226"/>
      <c r="H8" s="226">
        <v>109</v>
      </c>
      <c r="I8" s="226"/>
      <c r="J8" s="226"/>
      <c r="K8" s="226">
        <f>SUM(D8:J8)</f>
        <v>407</v>
      </c>
      <c r="L8" s="226"/>
      <c r="M8" s="226">
        <v>2</v>
      </c>
      <c r="N8" s="227"/>
      <c r="O8" s="228">
        <f>SUM(K8:N8)</f>
        <v>409</v>
      </c>
    </row>
    <row r="9" spans="1:18" s="160" customFormat="1" ht="20.100000000000001" customHeight="1">
      <c r="A9" s="230" t="s">
        <v>0</v>
      </c>
      <c r="B9" s="231"/>
      <c r="C9" s="232"/>
      <c r="D9" s="233" t="s">
        <v>2526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80" t="s">
        <v>1626</v>
      </c>
      <c r="Q10" s="181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2192</v>
      </c>
      <c r="C11" s="169" t="s">
        <v>140</v>
      </c>
      <c r="D11" s="168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165">
        <f t="shared" ref="P11:P34" si="0">D11</f>
        <v>100</v>
      </c>
      <c r="Q11" s="162">
        <f t="shared" ref="Q11:Q34" si="1">($O$8*P11)/1000</f>
        <v>40.9</v>
      </c>
      <c r="R11" s="18">
        <f t="shared" ref="R11:R34" si="2">INT(Q11)</f>
        <v>40</v>
      </c>
    </row>
    <row r="12" spans="1:18" s="160" customFormat="1" ht="27.75" customHeight="1">
      <c r="A12" s="166">
        <f t="shared" ref="A12:A29" si="3">ROW()-10</f>
        <v>2</v>
      </c>
      <c r="B12" s="171" t="s">
        <v>2355</v>
      </c>
      <c r="C12" s="169" t="s">
        <v>2292</v>
      </c>
      <c r="D12" s="168">
        <v>55</v>
      </c>
      <c r="E12" s="168">
        <f>IF($C12="","",VLOOKUP($C12,성분!$B$2:$O$51519,3,FALSE))/100*P12</f>
        <v>17.600000000000001</v>
      </c>
      <c r="F12" s="168">
        <f>IF($C12="","",VLOOKUP($C12,성분!$B$2:$O$51519,5,FALSE))/100*$P12</f>
        <v>0.78099999999999992</v>
      </c>
      <c r="G12" s="168">
        <f>IF($C12="","",VLOOKUP($C12,성분!$B$2:$O$51519,4,FALSE))/100*$P12</f>
        <v>1.595</v>
      </c>
      <c r="H12" s="168">
        <f>IF($C12="","",VLOOKUP($C12,성분!$B$2:$O$51519,6,FALSE))/100*$P12</f>
        <v>6.5999999999999989E-2</v>
      </c>
      <c r="I12" s="168">
        <f>IF($C12="","",VLOOKUP($C12,성분!$B$2:$O$51519,7,FALSE))/100*$P12</f>
        <v>121.00000000000001</v>
      </c>
      <c r="J12" s="168">
        <f>IF($C12="","",VLOOKUP($C12,성분!$B$2:$O$51519,8,FALSE))/100*$P12</f>
        <v>7.9749999999999996</v>
      </c>
      <c r="K12" s="168">
        <f>IF($C12="","",VLOOKUP($C12,성분!$B$2:$O$51519,9,FALSE))/100*$P12</f>
        <v>46.199999999999996</v>
      </c>
      <c r="L12" s="168">
        <f>IF($C12="","",VLOOKUP($C12,성분!$B$2:$O$51519,10,FALSE))/100*$P12</f>
        <v>1.6499999999999997E-2</v>
      </c>
      <c r="M12" s="168">
        <f>IF($C12="","",VLOOKUP($C12,성분!$B$2:$O$51519,11,FALSE))/100*$P12</f>
        <v>2.75E-2</v>
      </c>
      <c r="N12" s="168">
        <f>IF($C12="","",VLOOKUP($C12,성분!$B$2:$O$51519,12,FALSE))/100*$P12</f>
        <v>0.11</v>
      </c>
      <c r="O12" s="167">
        <f>IF($C12="","",VLOOKUP($C12,성분!$B$2:$O$51519,13,FALSE))/100*$P12</f>
        <v>0</v>
      </c>
      <c r="P12" s="165">
        <f t="shared" si="0"/>
        <v>55</v>
      </c>
      <c r="Q12" s="162">
        <f t="shared" si="1"/>
        <v>22.495000000000001</v>
      </c>
      <c r="R12" s="18">
        <f t="shared" si="2"/>
        <v>22</v>
      </c>
    </row>
    <row r="13" spans="1:18" s="160" customFormat="1" ht="27.75" customHeight="1">
      <c r="A13" s="166">
        <f t="shared" si="3"/>
        <v>3</v>
      </c>
      <c r="B13" s="171"/>
      <c r="C13" s="169" t="s">
        <v>1239</v>
      </c>
      <c r="D13" s="168">
        <v>5</v>
      </c>
      <c r="E13" s="168">
        <f>IF($C13="","",VLOOKUP($C13,성분!$B$2:$O$51519,3,FALSE))/100*P13</f>
        <v>1.3</v>
      </c>
      <c r="F13" s="168">
        <f>IF($C13="","",VLOOKUP($C13,성분!$B$2:$O$51519,5,FALSE))/100*$P13</f>
        <v>0.223</v>
      </c>
      <c r="G13" s="168">
        <f>IF($C13="","",VLOOKUP($C13,성분!$B$2:$O$51519,4,FALSE))/100*$P13</f>
        <v>0</v>
      </c>
      <c r="H13" s="168">
        <f>IF($C13="","",VLOOKUP($C13,성분!$B$2:$O$51519,6,FALSE))/100*$P13</f>
        <v>1.2999999999999999E-2</v>
      </c>
      <c r="I13" s="168">
        <f>IF($C13="","",VLOOKUP($C13,성분!$B$2:$O$51519,7,FALSE))/100*$P13</f>
        <v>4.0500000000000007</v>
      </c>
      <c r="J13" s="168">
        <f>IF($C13="","",VLOOKUP($C13,성분!$B$2:$O$51519,8,FALSE))/100*$P13</f>
        <v>0.05</v>
      </c>
      <c r="K13" s="168">
        <f>IF($C13="","",VLOOKUP($C13,성분!$B$2:$O$51519,9,FALSE))/100*$P13</f>
        <v>6.45</v>
      </c>
      <c r="L13" s="168">
        <f>IF($C13="","",VLOOKUP($C13,성분!$B$2:$O$51519,10,FALSE))/100*$P13</f>
        <v>2.9999999999999996E-3</v>
      </c>
      <c r="M13" s="168">
        <f>IF($C13="","",VLOOKUP($C13,성분!$B$2:$O$51519,11,FALSE))/100*$P13</f>
        <v>4.4999999999999997E-3</v>
      </c>
      <c r="N13" s="168">
        <f>IF($C13="","",VLOOKUP($C13,성분!$B$2:$O$51519,12,FALSE))/100*$P13</f>
        <v>0.03</v>
      </c>
      <c r="O13" s="167">
        <f>IF($C13="","",VLOOKUP($C13,성분!$B$2:$O$51519,13,FALSE))/100*$P13</f>
        <v>1.05</v>
      </c>
      <c r="P13" s="165">
        <f t="shared" si="0"/>
        <v>5</v>
      </c>
      <c r="Q13" s="162">
        <f t="shared" si="1"/>
        <v>2.0449999999999999</v>
      </c>
      <c r="R13" s="18">
        <f t="shared" si="2"/>
        <v>2</v>
      </c>
    </row>
    <row r="14" spans="1:18" s="160" customFormat="1" ht="27.75" customHeight="1">
      <c r="A14" s="166">
        <f t="shared" si="3"/>
        <v>4</v>
      </c>
      <c r="B14" s="171" t="s">
        <v>2356</v>
      </c>
      <c r="C14" s="169" t="s">
        <v>2428</v>
      </c>
      <c r="D14" s="168">
        <v>45</v>
      </c>
      <c r="E14" s="168">
        <f>IF($C14="","",VLOOKUP($C14,성분!$B$2:$O$51519,3,FALSE))/100*P14</f>
        <v>90</v>
      </c>
      <c r="F14" s="168">
        <f>IF($C14="","",VLOOKUP($C14,성분!$B$2:$O$51519,5,FALSE))/100*$P14</f>
        <v>5.0399999999999991</v>
      </c>
      <c r="G14" s="168">
        <f>IF($C14="","",VLOOKUP($C14,성분!$B$2:$O$51519,4,FALSE))/100*$P14</f>
        <v>3.3300000000000005</v>
      </c>
      <c r="H14" s="168">
        <f>IF($C14="","",VLOOKUP($C14,성분!$B$2:$O$51519,6,FALSE))/100*$P14</f>
        <v>7.65</v>
      </c>
      <c r="I14" s="168">
        <f>IF($C14="","",VLOOKUP($C14,성분!$B$2:$O$51519,7,FALSE))/100*$P14</f>
        <v>0.67499999999999993</v>
      </c>
      <c r="J14" s="168">
        <f>IF($C14="","",VLOOKUP($C14,성분!$B$2:$O$51519,8,FALSE))/100*$P14</f>
        <v>0.67499999999999993</v>
      </c>
      <c r="K14" s="168">
        <f>IF($C14="","",VLOOKUP($C14,성분!$B$2:$O$51519,9,FALSE))/100*$P14</f>
        <v>7.335</v>
      </c>
      <c r="L14" s="168">
        <f>IF($C14="","",VLOOKUP($C14,성분!$B$2:$O$51519,10,FALSE))/100*$P14</f>
        <v>4.4999999999999998E-2</v>
      </c>
      <c r="M14" s="168">
        <f>IF($C14="","",VLOOKUP($C14,성분!$B$2:$O$51519,11,FALSE))/100*$P14</f>
        <v>3.6000000000000004E-2</v>
      </c>
      <c r="N14" s="168">
        <f>IF($C14="","",VLOOKUP($C14,성분!$B$2:$O$51519,12,FALSE))/100*$P14</f>
        <v>0.39149999999999996</v>
      </c>
      <c r="O14" s="167">
        <f>IF($C14="","",VLOOKUP($C14,성분!$B$2:$O$51519,13,FALSE))/100*$P14</f>
        <v>0</v>
      </c>
      <c r="P14" s="165">
        <f t="shared" si="0"/>
        <v>45</v>
      </c>
      <c r="Q14" s="162">
        <f t="shared" si="1"/>
        <v>18.405000000000001</v>
      </c>
      <c r="R14" s="18"/>
    </row>
    <row r="15" spans="1:18" s="160" customFormat="1" ht="27.75" customHeight="1">
      <c r="A15" s="166">
        <f t="shared" si="3"/>
        <v>5</v>
      </c>
      <c r="B15" s="171"/>
      <c r="C15" s="169" t="s">
        <v>2427</v>
      </c>
      <c r="D15" s="168">
        <v>75</v>
      </c>
      <c r="E15" s="168">
        <f>IF($C15="","",VLOOKUP($C15,성분!$B$2:$O$51519,3,FALSE))/100*P15</f>
        <v>148.5</v>
      </c>
      <c r="F15" s="168">
        <f>IF($C15="","",VLOOKUP($C15,성분!$B$2:$O$51519,5,FALSE))/100*$P15</f>
        <v>7.875</v>
      </c>
      <c r="G15" s="168">
        <f>IF($C15="","",VLOOKUP($C15,성분!$B$2:$O$51519,4,FALSE))/100*$P15</f>
        <v>5.4</v>
      </c>
      <c r="H15" s="168">
        <f>IF($C15="","",VLOOKUP($C15,성분!$B$2:$O$51519,6,FALSE))/100*$P15</f>
        <v>12</v>
      </c>
      <c r="I15" s="168">
        <f>IF($C15="","",VLOOKUP($C15,성분!$B$2:$O$51519,7,FALSE))/100*$P15</f>
        <v>0.75</v>
      </c>
      <c r="J15" s="168">
        <f>IF($C15="","",VLOOKUP($C15,성분!$B$2:$O$51519,8,FALSE))/100*$P15</f>
        <v>0.75</v>
      </c>
      <c r="K15" s="168">
        <f>IF($C15="","",VLOOKUP($C15,성분!$B$2:$O$51519,9,FALSE))/100*$P15</f>
        <v>12</v>
      </c>
      <c r="L15" s="168">
        <f>IF($C15="","",VLOOKUP($C15,성분!$B$2:$O$51519,10,FALSE))/100*$P15</f>
        <v>7.4999999999999997E-2</v>
      </c>
      <c r="M15" s="168">
        <f>IF($C15="","",VLOOKUP($C15,성분!$B$2:$O$51519,11,FALSE))/100*$P15</f>
        <v>6.0000000000000005E-2</v>
      </c>
      <c r="N15" s="168">
        <f>IF($C15="","",VLOOKUP($C15,성분!$B$2:$O$51519,12,FALSE))/100*$P15</f>
        <v>0.65249999999999997</v>
      </c>
      <c r="O15" s="167">
        <f>IF($C15="","",VLOOKUP($C15,성분!$B$2:$O$51519,13,FALSE))/100*$P15</f>
        <v>0</v>
      </c>
      <c r="P15" s="165">
        <f t="shared" si="0"/>
        <v>75</v>
      </c>
      <c r="Q15" s="162">
        <f t="shared" si="1"/>
        <v>30.675000000000001</v>
      </c>
      <c r="R15" s="18"/>
    </row>
    <row r="16" spans="1:18" s="160" customFormat="1" ht="27.75" customHeight="1">
      <c r="A16" s="166">
        <f t="shared" si="3"/>
        <v>6</v>
      </c>
      <c r="B16" s="171"/>
      <c r="C16" s="169" t="s">
        <v>2414</v>
      </c>
      <c r="D16" s="168">
        <v>15</v>
      </c>
      <c r="E16" s="168">
        <f>IF($C16="","",VLOOKUP($C16,성분!$B$2:$O$51519,3,FALSE))/100*P16</f>
        <v>4.2</v>
      </c>
      <c r="F16" s="168">
        <f>IF($C16="","",VLOOKUP($C16,성분!$B$2:$O$51519,5,FALSE))/100*$P16</f>
        <v>0.33</v>
      </c>
      <c r="G16" s="168">
        <f>IF($C16="","",VLOOKUP($C16,성분!$B$2:$O$51519,4,FALSE))/100*$P16</f>
        <v>0.75</v>
      </c>
      <c r="H16" s="168">
        <f>IF($C16="","",VLOOKUP($C16,성분!$B$2:$O$51519,6,FALSE))/100*$P16</f>
        <v>2.7E-2</v>
      </c>
      <c r="I16" s="168">
        <f>IF($C16="","",VLOOKUP($C16,성분!$B$2:$O$51519,7,FALSE))/100*$P16</f>
        <v>10.95</v>
      </c>
      <c r="J16" s="168">
        <f>IF($C16="","",VLOOKUP($C16,성분!$B$2:$O$51519,8,FALSE))/100*$P16</f>
        <v>0.22499999999999998</v>
      </c>
      <c r="K16" s="168">
        <f>IF($C16="","",VLOOKUP($C16,성분!$B$2:$O$51519,9,FALSE))/100*$P16</f>
        <v>19.2</v>
      </c>
      <c r="L16" s="168">
        <f>IF($C16="","",VLOOKUP($C16,성분!$B$2:$O$51519,10,FALSE))/100*$P16</f>
        <v>1.7999999999999999E-2</v>
      </c>
      <c r="M16" s="168">
        <f>IF($C16="","",VLOOKUP($C16,성분!$B$2:$O$51519,11,FALSE))/100*$P16</f>
        <v>3.9E-2</v>
      </c>
      <c r="N16" s="168">
        <f>IF($C16="","",VLOOKUP($C16,성분!$B$2:$O$51519,12,FALSE))/100*$P16</f>
        <v>0.16500000000000001</v>
      </c>
      <c r="O16" s="167">
        <f>IF($C16="","",VLOOKUP($C16,성분!$B$2:$O$51519,13,FALSE))/100*$P16</f>
        <v>14.7</v>
      </c>
      <c r="P16" s="165">
        <f t="shared" si="0"/>
        <v>15</v>
      </c>
      <c r="Q16" s="162">
        <f t="shared" si="1"/>
        <v>6.1349999999999998</v>
      </c>
      <c r="R16" s="18">
        <f t="shared" ref="R16" si="4">INT(Q16)</f>
        <v>6</v>
      </c>
    </row>
    <row r="17" spans="1:18" s="160" customFormat="1" ht="27.75" customHeight="1">
      <c r="A17" s="166">
        <f t="shared" si="3"/>
        <v>7</v>
      </c>
      <c r="B17" s="171"/>
      <c r="C17" s="169" t="s">
        <v>2322</v>
      </c>
      <c r="D17" s="168">
        <v>10</v>
      </c>
      <c r="E17" s="168">
        <f>IF($C17="","",VLOOKUP($C17,성분!$B$2:$O$51519,3,FALSE))/100*P17</f>
        <v>2.8000000000000003</v>
      </c>
      <c r="F17" s="168">
        <f>IF($C17="","",VLOOKUP($C17,성분!$B$2:$O$51519,5,FALSE))/100*$P17</f>
        <v>0.39</v>
      </c>
      <c r="G17" s="168">
        <f>IF($C17="","",VLOOKUP($C17,성분!$B$2:$O$51519,4,FALSE))/100*$P17</f>
        <v>0.24</v>
      </c>
      <c r="H17" s="168">
        <f>IF($C17="","",VLOOKUP($C17,성분!$B$2:$O$51519,6,FALSE))/100*$P17</f>
        <v>0.05</v>
      </c>
      <c r="I17" s="168">
        <f>IF($C17="","",VLOOKUP($C17,성분!$B$2:$O$51519,7,FALSE))/100*$P17</f>
        <v>0.5</v>
      </c>
      <c r="J17" s="168">
        <f>IF($C17="","",VLOOKUP($C17,성분!$B$2:$O$51519,8,FALSE))/100*$P17</f>
        <v>0.17</v>
      </c>
      <c r="K17" s="168">
        <f>IF($C17="","",VLOOKUP($C17,성분!$B$2:$O$51519,9,FALSE))/100*$P17</f>
        <v>0</v>
      </c>
      <c r="L17" s="168">
        <f>IF($C17="","",VLOOKUP($C17,성분!$B$2:$O$51519,10,FALSE))/100*$P17</f>
        <v>8.9999999999999993E-3</v>
      </c>
      <c r="M17" s="168">
        <f>IF($C17="","",VLOOKUP($C17,성분!$B$2:$O$51519,11,FALSE))/100*$P17</f>
        <v>3.3000000000000002E-2</v>
      </c>
      <c r="N17" s="168">
        <f>IF($C17="","",VLOOKUP($C17,성분!$B$2:$O$51519,12,FALSE))/100*$P17</f>
        <v>0.48</v>
      </c>
      <c r="O17" s="167">
        <f>IF($C17="","",VLOOKUP($C17,성분!$B$2:$O$51519,13,FALSE))/100*$P17</f>
        <v>0</v>
      </c>
      <c r="P17" s="165">
        <f t="shared" si="0"/>
        <v>10</v>
      </c>
      <c r="Q17" s="162">
        <f t="shared" si="1"/>
        <v>4.09</v>
      </c>
      <c r="R17" s="18"/>
    </row>
    <row r="18" spans="1:18" s="160" customFormat="1" ht="27.75" customHeight="1">
      <c r="A18" s="166">
        <f t="shared" si="3"/>
        <v>8</v>
      </c>
      <c r="B18" s="171"/>
      <c r="C18" s="169" t="s">
        <v>2237</v>
      </c>
      <c r="D18" s="168">
        <v>15</v>
      </c>
      <c r="E18" s="168">
        <f>IF($C18="","",VLOOKUP($C18,성분!$B$2:$O$51519,3,FALSE))/100*P18</f>
        <v>26.7</v>
      </c>
      <c r="F18" s="168">
        <f>IF($C18="","",VLOOKUP($C18,성분!$B$2:$O$51519,5,FALSE))/100*$P18</f>
        <v>7.68</v>
      </c>
      <c r="G18" s="168">
        <f>IF($C18="","",VLOOKUP($C18,성분!$B$2:$O$51519,4,FALSE))/100*$P18</f>
        <v>0.46499999999999997</v>
      </c>
      <c r="H18" s="168">
        <f>IF($C18="","",VLOOKUP($C18,성분!$B$2:$O$51519,6,FALSE))/100*$P18</f>
        <v>7.4999999999999997E-2</v>
      </c>
      <c r="I18" s="168">
        <f>IF($C18="","",VLOOKUP($C18,성분!$B$2:$O$51519,7,FALSE))/100*$P18</f>
        <v>0.75</v>
      </c>
      <c r="J18" s="168">
        <f>IF($C18="","",VLOOKUP($C18,성분!$B$2:$O$51519,8,FALSE))/100*$P18</f>
        <v>0.13500000000000001</v>
      </c>
      <c r="K18" s="168">
        <f>IF($C18="","",VLOOKUP($C18,성분!$B$2:$O$51519,9,FALSE))/100*$P18</f>
        <v>0</v>
      </c>
      <c r="L18" s="168">
        <f>IF($C18="","",VLOOKUP($C18,성분!$B$2:$O$51519,10,FALSE))/100*$P18</f>
        <v>3.0000000000000001E-3</v>
      </c>
      <c r="M18" s="168">
        <f>IF($C18="","",VLOOKUP($C18,성분!$B$2:$O$51519,11,FALSE))/100*$P18</f>
        <v>1.5E-3</v>
      </c>
      <c r="N18" s="168">
        <f>IF($C18="","",VLOOKUP($C18,성분!$B$2:$O$51519,12,FALSE))/100*$P18</f>
        <v>0.27</v>
      </c>
      <c r="O18" s="167">
        <f>IF($C18="","",VLOOKUP($C18,성분!$B$2:$O$51519,13,FALSE))/100*$P18</f>
        <v>0</v>
      </c>
      <c r="P18" s="165">
        <f t="shared" si="0"/>
        <v>15</v>
      </c>
      <c r="Q18" s="162">
        <f t="shared" si="1"/>
        <v>6.1349999999999998</v>
      </c>
      <c r="R18" s="18">
        <f t="shared" ref="R18" si="5">INT(Q18)</f>
        <v>6</v>
      </c>
    </row>
    <row r="19" spans="1:18" s="160" customFormat="1" ht="27.75" customHeight="1">
      <c r="A19" s="166">
        <f t="shared" si="3"/>
        <v>9</v>
      </c>
      <c r="B19" s="171"/>
      <c r="C19" s="169" t="s">
        <v>1190</v>
      </c>
      <c r="D19" s="168">
        <v>20</v>
      </c>
      <c r="E19" s="168">
        <f>IF($C19="","",VLOOKUP($C19,성분!$B$2:$O$51519,3,FALSE))/100*P19</f>
        <v>7</v>
      </c>
      <c r="F19" s="168">
        <f>IF($C19="","",VLOOKUP($C19,성분!$B$2:$O$51519,5,FALSE))/100*$P19</f>
        <v>1.532</v>
      </c>
      <c r="G19" s="168">
        <f>IF($C19="","",VLOOKUP($C19,성분!$B$2:$O$51519,4,FALSE))/100*$P19</f>
        <v>0.2</v>
      </c>
      <c r="H19" s="168">
        <f>IF($C19="","",VLOOKUP($C19,성분!$B$2:$O$51519,6,FALSE))/100*$P19</f>
        <v>3.7999999999999999E-2</v>
      </c>
      <c r="I19" s="168">
        <f>IF($C19="","",VLOOKUP($C19,성분!$B$2:$O$51519,7,FALSE))/100*$P19</f>
        <v>3</v>
      </c>
      <c r="J19" s="168">
        <f>IF($C19="","",VLOOKUP($C19,성분!$B$2:$O$51519,8,FALSE))/100*$P19</f>
        <v>0.06</v>
      </c>
      <c r="K19" s="168">
        <f>IF($C19="","",VLOOKUP($C19,성분!$B$2:$O$51519,9,FALSE))/100*$P19</f>
        <v>0</v>
      </c>
      <c r="L19" s="168">
        <f>IF($C19="","",VLOOKUP($C19,성분!$B$2:$O$51519,10,FALSE))/100*$P19</f>
        <v>8.0000000000000002E-3</v>
      </c>
      <c r="M19" s="168">
        <f>IF($C19="","",VLOOKUP($C19,성분!$B$2:$O$51519,11,FALSE))/100*$P19</f>
        <v>2E-3</v>
      </c>
      <c r="N19" s="168">
        <f>IF($C19="","",VLOOKUP($C19,성분!$B$2:$O$51519,12,FALSE))/100*$P19</f>
        <v>0.04</v>
      </c>
      <c r="O19" s="167">
        <f>IF($C19="","",VLOOKUP($C19,성분!$B$2:$O$51519,13,FALSE))/100*$P19</f>
        <v>1.6</v>
      </c>
      <c r="P19" s="165">
        <f t="shared" si="0"/>
        <v>20</v>
      </c>
      <c r="Q19" s="162">
        <f t="shared" si="1"/>
        <v>8.18</v>
      </c>
      <c r="R19" s="18"/>
    </row>
    <row r="20" spans="1:18" s="160" customFormat="1" ht="27.75" customHeight="1">
      <c r="A20" s="166">
        <f t="shared" si="3"/>
        <v>10</v>
      </c>
      <c r="B20" s="171"/>
      <c r="C20" s="169" t="s">
        <v>2429</v>
      </c>
      <c r="D20" s="168">
        <v>10</v>
      </c>
      <c r="E20" s="168">
        <f>IF($C20="","",VLOOKUP($C20,성분!$B$2:$O$51519,3,FALSE))/100*P20</f>
        <v>11.899999999999999</v>
      </c>
      <c r="F20" s="168">
        <f>IF($C20="","",VLOOKUP($C20,성분!$B$2:$O$51519,5,FALSE))/100*$P20</f>
        <v>2.8499999999999996</v>
      </c>
      <c r="G20" s="168">
        <f>IF($C20="","",VLOOKUP($C20,성분!$B$2:$O$51519,4,FALSE))/100*$P20</f>
        <v>0.11000000000000001</v>
      </c>
      <c r="H20" s="168">
        <f>IF($C20="","",VLOOKUP($C20,성분!$B$2:$O$51519,6,FALSE))/100*$P20</f>
        <v>0.64</v>
      </c>
      <c r="I20" s="168">
        <f>IF($C20="","",VLOOKUP($C20,성분!$B$2:$O$51519,7,FALSE))/100*$P20</f>
        <v>0</v>
      </c>
      <c r="J20" s="168">
        <f>IF($C20="","",VLOOKUP($C20,성분!$B$2:$O$51519,8,FALSE))/100*$P20</f>
        <v>0</v>
      </c>
      <c r="K20" s="168">
        <f>IF($C20="","",VLOOKUP($C20,성분!$B$2:$O$51519,9,FALSE))/100*$P20</f>
        <v>0</v>
      </c>
      <c r="L20" s="168">
        <f>IF($C20="","",VLOOKUP($C20,성분!$B$2:$O$51519,10,FALSE))/100*$P20</f>
        <v>0</v>
      </c>
      <c r="M20" s="168">
        <f>IF($C20="","",VLOOKUP($C20,성분!$B$2:$O$51519,11,FALSE))/100*$P20</f>
        <v>0</v>
      </c>
      <c r="N20" s="168">
        <f>IF($C20="","",VLOOKUP($C20,성분!$B$2:$O$51519,12,FALSE))/100*$P20</f>
        <v>0</v>
      </c>
      <c r="O20" s="167">
        <f>IF($C20="","",VLOOKUP($C20,성분!$B$2:$O$51519,13,FALSE))/100*$P20</f>
        <v>0</v>
      </c>
      <c r="P20" s="165">
        <f t="shared" si="0"/>
        <v>10</v>
      </c>
      <c r="Q20" s="162">
        <f t="shared" si="1"/>
        <v>4.09</v>
      </c>
      <c r="R20" s="18">
        <f t="shared" si="2"/>
        <v>4</v>
      </c>
    </row>
    <row r="21" spans="1:18" s="160" customFormat="1" ht="27.75" customHeight="1">
      <c r="A21" s="166">
        <f t="shared" si="3"/>
        <v>11</v>
      </c>
      <c r="B21" s="171"/>
      <c r="C21" s="169" t="s">
        <v>2419</v>
      </c>
      <c r="D21" s="168">
        <v>5</v>
      </c>
      <c r="E21" s="168">
        <f>IF($C21="","",VLOOKUP($C21,성분!$B$2:$O$51519,3,FALSE))/100*P21</f>
        <v>6</v>
      </c>
      <c r="F21" s="168">
        <f>IF($C21="","",VLOOKUP($C21,성분!$B$2:$O$51519,5,FALSE))/100*$P21</f>
        <v>1.45</v>
      </c>
      <c r="G21" s="168">
        <f>IF($C21="","",VLOOKUP($C21,성분!$B$2:$O$51519,4,FALSE))/100*$P21</f>
        <v>0.05</v>
      </c>
      <c r="H21" s="168">
        <f>IF($C21="","",VLOOKUP($C21,성분!$B$2:$O$51519,6,FALSE))/100*$P21</f>
        <v>0</v>
      </c>
      <c r="I21" s="168">
        <f>IF($C21="","",VLOOKUP($C21,성분!$B$2:$O$51519,7,FALSE))/100*$P21</f>
        <v>0</v>
      </c>
      <c r="J21" s="168">
        <f>IF($C21="","",VLOOKUP($C21,성분!$B$2:$O$51519,8,FALSE))/100*$P21</f>
        <v>0</v>
      </c>
      <c r="K21" s="168">
        <f>IF($C21="","",VLOOKUP($C21,성분!$B$2:$O$51519,9,FALSE))/100*$P21</f>
        <v>0</v>
      </c>
      <c r="L21" s="168">
        <f>IF($C21="","",VLOOKUP($C21,성분!$B$2:$O$51519,10,FALSE))/100*$P21</f>
        <v>0</v>
      </c>
      <c r="M21" s="168">
        <f>IF($C21="","",VLOOKUP($C21,성분!$B$2:$O$51519,11,FALSE))/100*$P21</f>
        <v>0</v>
      </c>
      <c r="N21" s="168">
        <f>IF($C21="","",VLOOKUP($C21,성분!$B$2:$O$51519,12,FALSE))/100*$P21</f>
        <v>0</v>
      </c>
      <c r="O21" s="167">
        <f>IF($C21="","",VLOOKUP($C21,성분!$B$2:$O$51519,13,FALSE))/100*$P21</f>
        <v>0</v>
      </c>
      <c r="P21" s="165">
        <f t="shared" ref="P21" si="6">D21</f>
        <v>5</v>
      </c>
      <c r="Q21" s="162">
        <f t="shared" ref="Q21" si="7">($O$8*P21)/1000</f>
        <v>2.0449999999999999</v>
      </c>
      <c r="R21" s="18"/>
    </row>
    <row r="22" spans="1:18" s="160" customFormat="1" ht="27.75" customHeight="1">
      <c r="A22" s="166">
        <f t="shared" si="3"/>
        <v>12</v>
      </c>
      <c r="B22" s="171" t="s">
        <v>2527</v>
      </c>
      <c r="C22" s="169" t="s">
        <v>2530</v>
      </c>
      <c r="D22" s="168">
        <v>100</v>
      </c>
      <c r="E22" s="168">
        <f>IF($C22="","",VLOOKUP($C22,성분!$B$2:$O$51519,3,FALSE))/100*P22</f>
        <v>204.84999999999997</v>
      </c>
      <c r="F22" s="168">
        <f>IF($C22="","",VLOOKUP($C22,성분!$B$2:$O$51519,5,FALSE))/100*$P22</f>
        <v>21.21</v>
      </c>
      <c r="G22" s="168">
        <f>IF($C22="","",VLOOKUP($C22,성분!$B$2:$O$51519,4,FALSE))/100*$P22</f>
        <v>21.21</v>
      </c>
      <c r="H22" s="168">
        <f>IF($C22="","",VLOOKUP($C22,성분!$B$2:$O$51519,6,FALSE))/100*$P22</f>
        <v>3.64</v>
      </c>
      <c r="I22" s="168">
        <f>IF($C22="","",VLOOKUP($C22,성분!$B$2:$O$51519,7,FALSE))/100*$P22</f>
        <v>0</v>
      </c>
      <c r="J22" s="168">
        <f>IF($C22="","",VLOOKUP($C22,성분!$B$2:$O$51519,8,FALSE))/100*$P22</f>
        <v>0</v>
      </c>
      <c r="K22" s="168">
        <f>IF($C22="","",VLOOKUP($C22,성분!$B$2:$O$51519,9,FALSE))/100*$P22</f>
        <v>0</v>
      </c>
      <c r="L22" s="168">
        <f>IF($C22="","",VLOOKUP($C22,성분!$B$2:$O$51519,10,FALSE))/100*$P22</f>
        <v>0</v>
      </c>
      <c r="M22" s="168">
        <f>IF($C22="","",VLOOKUP($C22,성분!$B$2:$O$51519,11,FALSE))/100*$P22</f>
        <v>0</v>
      </c>
      <c r="N22" s="168">
        <f>IF($C22="","",VLOOKUP($C22,성분!$B$2:$O$51519,12,FALSE))/100*$P22</f>
        <v>0</v>
      </c>
      <c r="O22" s="167">
        <f>IF($C22="","",VLOOKUP($C22,성분!$B$2:$O$51519,13,FALSE))/100*$P22</f>
        <v>0</v>
      </c>
      <c r="P22" s="165">
        <f t="shared" si="0"/>
        <v>100</v>
      </c>
      <c r="Q22" s="162">
        <f t="shared" si="1"/>
        <v>40.9</v>
      </c>
      <c r="R22" s="18"/>
    </row>
    <row r="23" spans="1:18" s="160" customFormat="1" ht="27.75" customHeight="1">
      <c r="A23" s="166">
        <f t="shared" si="3"/>
        <v>13</v>
      </c>
      <c r="B23" s="171"/>
      <c r="C23" s="169" t="s">
        <v>2528</v>
      </c>
      <c r="D23" s="168">
        <v>5</v>
      </c>
      <c r="E23" s="168">
        <f>IF($C23="","",VLOOKUP($C23,성분!$B$2:$O$51519,3,FALSE))/100*P23</f>
        <v>20</v>
      </c>
      <c r="F23" s="168">
        <f>IF($C23="","",VLOOKUP($C23,성분!$B$2:$O$51519,5,FALSE))/100*$P23</f>
        <v>1</v>
      </c>
      <c r="G23" s="168">
        <f>IF($C23="","",VLOOKUP($C23,성분!$B$2:$O$51519,4,FALSE))/100*$P23</f>
        <v>0</v>
      </c>
      <c r="H23" s="168">
        <f>IF($C23="","",VLOOKUP($C23,성분!$B$2:$O$51519,6,FALSE))/100*$P23</f>
        <v>1.7999999999999998</v>
      </c>
      <c r="I23" s="168">
        <f>IF($C23="","",VLOOKUP($C23,성분!$B$2:$O$51519,7,FALSE))/100*$P23</f>
        <v>0</v>
      </c>
      <c r="J23" s="168">
        <f>IF($C23="","",VLOOKUP($C23,성분!$B$2:$O$51519,8,FALSE))/100*$P23</f>
        <v>0</v>
      </c>
      <c r="K23" s="168">
        <f>IF($C23="","",VLOOKUP($C23,성분!$B$2:$O$51519,9,FALSE))/100*$P23</f>
        <v>0</v>
      </c>
      <c r="L23" s="168">
        <f>IF($C23="","",VLOOKUP($C23,성분!$B$2:$O$51519,10,FALSE))/100*$P23</f>
        <v>0</v>
      </c>
      <c r="M23" s="168">
        <f>IF($C23="","",VLOOKUP($C23,성분!$B$2:$O$51519,11,FALSE))/100*$P23</f>
        <v>0</v>
      </c>
      <c r="N23" s="168">
        <f>IF($C23="","",VLOOKUP($C23,성분!$B$2:$O$51519,12,FALSE))/100*$P23</f>
        <v>0</v>
      </c>
      <c r="O23" s="167">
        <f>IF($C23="","",VLOOKUP($C23,성분!$B$2:$O$51519,13,FALSE))/100*$P23</f>
        <v>0</v>
      </c>
      <c r="P23" s="165">
        <f t="shared" si="0"/>
        <v>5</v>
      </c>
      <c r="Q23" s="162">
        <f t="shared" si="1"/>
        <v>2.0449999999999999</v>
      </c>
      <c r="R23" s="18"/>
    </row>
    <row r="24" spans="1:18" s="160" customFormat="1" ht="27.75" customHeight="1">
      <c r="A24" s="166">
        <f t="shared" si="3"/>
        <v>14</v>
      </c>
      <c r="B24" s="171"/>
      <c r="C24" s="169" t="s">
        <v>2529</v>
      </c>
      <c r="D24" s="168">
        <v>5</v>
      </c>
      <c r="E24" s="168">
        <f>IF($C24="","",VLOOKUP($C24,성분!$B$2:$O$51519,3,FALSE))/100*P24</f>
        <v>2.3000000000000003</v>
      </c>
      <c r="F24" s="168">
        <f>IF($C24="","",VLOOKUP($C24,성분!$B$2:$O$51519,5,FALSE))/100*$P24</f>
        <v>2.2000000000000002</v>
      </c>
      <c r="G24" s="168">
        <f>IF($C24="","",VLOOKUP($C24,성분!$B$2:$O$51519,4,FALSE))/100*$P24</f>
        <v>0.1</v>
      </c>
      <c r="H24" s="168">
        <f>IF($C24="","",VLOOKUP($C24,성분!$B$2:$O$51519,6,FALSE))/100*$P24</f>
        <v>0</v>
      </c>
      <c r="I24" s="168">
        <f>IF($C24="","",VLOOKUP($C24,성분!$B$2:$O$51519,7,FALSE))/100*$P24</f>
        <v>0.89999999999999991</v>
      </c>
      <c r="J24" s="168">
        <f>IF($C24="","",VLOOKUP($C24,성분!$B$2:$O$51519,8,FALSE))/100*$P24</f>
        <v>4.5000000000000005E-2</v>
      </c>
      <c r="K24" s="168">
        <f>IF($C24="","",VLOOKUP($C24,성분!$B$2:$O$51519,9,FALSE))/100*$P24</f>
        <v>7.9</v>
      </c>
      <c r="L24" s="168">
        <f>IF($C24="","",VLOOKUP($C24,성분!$B$2:$O$51519,10,FALSE))/100*$P24</f>
        <v>4.4999999999999997E-3</v>
      </c>
      <c r="M24" s="168">
        <f>IF($C24="","",VLOOKUP($C24,성분!$B$2:$O$51519,11,FALSE))/100*$P24</f>
        <v>4.0000000000000001E-3</v>
      </c>
      <c r="N24" s="168">
        <f>IF($C24="","",VLOOKUP($C24,성분!$B$2:$O$51519,12,FALSE))/100*$P24</f>
        <v>6.5000000000000002E-2</v>
      </c>
      <c r="O24" s="167">
        <f>IF($C24="","",VLOOKUP($C24,성분!$B$2:$O$51519,13,FALSE))/100*$P24</f>
        <v>0.5</v>
      </c>
      <c r="P24" s="165">
        <f t="shared" si="0"/>
        <v>5</v>
      </c>
      <c r="Q24" s="162">
        <f t="shared" si="1"/>
        <v>2.0449999999999999</v>
      </c>
      <c r="R24" s="18"/>
    </row>
    <row r="25" spans="1:18" s="160" customFormat="1" ht="27.75" customHeight="1">
      <c r="A25" s="166">
        <f t="shared" si="3"/>
        <v>15</v>
      </c>
      <c r="B25" s="171"/>
      <c r="C25" s="169" t="s">
        <v>2479</v>
      </c>
      <c r="D25" s="168">
        <v>5</v>
      </c>
      <c r="E25" s="168">
        <f>IF($C25="","",VLOOKUP($C25,성분!$B$2:$O$51519,3,FALSE))/100*P25</f>
        <v>44.2</v>
      </c>
      <c r="F25" s="168">
        <f>IF($C25="","",VLOOKUP($C25,성분!$B$2:$O$51519,5,FALSE))/100*$P25</f>
        <v>0</v>
      </c>
      <c r="G25" s="168">
        <f>IF($C25="","",VLOOKUP($C25,성분!$B$2:$O$51519,4,FALSE))/100*$P25</f>
        <v>0</v>
      </c>
      <c r="H25" s="168">
        <f>IF($C25="","",VLOOKUP($C25,성분!$B$2:$O$51519,6,FALSE))/100*$P25</f>
        <v>5</v>
      </c>
      <c r="I25" s="168">
        <f>IF($C25="","",VLOOKUP($C25,성분!$B$2:$O$51519,7,FALSE))/100*$P25</f>
        <v>0</v>
      </c>
      <c r="J25" s="168">
        <f>IF($C25="","",VLOOKUP($C25,성분!$B$2:$O$51519,8,FALSE))/100*$P25</f>
        <v>0</v>
      </c>
      <c r="K25" s="168">
        <f>IF($C25="","",VLOOKUP($C25,성분!$B$2:$O$51519,9,FALSE))/100*$P25</f>
        <v>0</v>
      </c>
      <c r="L25" s="168">
        <f>IF($C25="","",VLOOKUP($C25,성분!$B$2:$O$51519,10,FALSE))/100*$P25</f>
        <v>0</v>
      </c>
      <c r="M25" s="168">
        <f>IF($C25="","",VLOOKUP($C25,성분!$B$2:$O$51519,11,FALSE))/100*$P25</f>
        <v>0</v>
      </c>
      <c r="N25" s="168">
        <f>IF($C25="","",VLOOKUP($C25,성분!$B$2:$O$51519,12,FALSE))/100*$P25</f>
        <v>0</v>
      </c>
      <c r="O25" s="167">
        <f>IF($C25="","",VLOOKUP($C25,성분!$B$2:$O$51519,13,FALSE))/100*$P25</f>
        <v>0</v>
      </c>
      <c r="P25" s="165">
        <f t="shared" si="0"/>
        <v>5</v>
      </c>
      <c r="Q25" s="162">
        <f t="shared" si="1"/>
        <v>2.0449999999999999</v>
      </c>
      <c r="R25" s="18"/>
    </row>
    <row r="26" spans="1:18" s="160" customFormat="1" ht="27.75" customHeight="1">
      <c r="A26" s="166">
        <f t="shared" si="3"/>
        <v>16</v>
      </c>
      <c r="B26" s="171" t="s">
        <v>2357</v>
      </c>
      <c r="C26" s="169" t="s">
        <v>2230</v>
      </c>
      <c r="D26" s="168">
        <v>5</v>
      </c>
      <c r="E26" s="168">
        <f>IF($C26="","",VLOOKUP($C26,성분!$B$2:$O$51519,3,FALSE))/100*P26</f>
        <v>14.399999999999999</v>
      </c>
      <c r="F26" s="168">
        <f>IF($C26="","",VLOOKUP($C26,성분!$B$2:$O$51519,5,FALSE))/100*$P26</f>
        <v>0.62</v>
      </c>
      <c r="G26" s="168">
        <f>IF($C26="","",VLOOKUP($C26,성분!$B$2:$O$51519,4,FALSE))/100*$P26</f>
        <v>0.96999999999999986</v>
      </c>
      <c r="H26" s="168">
        <f>IF($C26="","",VLOOKUP($C26,성분!$B$2:$O$51519,6,FALSE))/100*$P26</f>
        <v>1.08</v>
      </c>
      <c r="I26" s="168">
        <f>IF($C26="","",VLOOKUP($C26,성분!$B$2:$O$51519,7,FALSE))/100*$P26</f>
        <v>25.85</v>
      </c>
      <c r="J26" s="168">
        <f>IF($C26="","",VLOOKUP($C26,성분!$B$2:$O$51519,8,FALSE))/100*$P26</f>
        <v>0.01</v>
      </c>
      <c r="K26" s="168">
        <f>IF($C26="","",VLOOKUP($C26,성분!$B$2:$O$51519,9,FALSE))/100*$P26</f>
        <v>9.5</v>
      </c>
      <c r="L26" s="168">
        <f>IF($C26="","",VLOOKUP($C26,성분!$B$2:$O$51519,10,FALSE))/100*$P26</f>
        <v>1E-3</v>
      </c>
      <c r="M26" s="168">
        <f>IF($C26="","",VLOOKUP($C26,성분!$B$2:$O$51519,11,FALSE))/100*$P26</f>
        <v>1.1999999999999999E-2</v>
      </c>
      <c r="N26" s="168">
        <f>IF($C26="","",VLOOKUP($C26,성분!$B$2:$O$51519,12,FALSE))/100*$P26</f>
        <v>5.0000000000000001E-3</v>
      </c>
      <c r="O26" s="167">
        <f>IF($C26="","",VLOOKUP($C26,성분!$B$2:$O$51519,13,FALSE))/100*$P26</f>
        <v>0</v>
      </c>
      <c r="P26" s="165">
        <f t="shared" si="0"/>
        <v>5</v>
      </c>
      <c r="Q26" s="162">
        <f t="shared" si="1"/>
        <v>2.0449999999999999</v>
      </c>
      <c r="R26" s="18"/>
    </row>
    <row r="27" spans="1:18" s="160" customFormat="1" ht="27.75" customHeight="1">
      <c r="A27" s="166">
        <f t="shared" si="3"/>
        <v>17</v>
      </c>
      <c r="B27" s="171"/>
      <c r="C27" s="169" t="s">
        <v>1386</v>
      </c>
      <c r="D27" s="168">
        <v>8</v>
      </c>
      <c r="E27" s="168">
        <f>IF($C27="","",VLOOKUP($C27,성분!$B$2:$O$51519,3,FALSE))/100*P27</f>
        <v>1.28</v>
      </c>
      <c r="F27" s="168">
        <f>IF($C27="","",VLOOKUP($C27,성분!$B$2:$O$51519,5,FALSE))/100*$P27</f>
        <v>0.2616</v>
      </c>
      <c r="G27" s="168">
        <f>IF($C27="","",VLOOKUP($C27,성분!$B$2:$O$51519,4,FALSE))/100*$P27</f>
        <v>7.2000000000000008E-2</v>
      </c>
      <c r="H27" s="168">
        <f>IF($C27="","",VLOOKUP($C27,성분!$B$2:$O$51519,6,FALSE))/100*$P27</f>
        <v>8.0000000000000002E-3</v>
      </c>
      <c r="I27" s="168">
        <f>IF($C27="","",VLOOKUP($C27,성분!$B$2:$O$51519,7,FALSE))/100*$P27</f>
        <v>1.1200000000000001</v>
      </c>
      <c r="J27" s="168">
        <f>IF($C27="","",VLOOKUP($C27,성분!$B$2:$O$51519,8,FALSE))/100*$P27</f>
        <v>3.2000000000000001E-2</v>
      </c>
      <c r="K27" s="168">
        <f>IF($C27="","",VLOOKUP($C27,성분!$B$2:$O$51519,9,FALSE))/100*$P27</f>
        <v>0.4</v>
      </c>
      <c r="L27" s="168">
        <f>IF($C27="","",VLOOKUP($C27,성분!$B$2:$O$51519,10,FALSE))/100*$P27</f>
        <v>2.3999999999999998E-3</v>
      </c>
      <c r="M27" s="168">
        <f>IF($C27="","",VLOOKUP($C27,성분!$B$2:$O$51519,11,FALSE))/100*$P27</f>
        <v>4.0000000000000001E-3</v>
      </c>
      <c r="N27" s="168">
        <f>IF($C27="","",VLOOKUP($C27,성분!$B$2:$O$51519,12,FALSE))/100*$P27</f>
        <v>4.0000000000000001E-3</v>
      </c>
      <c r="O27" s="167">
        <f>IF($C27="","",VLOOKUP($C27,성분!$B$2:$O$51519,13,FALSE))/100*$P27</f>
        <v>0.48</v>
      </c>
      <c r="P27" s="165">
        <f t="shared" si="0"/>
        <v>8</v>
      </c>
      <c r="Q27" s="162">
        <f t="shared" si="1"/>
        <v>3.2719999999999998</v>
      </c>
      <c r="R27" s="18"/>
    </row>
    <row r="28" spans="1:18" s="160" customFormat="1" ht="27.75" customHeight="1">
      <c r="A28" s="166">
        <f t="shared" si="3"/>
        <v>18</v>
      </c>
      <c r="B28" s="171"/>
      <c r="C28" s="169" t="s">
        <v>1188</v>
      </c>
      <c r="D28" s="168">
        <v>12</v>
      </c>
      <c r="E28" s="168">
        <f>IF($C28="","",VLOOKUP($C28,성분!$B$2:$O$51519,3,FALSE))/100*P28</f>
        <v>1.32</v>
      </c>
      <c r="F28" s="168">
        <f>IF($C28="","",VLOOKUP($C28,성분!$B$2:$O$51519,5,FALSE))/100*$P28</f>
        <v>0.23759999999999998</v>
      </c>
      <c r="G28" s="168">
        <f>IF($C28="","",VLOOKUP($C28,성분!$B$2:$O$51519,4,FALSE))/100*$P28</f>
        <v>0</v>
      </c>
      <c r="H28" s="168">
        <f>IF($C28="","",VLOOKUP($C28,성분!$B$2:$O$51519,6,FALSE))/100*$P28</f>
        <v>0.1716</v>
      </c>
      <c r="I28" s="168">
        <f>IF($C28="","",VLOOKUP($C28,성분!$B$2:$O$51519,7,FALSE))/100*$P28</f>
        <v>3.84</v>
      </c>
      <c r="J28" s="168">
        <f>IF($C28="","",VLOOKUP($C28,성분!$B$2:$O$51519,8,FALSE))/100*$P28</f>
        <v>7.2000000000000008E-2</v>
      </c>
      <c r="K28" s="168">
        <f>IF($C28="","",VLOOKUP($C28,성분!$B$2:$O$51519,9,FALSE))/100*$P28</f>
        <v>10.8</v>
      </c>
      <c r="L28" s="168">
        <f>IF($C28="","",VLOOKUP($C28,성분!$B$2:$O$51519,10,FALSE))/100*$P28</f>
        <v>4.8000000000000004E-3</v>
      </c>
      <c r="M28" s="168">
        <f>IF($C28="","",VLOOKUP($C28,성분!$B$2:$O$51519,11,FALSE))/100*$P28</f>
        <v>1.0800000000000001E-2</v>
      </c>
      <c r="N28" s="168">
        <f>IF($C28="","",VLOOKUP($C28,성분!$B$2:$O$51519,12,FALSE))/100*$P28</f>
        <v>1.44E-2</v>
      </c>
      <c r="O28" s="167">
        <f>IF($C28="","",VLOOKUP($C28,성분!$B$2:$O$51519,13,FALSE))/100*$P28</f>
        <v>0.82800000000000007</v>
      </c>
      <c r="P28" s="165">
        <f t="shared" si="0"/>
        <v>12</v>
      </c>
      <c r="Q28" s="162">
        <f t="shared" si="1"/>
        <v>4.9080000000000004</v>
      </c>
      <c r="R28" s="18"/>
    </row>
    <row r="29" spans="1:18" s="160" customFormat="1" ht="27.75" customHeight="1">
      <c r="A29" s="166">
        <f t="shared" si="3"/>
        <v>19</v>
      </c>
      <c r="B29" s="171"/>
      <c r="C29" s="169" t="s">
        <v>1217</v>
      </c>
      <c r="D29" s="168">
        <v>5</v>
      </c>
      <c r="E29" s="168">
        <f>IF($C29="","",VLOOKUP($C29,성분!$B$2:$O$51519,3,FALSE))/100*P29</f>
        <v>1.165</v>
      </c>
      <c r="F29" s="168">
        <f>IF($C29="","",VLOOKUP($C29,성분!$B$2:$O$51519,5,FALSE))/100*$P29</f>
        <v>0.1925</v>
      </c>
      <c r="G29" s="168">
        <f>IF($C29="","",VLOOKUP($C29,성분!$B$2:$O$51519,4,FALSE))/100*$P29</f>
        <v>3.4999999999999996E-2</v>
      </c>
      <c r="H29" s="168">
        <f>IF($C29="","",VLOOKUP($C29,성분!$B$2:$O$51519,6,FALSE))/100*$P29</f>
        <v>1.8500000000000003E-2</v>
      </c>
      <c r="I29" s="168">
        <f>IF($C29="","",VLOOKUP($C29,성분!$B$2:$O$51519,7,FALSE))/100*$P29</f>
        <v>5</v>
      </c>
      <c r="J29" s="168">
        <f>IF($C29="","",VLOOKUP($C29,성분!$B$2:$O$51519,8,FALSE))/100*$P29</f>
        <v>4.5000000000000005E-2</v>
      </c>
      <c r="K29" s="168">
        <f>IF($C29="","",VLOOKUP($C29,성분!$B$2:$O$51519,9,FALSE))/100*$P29</f>
        <v>18</v>
      </c>
      <c r="L29" s="168">
        <f>IF($C29="","",VLOOKUP($C29,성분!$B$2:$O$51519,10,FALSE))/100*$P29</f>
        <v>2.9999999999999996E-3</v>
      </c>
      <c r="M29" s="168">
        <f>IF($C29="","",VLOOKUP($C29,성분!$B$2:$O$51519,11,FALSE))/100*$P29</f>
        <v>5.0000000000000001E-3</v>
      </c>
      <c r="N29" s="168">
        <f>IF($C29="","",VLOOKUP($C29,성분!$B$2:$O$51519,12,FALSE))/100*$P29</f>
        <v>0.03</v>
      </c>
      <c r="O29" s="167">
        <f>IF($C29="","",VLOOKUP($C29,성분!$B$2:$O$51519,13,FALSE))/100*$P29</f>
        <v>1.22</v>
      </c>
      <c r="P29" s="165">
        <f t="shared" si="0"/>
        <v>5</v>
      </c>
      <c r="Q29" s="162">
        <f t="shared" si="1"/>
        <v>2.0449999999999999</v>
      </c>
      <c r="R29" s="18"/>
    </row>
    <row r="30" spans="1:18" s="160" customFormat="1" ht="27.75" customHeight="1">
      <c r="A30" s="166">
        <v>26</v>
      </c>
      <c r="B30" s="170"/>
      <c r="C30" s="172" t="s">
        <v>2229</v>
      </c>
      <c r="D30" s="168">
        <v>3</v>
      </c>
      <c r="E30" s="168">
        <f>IF($C30="","",VLOOKUP($C30,성분!$B$2:$O$51519,3,FALSE))/100*P30</f>
        <v>0.86999999999999988</v>
      </c>
      <c r="F30" s="168">
        <f>IF($C30="","",VLOOKUP($C30,성분!$B$2:$O$51519,5,FALSE))/100*$P30</f>
        <v>0.15539999999999998</v>
      </c>
      <c r="G30" s="168">
        <f>IF($C30="","",VLOOKUP($C30,성분!$B$2:$O$51519,4,FALSE))/100*$P30</f>
        <v>5.1000000000000004E-2</v>
      </c>
      <c r="H30" s="168">
        <f>IF($C30="","",VLOOKUP($C30,성분!$B$2:$O$51519,6,FALSE))/100*$P30</f>
        <v>4.8000000000000004E-3</v>
      </c>
      <c r="I30" s="168">
        <f>IF($C30="","",VLOOKUP($C30,성분!$B$2:$O$51519,7,FALSE))/100*$P30</f>
        <v>0.92999999999999994</v>
      </c>
      <c r="J30" s="168">
        <f>IF($C30="","",VLOOKUP($C30,성분!$B$2:$O$51519,8,FALSE))/100*$P30</f>
        <v>1.4999999999999999E-2</v>
      </c>
      <c r="K30" s="168">
        <f>IF($C30="","",VLOOKUP($C30,성분!$B$2:$O$51519,9,FALSE))/100*$P30</f>
        <v>0.09</v>
      </c>
      <c r="L30" s="168">
        <f>IF($C30="","",VLOOKUP($C30,성분!$B$2:$O$51519,10,FALSE))/100*$P30</f>
        <v>2.1000000000000003E-3</v>
      </c>
      <c r="M30" s="168">
        <f>IF($C30="","",VLOOKUP($C30,성분!$B$2:$O$51519,11,FALSE))/100*$P30</f>
        <v>1.5E-3</v>
      </c>
      <c r="N30" s="168">
        <f>IF($C30="","",VLOOKUP($C30,성분!$B$2:$O$51519,12,FALSE))/100*$P30</f>
        <v>1.2E-2</v>
      </c>
      <c r="O30" s="167">
        <f>IF($C30="","",VLOOKUP($C30,성분!$B$2:$O$51519,13,FALSE))/100*$P30</f>
        <v>1.53</v>
      </c>
      <c r="P30" s="165">
        <f t="shared" si="0"/>
        <v>3</v>
      </c>
      <c r="Q30" s="162">
        <f t="shared" si="1"/>
        <v>1.2270000000000001</v>
      </c>
      <c r="R30" s="18"/>
    </row>
    <row r="31" spans="1:18" s="160" customFormat="1" ht="27.75" customHeight="1">
      <c r="A31" s="166">
        <v>27</v>
      </c>
      <c r="B31" s="170"/>
      <c r="C31" s="172" t="s">
        <v>2328</v>
      </c>
      <c r="D31" s="168">
        <v>2</v>
      </c>
      <c r="E31" s="168">
        <f>IF($C31="","",VLOOKUP($C31,성분!$B$2:$O$51519,3,FALSE))/100*P31</f>
        <v>5.46</v>
      </c>
      <c r="F31" s="168">
        <f>IF($C31="","",VLOOKUP($C31,성분!$B$2:$O$51519,5,FALSE))/100*$P31</f>
        <v>0.86</v>
      </c>
      <c r="G31" s="168">
        <f>IF($C31="","",VLOOKUP($C31,성분!$B$2:$O$51519,4,FALSE))/100*$P31</f>
        <v>0.42</v>
      </c>
      <c r="H31" s="168">
        <f>IF($C31="","",VLOOKUP($C31,성분!$B$2:$O$51519,6,FALSE))/100*$P31</f>
        <v>0.04</v>
      </c>
      <c r="I31" s="168">
        <f>IF($C31="","",VLOOKUP($C31,성분!$B$2:$O$51519,7,FALSE))/100*$P31</f>
        <v>0</v>
      </c>
      <c r="J31" s="168">
        <f>IF($C31="","",VLOOKUP($C31,성분!$B$2:$O$51519,8,FALSE))/100*$P31</f>
        <v>0</v>
      </c>
      <c r="K31" s="168">
        <f>IF($C31="","",VLOOKUP($C31,성분!$B$2:$O$51519,9,FALSE))/100*$P31</f>
        <v>0</v>
      </c>
      <c r="L31" s="168">
        <f>IF($C31="","",VLOOKUP($C31,성분!$B$2:$O$51519,10,FALSE))/100*$P31</f>
        <v>0</v>
      </c>
      <c r="M31" s="168">
        <f>IF($C31="","",VLOOKUP($C31,성분!$B$2:$O$51519,11,FALSE))/100*$P31</f>
        <v>0</v>
      </c>
      <c r="N31" s="168">
        <f>IF($C31="","",VLOOKUP($C31,성분!$B$2:$O$51519,12,FALSE))/100*$P31</f>
        <v>0</v>
      </c>
      <c r="O31" s="167">
        <f>IF($C31="","",VLOOKUP($C31,성분!$B$2:$O$51519,13,FALSE))/100*$P31</f>
        <v>0</v>
      </c>
      <c r="P31" s="165">
        <f t="shared" si="0"/>
        <v>2</v>
      </c>
      <c r="Q31" s="162">
        <f t="shared" si="1"/>
        <v>0.81799999999999995</v>
      </c>
      <c r="R31" s="18"/>
    </row>
    <row r="32" spans="1:18" s="160" customFormat="1" ht="27.75" customHeight="1">
      <c r="A32" s="166">
        <v>28</v>
      </c>
      <c r="B32" s="189"/>
      <c r="C32" s="190" t="s">
        <v>2231</v>
      </c>
      <c r="D32" s="188">
        <v>7</v>
      </c>
      <c r="E32" s="168">
        <f>IF($C32="","",VLOOKUP($C32,성분!$B$2:$O$51519,3,FALSE))/100*P32</f>
        <v>7.7000000000000011</v>
      </c>
      <c r="F32" s="168">
        <f>IF($C32="","",VLOOKUP($C32,성분!$B$2:$O$51519,5,FALSE))/100*$P32</f>
        <v>1.4000000000000001</v>
      </c>
      <c r="G32" s="168">
        <f>IF($C32="","",VLOOKUP($C32,성분!$B$2:$O$51519,4,FALSE))/100*$P32</f>
        <v>0.14000000000000001</v>
      </c>
      <c r="H32" s="168">
        <f>IF($C32="","",VLOOKUP($C32,성분!$B$2:$O$51519,6,FALSE))/100*$P32</f>
        <v>0.16800000000000001</v>
      </c>
      <c r="I32" s="168">
        <f>IF($C32="","",VLOOKUP($C32,성분!$B$2:$O$51519,7,FALSE))/100*$P32</f>
        <v>0</v>
      </c>
      <c r="J32" s="168">
        <f>IF($C32="","",VLOOKUP($C32,성분!$B$2:$O$51519,8,FALSE))/100*$P32</f>
        <v>0</v>
      </c>
      <c r="K32" s="168">
        <f>IF($C32="","",VLOOKUP($C32,성분!$B$2:$O$51519,9,FALSE))/100*$P32</f>
        <v>0</v>
      </c>
      <c r="L32" s="168">
        <f>IF($C32="","",VLOOKUP($C32,성분!$B$2:$O$51519,10,FALSE))/100*$P32</f>
        <v>0</v>
      </c>
      <c r="M32" s="168">
        <f>IF($C32="","",VLOOKUP($C32,성분!$B$2:$O$51519,11,FALSE))/100*$P32</f>
        <v>0</v>
      </c>
      <c r="N32" s="168">
        <f>IF($C32="","",VLOOKUP($C32,성분!$B$2:$O$51519,12,FALSE))/100*$P32</f>
        <v>0</v>
      </c>
      <c r="O32" s="167">
        <f>IF($C32="","",VLOOKUP($C32,성분!$B$2:$O$51519,13,FALSE))/100*$P32</f>
        <v>0</v>
      </c>
      <c r="P32" s="165">
        <f t="shared" si="0"/>
        <v>7</v>
      </c>
      <c r="Q32" s="162">
        <f t="shared" si="1"/>
        <v>2.863</v>
      </c>
      <c r="R32" s="18"/>
    </row>
    <row r="33" spans="1:19" s="160" customFormat="1" ht="27.75" customHeight="1">
      <c r="A33" s="166">
        <v>29</v>
      </c>
      <c r="B33" s="189" t="s">
        <v>1084</v>
      </c>
      <c r="C33" s="190" t="s">
        <v>1084</v>
      </c>
      <c r="D33" s="188">
        <v>30</v>
      </c>
      <c r="E33" s="168">
        <f>IF($C33="","",VLOOKUP($C33,성분!$B$2:$O$51519,3,FALSE))/100*P33</f>
        <v>15</v>
      </c>
      <c r="F33" s="168">
        <f>IF($C33="","",VLOOKUP($C33,성분!$B$2:$O$51519,5,FALSE))/100*$P33</f>
        <v>1.32</v>
      </c>
      <c r="G33" s="168">
        <f>IF($C33="","",VLOOKUP($C33,성분!$B$2:$O$51519,4,FALSE))/100*$P33</f>
        <v>0.6</v>
      </c>
      <c r="H33" s="168">
        <f>IF($C33="","",VLOOKUP($C33,성분!$B$2:$O$51519,6,FALSE))/100*$P33</f>
        <v>0.06</v>
      </c>
      <c r="I33" s="168">
        <f>IF($C33="","",VLOOKUP($C33,성분!$B$2:$O$51519,7,FALSE))/100*$P33</f>
        <v>14.1</v>
      </c>
      <c r="J33" s="168">
        <f>IF($C33="","",VLOOKUP($C33,성분!$B$2:$O$51519,8,FALSE))/100*$P33</f>
        <v>0.89999999999999991</v>
      </c>
      <c r="K33" s="168">
        <f>IF($C33="","",VLOOKUP($C33,성분!$B$2:$O$51519,9,FALSE))/100*$P33</f>
        <v>14.399999999999999</v>
      </c>
      <c r="L33" s="168">
        <f>IF($C33="","",VLOOKUP($C33,성분!$B$2:$O$51519,10,FALSE))/100*$P33</f>
        <v>1.7999999999999999E-2</v>
      </c>
      <c r="M33" s="168">
        <f>IF($C33="","",VLOOKUP($C33,성분!$B$2:$O$51519,11,FALSE))/100*$P33</f>
        <v>1.7999999999999999E-2</v>
      </c>
      <c r="N33" s="168">
        <f>IF($C33="","",VLOOKUP($C33,성분!$B$2:$O$51519,12,FALSE))/100*$P33</f>
        <v>0.24</v>
      </c>
      <c r="O33" s="167">
        <f>IF($C33="","",VLOOKUP($C33,성분!$B$2:$O$51519,13,FALSE))/100*$P33</f>
        <v>4.2</v>
      </c>
      <c r="P33" s="165">
        <f t="shared" si="0"/>
        <v>30</v>
      </c>
      <c r="Q33" s="162"/>
      <c r="R33" s="18"/>
    </row>
    <row r="34" spans="1:19" s="160" customFormat="1" ht="32.25" customHeight="1">
      <c r="A34" s="235" t="s">
        <v>1628</v>
      </c>
      <c r="B34" s="236"/>
      <c r="C34" s="236"/>
      <c r="D34" s="237"/>
      <c r="E34" s="19">
        <f t="shared" ref="E34:O34" si="8">SUM(E11:E33)</f>
        <v>874.54499999999996</v>
      </c>
      <c r="F34" s="19">
        <f t="shared" si="8"/>
        <v>136.10809999999998</v>
      </c>
      <c r="G34" s="19">
        <f t="shared" si="8"/>
        <v>42.138000000000005</v>
      </c>
      <c r="H34" s="44">
        <f t="shared" si="8"/>
        <v>32.949900000000007</v>
      </c>
      <c r="I34" s="44">
        <f t="shared" si="8"/>
        <v>200.41500000000005</v>
      </c>
      <c r="J34" s="44">
        <f t="shared" si="8"/>
        <v>11.659000000000001</v>
      </c>
      <c r="K34" s="44">
        <f t="shared" si="8"/>
        <v>152.27500000000003</v>
      </c>
      <c r="L34" s="44">
        <f t="shared" si="8"/>
        <v>0.3333000000000001</v>
      </c>
      <c r="M34" s="19">
        <f t="shared" si="8"/>
        <v>0.25880000000000003</v>
      </c>
      <c r="N34" s="19">
        <f t="shared" si="8"/>
        <v>3.9093999999999998</v>
      </c>
      <c r="O34" s="19">
        <f t="shared" si="8"/>
        <v>26.108000000000001</v>
      </c>
      <c r="P34" s="165">
        <f t="shared" si="0"/>
        <v>0</v>
      </c>
      <c r="Q34" s="162">
        <f t="shared" si="1"/>
        <v>0</v>
      </c>
      <c r="R34" s="18">
        <f t="shared" si="2"/>
        <v>0</v>
      </c>
    </row>
    <row r="35" spans="1:19" s="21" customFormat="1" ht="32.25" customHeight="1">
      <c r="A35" s="238" t="s">
        <v>1790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40"/>
      <c r="P35" s="20"/>
      <c r="Q35" s="160"/>
      <c r="R35" s="18">
        <f>INT(Q35)</f>
        <v>0</v>
      </c>
    </row>
    <row r="36" spans="1:19" s="160" customFormat="1" ht="19.5" customHeight="1">
      <c r="A36" s="220" t="s">
        <v>1629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2"/>
      <c r="S36" s="18">
        <f>INT(R36)</f>
        <v>0</v>
      </c>
    </row>
    <row r="37" spans="1:19" s="160" customFormat="1" ht="20.100000000000001" customHeight="1">
      <c r="A37" s="247" t="s">
        <v>1630</v>
      </c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9"/>
      <c r="P37" s="244" t="s">
        <v>5</v>
      </c>
      <c r="Q37" s="245"/>
      <c r="R37" s="250">
        <v>5000</v>
      </c>
      <c r="S37" s="250"/>
    </row>
    <row r="38" spans="1:19" s="160" customFormat="1" ht="20.100000000000001" customHeight="1">
      <c r="A38" s="251" t="s">
        <v>1769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3"/>
      <c r="P38" s="244" t="s">
        <v>6</v>
      </c>
      <c r="Q38" s="245"/>
      <c r="R38" s="250">
        <f>R37*0.72</f>
        <v>3600</v>
      </c>
      <c r="S38" s="250"/>
    </row>
    <row r="39" spans="1:19" s="160" customFormat="1" ht="20.100000000000001" customHeight="1">
      <c r="A39" s="241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3"/>
      <c r="P39" s="244" t="s">
        <v>1631</v>
      </c>
      <c r="Q39" s="245"/>
      <c r="R39" s="246">
        <v>0.72</v>
      </c>
      <c r="S39" s="246"/>
    </row>
    <row r="40" spans="1:19" s="160" customFormat="1" ht="20.100000000000001" customHeight="1">
      <c r="C40" s="3"/>
      <c r="D40" s="24"/>
      <c r="E40" s="25"/>
      <c r="F40" s="25"/>
      <c r="G40" s="169">
        <v>667</v>
      </c>
      <c r="H40" s="169">
        <v>15</v>
      </c>
      <c r="I40" s="169">
        <v>300</v>
      </c>
      <c r="J40" s="169">
        <v>5.4</v>
      </c>
      <c r="K40" s="169">
        <v>234</v>
      </c>
      <c r="L40" s="169">
        <v>0.34</v>
      </c>
      <c r="M40" s="169">
        <v>0.4</v>
      </c>
      <c r="N40" s="169">
        <v>5.26</v>
      </c>
      <c r="O40" s="169">
        <v>33.4</v>
      </c>
      <c r="P40" s="182"/>
      <c r="Q40" s="182"/>
      <c r="R40" s="23"/>
      <c r="S40" s="23"/>
    </row>
    <row r="41" spans="1:19" s="160" customFormat="1" ht="20.100000000000001" customHeight="1">
      <c r="A41" s="2"/>
      <c r="B41" s="2"/>
      <c r="C41" s="3"/>
      <c r="D41" s="4"/>
      <c r="E41" s="5"/>
      <c r="F41" s="5"/>
      <c r="G41" s="5"/>
      <c r="H41" s="5"/>
      <c r="I41" s="5"/>
      <c r="J41" s="2"/>
      <c r="K41" s="5"/>
      <c r="L41" s="5"/>
      <c r="M41" s="5"/>
      <c r="N41" s="5"/>
      <c r="O41" s="6"/>
    </row>
    <row r="42" spans="1:19" s="160" customFormat="1" ht="20.100000000000001" customHeight="1">
      <c r="A42" s="2"/>
      <c r="B42" s="2"/>
      <c r="C42" s="2"/>
      <c r="D42" s="4"/>
      <c r="E42" s="2"/>
      <c r="F42" s="2"/>
      <c r="G42" s="5"/>
      <c r="H42" s="5"/>
      <c r="I42" s="5"/>
      <c r="J42" s="5"/>
      <c r="K42" s="5"/>
      <c r="L42" s="5"/>
      <c r="M42" s="5"/>
      <c r="N42" s="5"/>
      <c r="O42" s="6"/>
    </row>
    <row r="43" spans="1:19" ht="12">
      <c r="C43" s="2"/>
    </row>
    <row r="44" spans="1:19" ht="12">
      <c r="C44" s="2"/>
    </row>
    <row r="1350" spans="4:4">
      <c r="D1350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6:O36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4:D34"/>
    <mergeCell ref="A35:O35"/>
    <mergeCell ref="A39:O39"/>
    <mergeCell ref="P39:Q39"/>
    <mergeCell ref="R39:S39"/>
    <mergeCell ref="A37:O37"/>
    <mergeCell ref="P37:Q37"/>
    <mergeCell ref="R37:S37"/>
    <mergeCell ref="A38:O38"/>
    <mergeCell ref="P38:Q38"/>
    <mergeCell ref="R38:S38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CA09-0DA1-4EF5-9CB4-C5AB526CE934}">
  <sheetPr>
    <pageSetUpPr fitToPage="1"/>
  </sheetPr>
  <dimension ref="A1:S1352"/>
  <sheetViews>
    <sheetView tabSelected="1" view="pageBreakPreview" zoomScale="80" zoomScaleNormal="85" zoomScaleSheetLayoutView="80" workbookViewId="0">
      <pane xSplit="3" ySplit="10" topLeftCell="D23" activePane="bottomRight" state="frozen"/>
      <selection activeCell="K24" sqref="K24"/>
      <selection pane="topRight" activeCell="K24" sqref="K24"/>
      <selection pane="bottomLeft" activeCell="K24" sqref="K24"/>
      <selection pane="bottomRight" activeCell="O8" sqref="O8:O9"/>
    </sheetView>
  </sheetViews>
  <sheetFormatPr defaultColWidth="8.88671875" defaultRowHeight="13.5"/>
  <cols>
    <col min="1" max="1" width="4.77734375" style="2" customWidth="1"/>
    <col min="2" max="2" width="15.77734375" style="2" customWidth="1"/>
    <col min="3" max="3" width="15.21875" style="3" customWidth="1"/>
    <col min="4" max="4" width="8.21875" style="2" customWidth="1"/>
    <col min="5" max="5" width="8.77734375" style="2" customWidth="1"/>
    <col min="6" max="6" width="9.21875" style="2" customWidth="1"/>
    <col min="7" max="7" width="8" style="2" customWidth="1"/>
    <col min="8" max="8" width="6" style="2" customWidth="1"/>
    <col min="9" max="10" width="4.88671875" style="2" bestFit="1" customWidth="1"/>
    <col min="11" max="11" width="5.5546875" style="2" customWidth="1"/>
    <col min="12" max="12" width="8.77734375" style="2" customWidth="1"/>
    <col min="13" max="15" width="8.33203125" style="2" customWidth="1"/>
    <col min="16" max="17" width="8.88671875" style="2"/>
    <col min="18" max="18" width="9.109375" style="2" bestFit="1" customWidth="1"/>
    <col min="19" max="16384" width="8.88671875" style="2"/>
  </cols>
  <sheetData>
    <row r="1" spans="1:18" s="1" customFormat="1" ht="28.5" customHeight="1">
      <c r="A1" s="200"/>
      <c r="B1" s="200"/>
      <c r="C1" s="201"/>
      <c r="D1" s="201"/>
      <c r="E1" s="183"/>
      <c r="F1" s="183"/>
      <c r="G1" s="39"/>
      <c r="K1" s="202"/>
      <c r="L1" s="184"/>
      <c r="M1" s="191" t="s">
        <v>2371</v>
      </c>
      <c r="N1" s="110" t="s">
        <v>2372</v>
      </c>
      <c r="O1" s="191" t="s">
        <v>2373</v>
      </c>
    </row>
    <row r="2" spans="1:18" s="1" customFormat="1" ht="20.100000000000001" customHeight="1">
      <c r="A2" s="27"/>
      <c r="B2" s="27"/>
      <c r="C2" s="183"/>
      <c r="D2" s="203"/>
      <c r="E2" s="203"/>
      <c r="F2" s="10"/>
      <c r="G2" s="10"/>
      <c r="H2" s="11"/>
      <c r="K2" s="202"/>
      <c r="L2" s="204"/>
      <c r="M2" s="206" t="s">
        <v>2547</v>
      </c>
      <c r="N2" s="205"/>
      <c r="O2" s="206"/>
    </row>
    <row r="3" spans="1:18" s="1" customFormat="1" ht="20.100000000000001" customHeight="1">
      <c r="A3" s="200" t="s">
        <v>1632</v>
      </c>
      <c r="B3" s="200"/>
      <c r="C3" s="201">
        <v>45772</v>
      </c>
      <c r="D3" s="201"/>
      <c r="E3" s="183" t="s">
        <v>2253</v>
      </c>
      <c r="F3" s="31"/>
      <c r="G3" s="31"/>
      <c r="H3" s="31"/>
      <c r="I3" s="13"/>
      <c r="J3" s="13"/>
      <c r="K3" s="202"/>
      <c r="L3" s="204"/>
      <c r="M3" s="206"/>
      <c r="N3" s="205"/>
      <c r="O3" s="206"/>
    </row>
    <row r="4" spans="1:18" s="14" customFormat="1" ht="20.100000000000001" customHeight="1">
      <c r="A4" s="28"/>
      <c r="B4" s="28"/>
      <c r="C4" s="31"/>
      <c r="D4" s="31"/>
      <c r="E4" s="31"/>
      <c r="F4" s="31"/>
      <c r="G4" s="31"/>
      <c r="H4" s="31"/>
      <c r="I4" s="12"/>
      <c r="J4" s="12"/>
      <c r="K4" s="202"/>
      <c r="L4" s="204"/>
      <c r="M4" s="206"/>
      <c r="N4" s="205"/>
      <c r="O4" s="206"/>
    </row>
    <row r="5" spans="1:18" s="98" customFormat="1" ht="29.25" customHeight="1">
      <c r="A5" s="91"/>
      <c r="B5" s="92"/>
      <c r="C5" s="93"/>
      <c r="D5" s="94"/>
      <c r="E5" s="95"/>
      <c r="F5" s="95"/>
      <c r="G5" s="95"/>
      <c r="H5" s="95"/>
      <c r="I5" s="93"/>
      <c r="J5" s="93"/>
      <c r="K5" s="96"/>
      <c r="L5" s="207"/>
      <c r="M5" s="207"/>
      <c r="N5" s="97"/>
      <c r="O5" s="96"/>
    </row>
    <row r="6" spans="1:18" s="99" customFormat="1" ht="20.100000000000001" customHeight="1">
      <c r="A6" s="215" t="s">
        <v>1623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8" t="s">
        <v>1624</v>
      </c>
      <c r="P6" s="209"/>
      <c r="Q6" s="209"/>
      <c r="R6" s="209"/>
    </row>
    <row r="7" spans="1:18" s="99" customFormat="1" ht="20.100000000000001" customHeight="1">
      <c r="A7" s="210" t="s">
        <v>1625</v>
      </c>
      <c r="B7" s="211"/>
      <c r="C7" s="211"/>
      <c r="D7" s="212" t="s">
        <v>2211</v>
      </c>
      <c r="E7" s="211"/>
      <c r="F7" s="211" t="s">
        <v>2212</v>
      </c>
      <c r="G7" s="211"/>
      <c r="H7" s="213" t="s">
        <v>2213</v>
      </c>
      <c r="I7" s="213"/>
      <c r="J7" s="213"/>
      <c r="K7" s="213" t="s">
        <v>2214</v>
      </c>
      <c r="L7" s="213"/>
      <c r="M7" s="213" t="s">
        <v>2215</v>
      </c>
      <c r="N7" s="214"/>
      <c r="O7" s="219"/>
      <c r="P7" s="209"/>
      <c r="Q7" s="209"/>
      <c r="R7" s="209"/>
    </row>
    <row r="8" spans="1:18" s="99" customFormat="1" ht="20.100000000000001" customHeight="1">
      <c r="A8" s="223" t="s">
        <v>2437</v>
      </c>
      <c r="B8" s="224"/>
      <c r="C8" s="224"/>
      <c r="D8" s="225">
        <v>180</v>
      </c>
      <c r="E8" s="226"/>
      <c r="F8" s="226">
        <v>118</v>
      </c>
      <c r="G8" s="226"/>
      <c r="H8" s="226">
        <v>109</v>
      </c>
      <c r="I8" s="226"/>
      <c r="J8" s="226"/>
      <c r="K8" s="226">
        <f>SUM(D8:J8)</f>
        <v>407</v>
      </c>
      <c r="L8" s="226"/>
      <c r="M8" s="226">
        <v>2</v>
      </c>
      <c r="N8" s="227"/>
      <c r="O8" s="228">
        <f>SUM(K8:N8)</f>
        <v>409</v>
      </c>
    </row>
    <row r="9" spans="1:18" s="160" customFormat="1" ht="20.100000000000001" customHeight="1">
      <c r="A9" s="230" t="s">
        <v>0</v>
      </c>
      <c r="B9" s="231"/>
      <c r="C9" s="232"/>
      <c r="D9" s="233" t="s">
        <v>2532</v>
      </c>
      <c r="E9" s="233"/>
      <c r="F9" s="233"/>
      <c r="G9" s="233"/>
      <c r="H9" s="233"/>
      <c r="I9" s="233"/>
      <c r="J9" s="233"/>
      <c r="K9" s="233"/>
      <c r="L9" s="233"/>
      <c r="M9" s="233"/>
      <c r="N9" s="234"/>
      <c r="O9" s="229"/>
    </row>
    <row r="10" spans="1:18" s="160" customFormat="1" ht="30">
      <c r="A10" s="40" t="s">
        <v>1633</v>
      </c>
      <c r="B10" s="33" t="s">
        <v>1666</v>
      </c>
      <c r="C10" s="34" t="s">
        <v>1634</v>
      </c>
      <c r="D10" s="35" t="s">
        <v>1635</v>
      </c>
      <c r="E10" s="35" t="s">
        <v>1758</v>
      </c>
      <c r="F10" s="35" t="s">
        <v>1636</v>
      </c>
      <c r="G10" s="35" t="s">
        <v>1637</v>
      </c>
      <c r="H10" s="35" t="s">
        <v>1638</v>
      </c>
      <c r="I10" s="35" t="s">
        <v>1639</v>
      </c>
      <c r="J10" s="35" t="s">
        <v>1640</v>
      </c>
      <c r="K10" s="35" t="s">
        <v>1641</v>
      </c>
      <c r="L10" s="35" t="s">
        <v>1642</v>
      </c>
      <c r="M10" s="35" t="s">
        <v>1643</v>
      </c>
      <c r="N10" s="35" t="s">
        <v>1644</v>
      </c>
      <c r="O10" s="41" t="s">
        <v>1645</v>
      </c>
      <c r="P10" s="180" t="s">
        <v>1626</v>
      </c>
      <c r="Q10" s="181" t="s">
        <v>1627</v>
      </c>
      <c r="R10" s="15"/>
    </row>
    <row r="11" spans="1:18" s="160" customFormat="1" ht="27.75" customHeight="1">
      <c r="A11" s="166">
        <f>ROW()-10</f>
        <v>1</v>
      </c>
      <c r="B11" s="171" t="s">
        <v>2187</v>
      </c>
      <c r="C11" s="169" t="s">
        <v>140</v>
      </c>
      <c r="D11" s="168">
        <v>100</v>
      </c>
      <c r="E11" s="168">
        <f>IF($C11="","",VLOOKUP($C11,성분!$B$2:$O$51519,3,FALSE))/100*P11</f>
        <v>240</v>
      </c>
      <c r="F11" s="168">
        <f>IF($C11="","",VLOOKUP($C11,성분!$B$2:$O$51519,5,FALSE))/100*$P11</f>
        <v>78.5</v>
      </c>
      <c r="G11" s="168">
        <f>IF($C11="","",VLOOKUP($C11,성분!$B$2:$O$51519,4,FALSE))/100*$P11</f>
        <v>6.4</v>
      </c>
      <c r="H11" s="168">
        <f>IF($C11="","",VLOOKUP($C11,성분!$B$2:$O$51519,6,FALSE))/100*$P11</f>
        <v>0.4</v>
      </c>
      <c r="I11" s="168">
        <f>IF($C11="","",VLOOKUP($C11,성분!$B$2:$O$51519,7,FALSE))/100*$P11</f>
        <v>7.0000000000000009</v>
      </c>
      <c r="J11" s="168">
        <f>IF($C11="","",VLOOKUP($C11,성분!$B$2:$O$51519,8,FALSE))/100*$P11</f>
        <v>0.5</v>
      </c>
      <c r="K11" s="168">
        <f>IF($C11="","",VLOOKUP($C11,성분!$B$2:$O$51519,9,FALSE))/100*$P11</f>
        <v>0</v>
      </c>
      <c r="L11" s="168">
        <f>IF($C11="","",VLOOKUP($C11,성분!$B$2:$O$51519,10,FALSE))/100*$P11</f>
        <v>0.12</v>
      </c>
      <c r="M11" s="168">
        <f>IF($C11="","",VLOOKUP($C11,성분!$B$2:$O$51519,11,FALSE))/100*$P11</f>
        <v>0</v>
      </c>
      <c r="N11" s="168">
        <f>IF($C11="","",VLOOKUP($C11,성분!$B$2:$O$51519,12,FALSE))/100*$P11</f>
        <v>1.4</v>
      </c>
      <c r="O11" s="167">
        <f>IF($C11="","",VLOOKUP($C11,성분!$B$2:$O$51519,13,FALSE))/100*$P11</f>
        <v>0</v>
      </c>
      <c r="P11" s="165">
        <f t="shared" ref="P11:P36" si="0">D11</f>
        <v>100</v>
      </c>
      <c r="Q11" s="162">
        <f t="shared" ref="Q11:Q36" si="1">($O$8*P11)/1000</f>
        <v>40.9</v>
      </c>
      <c r="R11" s="18">
        <f t="shared" ref="R11:R36" si="2">INT(Q11)</f>
        <v>40</v>
      </c>
    </row>
    <row r="12" spans="1:18" s="160" customFormat="1" ht="27.75" customHeight="1">
      <c r="A12" s="166">
        <f t="shared" ref="A12:A30" si="3">ROW()-10</f>
        <v>2</v>
      </c>
      <c r="B12" s="171"/>
      <c r="C12" s="169" t="s">
        <v>2188</v>
      </c>
      <c r="D12" s="168">
        <v>4</v>
      </c>
      <c r="E12" s="168">
        <f>IF($C12="","",VLOOKUP($C12,성분!$B$2:$O$51519,3,FALSE))/100*P12</f>
        <v>13.96</v>
      </c>
      <c r="F12" s="168">
        <f>IF($C12="","",VLOOKUP($C12,성분!$B$2:$O$51519,5,FALSE))/100*$P12</f>
        <v>3</v>
      </c>
      <c r="G12" s="168">
        <f>IF($C12="","",VLOOKUP($C12,성분!$B$2:$O$51519,4,FALSE))/100*$P12</f>
        <v>0.39200000000000002</v>
      </c>
      <c r="H12" s="168">
        <f>IF($C12="","",VLOOKUP($C12,성분!$B$2:$O$51519,6,FALSE))/100*$P12</f>
        <v>0.06</v>
      </c>
      <c r="I12" s="168">
        <f>IF($C12="","",VLOOKUP($C12,성분!$B$2:$O$51519,7,FALSE))/100*$P12</f>
        <v>0</v>
      </c>
      <c r="J12" s="168">
        <f>IF($C12="","",VLOOKUP($C12,성분!$B$2:$O$51519,8,FALSE))/100*$P12</f>
        <v>0</v>
      </c>
      <c r="K12" s="168">
        <f>IF($C12="","",VLOOKUP($C12,성분!$B$2:$O$51519,9,FALSE))/100*$P12</f>
        <v>0</v>
      </c>
      <c r="L12" s="168">
        <f>IF($C12="","",VLOOKUP($C12,성분!$B$2:$O$51519,10,FALSE))/100*$P12</f>
        <v>8.8000000000000005E-3</v>
      </c>
      <c r="M12" s="168">
        <f>IF($C12="","",VLOOKUP($C12,성분!$B$2:$O$51519,11,FALSE))/100*$P12</f>
        <v>3.5999999999999999E-3</v>
      </c>
      <c r="N12" s="168">
        <f>IF($C12="","",VLOOKUP($C12,성분!$B$2:$O$51519,12,FALSE))/100*$P12</f>
        <v>0</v>
      </c>
      <c r="O12" s="167">
        <f>IF($C12="","",VLOOKUP($C12,성분!$B$2:$O$51519,13,FALSE))/100*$P12</f>
        <v>0</v>
      </c>
      <c r="P12" s="165">
        <f t="shared" si="0"/>
        <v>4</v>
      </c>
      <c r="Q12" s="162">
        <f t="shared" si="1"/>
        <v>1.6359999999999999</v>
      </c>
      <c r="R12" s="18">
        <f t="shared" si="2"/>
        <v>1</v>
      </c>
    </row>
    <row r="13" spans="1:18" s="160" customFormat="1" ht="27.75" customHeight="1">
      <c r="A13" s="166">
        <f t="shared" si="3"/>
        <v>3</v>
      </c>
      <c r="B13" s="171" t="s">
        <v>2359</v>
      </c>
      <c r="C13" s="169" t="s">
        <v>2431</v>
      </c>
      <c r="D13" s="168">
        <v>36</v>
      </c>
      <c r="E13" s="168">
        <f>IF($C13="","",VLOOKUP($C13,성분!$B$2:$O$51519,3,FALSE))/100*P13</f>
        <v>63</v>
      </c>
      <c r="F13" s="168">
        <f>IF($C13="","",VLOOKUP($C13,성분!$B$2:$O$51519,5,FALSE))/100*$P13</f>
        <v>8.2800000000000011</v>
      </c>
      <c r="G13" s="168">
        <f>IF($C13="","",VLOOKUP($C13,성분!$B$2:$O$51519,4,FALSE))/100*$P13</f>
        <v>3.6</v>
      </c>
      <c r="H13" s="168">
        <f>IF($C13="","",VLOOKUP($C13,성분!$B$2:$O$51519,6,FALSE))/100*$P13</f>
        <v>2.16</v>
      </c>
      <c r="I13" s="168">
        <f>IF($C13="","",VLOOKUP($C13,성분!$B$2:$O$51519,7,FALSE))/100*$P13</f>
        <v>0</v>
      </c>
      <c r="J13" s="168">
        <f>IF($C13="","",VLOOKUP($C13,성분!$B$2:$O$51519,8,FALSE))/100*$P13</f>
        <v>0</v>
      </c>
      <c r="K13" s="168">
        <f>IF($C13="","",VLOOKUP($C13,성분!$B$2:$O$51519,9,FALSE))/100*$P13</f>
        <v>0</v>
      </c>
      <c r="L13" s="168">
        <f>IF($C13="","",VLOOKUP($C13,성분!$B$2:$O$51519,10,FALSE))/100*$P13</f>
        <v>0</v>
      </c>
      <c r="M13" s="168">
        <f>IF($C13="","",VLOOKUP($C13,성분!$B$2:$O$51519,11,FALSE))/100*$P13</f>
        <v>0</v>
      </c>
      <c r="N13" s="168">
        <f>IF($C13="","",VLOOKUP($C13,성분!$B$2:$O$51519,12,FALSE))/100*$P13</f>
        <v>0</v>
      </c>
      <c r="O13" s="167">
        <f>IF($C13="","",VLOOKUP($C13,성분!$B$2:$O$51519,13,FALSE))/100*$P13</f>
        <v>0</v>
      </c>
      <c r="P13" s="165">
        <f t="shared" si="0"/>
        <v>36</v>
      </c>
      <c r="Q13" s="162">
        <f t="shared" si="1"/>
        <v>14.724</v>
      </c>
      <c r="R13" s="18">
        <f t="shared" si="2"/>
        <v>14</v>
      </c>
    </row>
    <row r="14" spans="1:18" s="160" customFormat="1" ht="27.75" customHeight="1">
      <c r="A14" s="166">
        <f t="shared" si="3"/>
        <v>4</v>
      </c>
      <c r="B14" s="171"/>
      <c r="C14" s="169" t="s">
        <v>357</v>
      </c>
      <c r="D14" s="168">
        <v>12</v>
      </c>
      <c r="E14" s="168">
        <f>IF($C14="","",VLOOKUP($C14,성분!$B$2:$O$51519,3,FALSE))/100*P14</f>
        <v>16.799999999999997</v>
      </c>
      <c r="F14" s="168">
        <f>IF($C14="","",VLOOKUP($C14,성분!$B$2:$O$51519,5,FALSE))/100*$P14</f>
        <v>5.28</v>
      </c>
      <c r="G14" s="168">
        <f>IF($C14="","",VLOOKUP($C14,성분!$B$2:$O$51519,4,FALSE))/100*$P14</f>
        <v>1.524</v>
      </c>
      <c r="H14" s="168">
        <f>IF($C14="","",VLOOKUP($C14,성분!$B$2:$O$51519,6,FALSE))/100*$P14</f>
        <v>1.0835999999999999</v>
      </c>
      <c r="I14" s="168">
        <f>IF($C14="","",VLOOKUP($C14,성분!$B$2:$O$51519,7,FALSE))/100*$P14</f>
        <v>5.64</v>
      </c>
      <c r="J14" s="168">
        <f>IF($C14="","",VLOOKUP($C14,성분!$B$2:$O$51519,8,FALSE))/100*$P14</f>
        <v>0.21600000000000003</v>
      </c>
      <c r="K14" s="168">
        <f>IF($C14="","",VLOOKUP($C14,성분!$B$2:$O$51519,9,FALSE))/100*$P14</f>
        <v>18.72</v>
      </c>
      <c r="L14" s="168">
        <f>IF($C14="","",VLOOKUP($C14,성분!$B$2:$O$51519,10,FALSE))/100*$P14</f>
        <v>1.2E-2</v>
      </c>
      <c r="M14" s="168">
        <f>IF($C14="","",VLOOKUP($C14,성분!$B$2:$O$51519,11,FALSE))/100*$P14</f>
        <v>3.1199999999999999E-2</v>
      </c>
      <c r="N14" s="168">
        <f>IF($C14="","",VLOOKUP($C14,성분!$B$2:$O$51519,12,FALSE))/100*$P14</f>
        <v>1.2E-2</v>
      </c>
      <c r="O14" s="167">
        <f>IF($C14="","",VLOOKUP($C14,성분!$B$2:$O$51519,13,FALSE))/100*$P14</f>
        <v>0</v>
      </c>
      <c r="P14" s="165">
        <f t="shared" si="0"/>
        <v>12</v>
      </c>
      <c r="Q14" s="162">
        <f t="shared" si="1"/>
        <v>4.9080000000000004</v>
      </c>
      <c r="R14" s="18"/>
    </row>
    <row r="15" spans="1:18" s="160" customFormat="1" ht="27.75" customHeight="1">
      <c r="A15" s="166">
        <f t="shared" si="3"/>
        <v>5</v>
      </c>
      <c r="B15" s="171"/>
      <c r="C15" s="169" t="s">
        <v>1190</v>
      </c>
      <c r="D15" s="168">
        <v>7</v>
      </c>
      <c r="E15" s="168">
        <f>IF($C15="","",VLOOKUP($C15,성분!$B$2:$O$51519,3,FALSE))/100*P15</f>
        <v>2.4499999999999997</v>
      </c>
      <c r="F15" s="168">
        <f>IF($C15="","",VLOOKUP($C15,성분!$B$2:$O$51519,5,FALSE))/100*$P15</f>
        <v>0.53620000000000001</v>
      </c>
      <c r="G15" s="168">
        <f>IF($C15="","",VLOOKUP($C15,성분!$B$2:$O$51519,4,FALSE))/100*$P15</f>
        <v>7.0000000000000007E-2</v>
      </c>
      <c r="H15" s="168">
        <f>IF($C15="","",VLOOKUP($C15,성분!$B$2:$O$51519,6,FALSE))/100*$P15</f>
        <v>1.3299999999999999E-2</v>
      </c>
      <c r="I15" s="168">
        <f>IF($C15="","",VLOOKUP($C15,성분!$B$2:$O$51519,7,FALSE))/100*$P15</f>
        <v>1.05</v>
      </c>
      <c r="J15" s="168">
        <f>IF($C15="","",VLOOKUP($C15,성분!$B$2:$O$51519,8,FALSE))/100*$P15</f>
        <v>2.1000000000000001E-2</v>
      </c>
      <c r="K15" s="168">
        <f>IF($C15="","",VLOOKUP($C15,성분!$B$2:$O$51519,9,FALSE))/100*$P15</f>
        <v>0</v>
      </c>
      <c r="L15" s="168">
        <f>IF($C15="","",VLOOKUP($C15,성분!$B$2:$O$51519,10,FALSE))/100*$P15</f>
        <v>2.8E-3</v>
      </c>
      <c r="M15" s="168">
        <f>IF($C15="","",VLOOKUP($C15,성분!$B$2:$O$51519,11,FALSE))/100*$P15</f>
        <v>6.9999999999999999E-4</v>
      </c>
      <c r="N15" s="168">
        <f>IF($C15="","",VLOOKUP($C15,성분!$B$2:$O$51519,12,FALSE))/100*$P15</f>
        <v>1.4E-2</v>
      </c>
      <c r="O15" s="167">
        <f>IF($C15="","",VLOOKUP($C15,성분!$B$2:$O$51519,13,FALSE))/100*$P15</f>
        <v>0.56000000000000005</v>
      </c>
      <c r="P15" s="165">
        <f t="shared" si="0"/>
        <v>7</v>
      </c>
      <c r="Q15" s="162">
        <f t="shared" si="1"/>
        <v>2.863</v>
      </c>
      <c r="R15" s="18"/>
    </row>
    <row r="16" spans="1:18" s="160" customFormat="1" ht="27.75" customHeight="1">
      <c r="A16" s="166">
        <f t="shared" si="3"/>
        <v>6</v>
      </c>
      <c r="B16" s="171"/>
      <c r="C16" s="169" t="s">
        <v>1980</v>
      </c>
      <c r="D16" s="168">
        <v>7</v>
      </c>
      <c r="E16" s="168">
        <f>IF($C16="","",VLOOKUP($C16,성분!$B$2:$O$51519,3,FALSE))/100*P16</f>
        <v>2.3800000000000003</v>
      </c>
      <c r="F16" s="168">
        <f>IF($C16="","",VLOOKUP($C16,성분!$B$2:$O$51519,5,FALSE))/100*$P16</f>
        <v>0.49209999999999998</v>
      </c>
      <c r="G16" s="168">
        <f>IF($C16="","",VLOOKUP($C16,성분!$B$2:$O$51519,4,FALSE))/100*$P16</f>
        <v>7.0000000000000007E-2</v>
      </c>
      <c r="H16" s="168">
        <f>IF($C16="","",VLOOKUP($C16,성분!$B$2:$O$51519,6,FALSE))/100*$P16</f>
        <v>9.1000000000000004E-3</v>
      </c>
      <c r="I16" s="168">
        <f>IF($C16="","",VLOOKUP($C16,성분!$B$2:$O$51519,7,FALSE))/100*$P16</f>
        <v>2.66</v>
      </c>
      <c r="J16" s="168">
        <f>IF($C16="","",VLOOKUP($C16,성분!$B$2:$O$51519,8,FALSE))/100*$P16</f>
        <v>4.8999999999999995E-2</v>
      </c>
      <c r="K16" s="168">
        <f>IF($C16="","",VLOOKUP($C16,성분!$B$2:$O$51519,9,FALSE))/100*$P16</f>
        <v>87.990000000000009</v>
      </c>
      <c r="L16" s="168">
        <f>IF($C16="","",VLOOKUP($C16,성분!$B$2:$O$51519,10,FALSE))/100*$P16</f>
        <v>4.1999999999999997E-3</v>
      </c>
      <c r="M16" s="168">
        <f>IF($C16="","",VLOOKUP($C16,성분!$B$2:$O$51519,11,FALSE))/100*$P16</f>
        <v>2.8E-3</v>
      </c>
      <c r="N16" s="168">
        <f>IF($C16="","",VLOOKUP($C16,성분!$B$2:$O$51519,12,FALSE))/100*$P16</f>
        <v>5.6000000000000001E-2</v>
      </c>
      <c r="O16" s="167">
        <f>IF($C16="","",VLOOKUP($C16,성분!$B$2:$O$51519,13,FALSE))/100*$P16</f>
        <v>0.42</v>
      </c>
      <c r="P16" s="165">
        <f t="shared" si="0"/>
        <v>7</v>
      </c>
      <c r="Q16" s="162">
        <f t="shared" si="1"/>
        <v>2.863</v>
      </c>
      <c r="R16" s="18">
        <f t="shared" ref="R16" si="4">INT(Q16)</f>
        <v>2</v>
      </c>
    </row>
    <row r="17" spans="1:18" s="160" customFormat="1" ht="27.75" customHeight="1">
      <c r="A17" s="166">
        <f t="shared" si="3"/>
        <v>7</v>
      </c>
      <c r="B17" s="171"/>
      <c r="C17" s="169" t="s">
        <v>1239</v>
      </c>
      <c r="D17" s="168">
        <v>5</v>
      </c>
      <c r="E17" s="168">
        <f>IF($C17="","",VLOOKUP($C17,성분!$B$2:$O$51519,3,FALSE))/100*P17</f>
        <v>1.3</v>
      </c>
      <c r="F17" s="168">
        <f>IF($C17="","",VLOOKUP($C17,성분!$B$2:$O$51519,5,FALSE))/100*$P17</f>
        <v>0.223</v>
      </c>
      <c r="G17" s="168">
        <f>IF($C17="","",VLOOKUP($C17,성분!$B$2:$O$51519,4,FALSE))/100*$P17</f>
        <v>0</v>
      </c>
      <c r="H17" s="168">
        <f>IF($C17="","",VLOOKUP($C17,성분!$B$2:$O$51519,6,FALSE))/100*$P17</f>
        <v>1.2999999999999999E-2</v>
      </c>
      <c r="I17" s="168">
        <f>IF($C17="","",VLOOKUP($C17,성분!$B$2:$O$51519,7,FALSE))/100*$P17</f>
        <v>4.0500000000000007</v>
      </c>
      <c r="J17" s="168">
        <f>IF($C17="","",VLOOKUP($C17,성분!$B$2:$O$51519,8,FALSE))/100*$P17</f>
        <v>0.05</v>
      </c>
      <c r="K17" s="168">
        <f>IF($C17="","",VLOOKUP($C17,성분!$B$2:$O$51519,9,FALSE))/100*$P17</f>
        <v>6.45</v>
      </c>
      <c r="L17" s="168">
        <f>IF($C17="","",VLOOKUP($C17,성분!$B$2:$O$51519,10,FALSE))/100*$P17</f>
        <v>2.9999999999999996E-3</v>
      </c>
      <c r="M17" s="168">
        <f>IF($C17="","",VLOOKUP($C17,성분!$B$2:$O$51519,11,FALSE))/100*$P17</f>
        <v>4.4999999999999997E-3</v>
      </c>
      <c r="N17" s="168">
        <f>IF($C17="","",VLOOKUP($C17,성분!$B$2:$O$51519,12,FALSE))/100*$P17</f>
        <v>0.03</v>
      </c>
      <c r="O17" s="167">
        <f>IF($C17="","",VLOOKUP($C17,성분!$B$2:$O$51519,13,FALSE))/100*$P17</f>
        <v>1.05</v>
      </c>
      <c r="P17" s="165">
        <f t="shared" si="0"/>
        <v>5</v>
      </c>
      <c r="Q17" s="162">
        <f t="shared" si="1"/>
        <v>2.0449999999999999</v>
      </c>
      <c r="R17" s="18"/>
    </row>
    <row r="18" spans="1:18" s="160" customFormat="1" ht="27.75" customHeight="1">
      <c r="A18" s="166">
        <f t="shared" si="3"/>
        <v>8</v>
      </c>
      <c r="B18" s="171"/>
      <c r="C18" s="169" t="s">
        <v>2396</v>
      </c>
      <c r="D18" s="168">
        <v>3</v>
      </c>
      <c r="E18" s="168">
        <f>IF($C18="","",VLOOKUP($C18,성분!$B$2:$O$51519,3,FALSE))/100*P18</f>
        <v>5.67</v>
      </c>
      <c r="F18" s="168">
        <f>IF($C18="","",VLOOKUP($C18,성분!$B$2:$O$51519,5,FALSE))/100*$P18</f>
        <v>1.3560000000000001</v>
      </c>
      <c r="G18" s="168">
        <f>IF($C18="","",VLOOKUP($C18,성분!$B$2:$O$51519,4,FALSE))/100*$P18</f>
        <v>0.22200000000000003</v>
      </c>
      <c r="H18" s="168">
        <f>IF($C18="","",VLOOKUP($C18,성분!$B$2:$O$51519,6,FALSE))/100*$P18</f>
        <v>3.3000000000000002E-2</v>
      </c>
      <c r="I18" s="168">
        <f>IF($C18="","",VLOOKUP($C18,성분!$B$2:$O$51519,7,FALSE))/100*$P18</f>
        <v>21.240000000000002</v>
      </c>
      <c r="J18" s="168">
        <f>IF($C18="","",VLOOKUP($C18,성분!$B$2:$O$51519,8,FALSE))/100*$P18</f>
        <v>0.189</v>
      </c>
      <c r="K18" s="168">
        <f>IF($C18="","",VLOOKUP($C18,성분!$B$2:$O$51519,9,FALSE))/100*$P18</f>
        <v>2.88</v>
      </c>
      <c r="L18" s="168">
        <f>IF($C18="","",VLOOKUP($C18,성분!$B$2:$O$51519,10,FALSE))/100*$P18</f>
        <v>6.6E-3</v>
      </c>
      <c r="M18" s="168">
        <f>IF($C18="","",VLOOKUP($C18,성분!$B$2:$O$51519,11,FALSE))/100*$P18</f>
        <v>1.3500000000000002E-2</v>
      </c>
      <c r="N18" s="168">
        <f>IF($C18="","",VLOOKUP($C18,성분!$B$2:$O$51519,12,FALSE))/100*$P18</f>
        <v>0.13500000000000001</v>
      </c>
      <c r="O18" s="167">
        <f>IF($C18="","",VLOOKUP($C18,성분!$B$2:$O$51519,13,FALSE))/100*$P18</f>
        <v>0.54</v>
      </c>
      <c r="P18" s="165">
        <f t="shared" ref="P18:P19" si="5">D18</f>
        <v>3</v>
      </c>
      <c r="Q18" s="162">
        <f t="shared" ref="Q18:Q19" si="6">($O$8*P18)/1000</f>
        <v>1.2270000000000001</v>
      </c>
      <c r="R18" s="18">
        <f t="shared" ref="R18" si="7">INT(Q18)</f>
        <v>1</v>
      </c>
    </row>
    <row r="19" spans="1:18" s="160" customFormat="1" ht="27.75" customHeight="1">
      <c r="A19" s="166">
        <f t="shared" si="3"/>
        <v>9</v>
      </c>
      <c r="B19" s="171"/>
      <c r="C19" s="169" t="s">
        <v>2397</v>
      </c>
      <c r="D19" s="168">
        <v>3</v>
      </c>
      <c r="E19" s="168">
        <f>IF($C19="","",VLOOKUP($C19,성분!$B$2:$O$51519,3,FALSE))/100*P19</f>
        <v>9.09</v>
      </c>
      <c r="F19" s="168">
        <f>IF($C19="","",VLOOKUP($C19,성분!$B$2:$O$51519,5,FALSE))/100*$P19</f>
        <v>9.0000000000000011E-3</v>
      </c>
      <c r="G19" s="168">
        <f>IF($C19="","",VLOOKUP($C19,성분!$B$2:$O$51519,4,FALSE))/100*$P19</f>
        <v>0.99</v>
      </c>
      <c r="H19" s="168">
        <f>IF($C19="","",VLOOKUP($C19,성분!$B$2:$O$51519,6,FALSE))/100*$P19</f>
        <v>0.21899999999999997</v>
      </c>
      <c r="I19" s="168">
        <f>IF($C19="","",VLOOKUP($C19,성분!$B$2:$O$51519,7,FALSE))/100*$P19</f>
        <v>51</v>
      </c>
      <c r="J19" s="168">
        <f>IF($C19="","",VLOOKUP($C19,성분!$B$2:$O$51519,8,FALSE))/100*$P19</f>
        <v>0.12</v>
      </c>
      <c r="K19" s="168">
        <f>IF($C19="","",VLOOKUP($C19,성분!$B$2:$O$51519,9,FALSE))/100*$P19</f>
        <v>0</v>
      </c>
      <c r="L19" s="168">
        <f>IF($C19="","",VLOOKUP($C19,성분!$B$2:$O$51519,10,FALSE))/100*$P19</f>
        <v>4.2000000000000006E-3</v>
      </c>
      <c r="M19" s="168">
        <f>IF($C19="","",VLOOKUP($C19,성분!$B$2:$O$51519,11,FALSE))/100*$P19</f>
        <v>3.5999999999999999E-3</v>
      </c>
      <c r="N19" s="168">
        <f>IF($C19="","",VLOOKUP($C19,성분!$B$2:$O$51519,12,FALSE))/100*$P19</f>
        <v>0.06</v>
      </c>
      <c r="O19" s="167">
        <f>IF($C19="","",VLOOKUP($C19,성분!$B$2:$O$51519,13,FALSE))/100*$P19</f>
        <v>0</v>
      </c>
      <c r="P19" s="165">
        <f t="shared" si="5"/>
        <v>3</v>
      </c>
      <c r="Q19" s="162">
        <f t="shared" si="6"/>
        <v>1.2270000000000001</v>
      </c>
      <c r="R19" s="18"/>
    </row>
    <row r="20" spans="1:18" s="160" customFormat="1" ht="27.75" customHeight="1">
      <c r="A20" s="166">
        <f t="shared" si="3"/>
        <v>10</v>
      </c>
      <c r="B20" s="171" t="s">
        <v>2531</v>
      </c>
      <c r="C20" s="169" t="s">
        <v>2336</v>
      </c>
      <c r="D20" s="168">
        <v>100</v>
      </c>
      <c r="E20" s="168">
        <f>IF($C20="","",VLOOKUP($C20,성분!$B$2:$O$51519,3,FALSE))/100*P20</f>
        <v>110.00000000000001</v>
      </c>
      <c r="F20" s="168">
        <f>IF($C20="","",VLOOKUP($C20,성분!$B$2:$O$51519,5,FALSE))/100*$P20</f>
        <v>0</v>
      </c>
      <c r="G20" s="168">
        <f>IF($C20="","",VLOOKUP($C20,성분!$B$2:$O$51519,4,FALSE))/100*$P20</f>
        <v>9.4</v>
      </c>
      <c r="H20" s="168">
        <f>IF($C20="","",VLOOKUP($C20,성분!$B$2:$O$51519,6,FALSE))/100*$P20</f>
        <v>16.850000000000001</v>
      </c>
      <c r="I20" s="168">
        <f>IF($C20="","",VLOOKUP($C20,성분!$B$2:$O$51519,7,FALSE))/100*$P20</f>
        <v>28.000000000000004</v>
      </c>
      <c r="J20" s="168">
        <f>IF($C20="","",VLOOKUP($C20,성분!$B$2:$O$51519,8,FALSE))/100*$P20</f>
        <v>2.8</v>
      </c>
      <c r="K20" s="168">
        <f>IF($C20="","",VLOOKUP($C20,성분!$B$2:$O$51519,9,FALSE))/100*$P20</f>
        <v>49</v>
      </c>
      <c r="L20" s="168">
        <f>IF($C20="","",VLOOKUP($C20,성분!$B$2:$O$51519,10,FALSE))/100*$P20</f>
        <v>0.08</v>
      </c>
      <c r="M20" s="168">
        <f>IF($C20="","",VLOOKUP($C20,성분!$B$2:$O$51519,11,FALSE))/100*$P20</f>
        <v>0.06</v>
      </c>
      <c r="N20" s="168">
        <f>IF($C20="","",VLOOKUP($C20,성분!$B$2:$O$51519,12,FALSE))/100*$P20</f>
        <v>0.04</v>
      </c>
      <c r="O20" s="167">
        <f>IF($C20="","",VLOOKUP($C20,성분!$B$2:$O$51519,13,FALSE))/100*$P20</f>
        <v>0</v>
      </c>
      <c r="P20" s="165">
        <f t="shared" si="0"/>
        <v>100</v>
      </c>
      <c r="Q20" s="162">
        <f t="shared" si="1"/>
        <v>40.9</v>
      </c>
      <c r="R20" s="18">
        <f t="shared" ref="R20" si="8">INT(Q20)</f>
        <v>40</v>
      </c>
    </row>
    <row r="21" spans="1:18" s="160" customFormat="1" ht="27.75" customHeight="1">
      <c r="A21" s="166">
        <f t="shared" si="3"/>
        <v>11</v>
      </c>
      <c r="B21" s="171"/>
      <c r="C21" s="169" t="s">
        <v>1190</v>
      </c>
      <c r="D21" s="168">
        <v>20</v>
      </c>
      <c r="E21" s="168">
        <f>IF($C21="","",VLOOKUP($C21,성분!$B$2:$O$51519,3,FALSE))/100*P21</f>
        <v>7</v>
      </c>
      <c r="F21" s="168">
        <f>IF($C21="","",VLOOKUP($C21,성분!$B$2:$O$51519,5,FALSE))/100*$P21</f>
        <v>1.532</v>
      </c>
      <c r="G21" s="168">
        <f>IF($C21="","",VLOOKUP($C21,성분!$B$2:$O$51519,4,FALSE))/100*$P21</f>
        <v>0.2</v>
      </c>
      <c r="H21" s="168">
        <f>IF($C21="","",VLOOKUP($C21,성분!$B$2:$O$51519,6,FALSE))/100*$P21</f>
        <v>3.7999999999999999E-2</v>
      </c>
      <c r="I21" s="168">
        <f>IF($C21="","",VLOOKUP($C21,성분!$B$2:$O$51519,7,FALSE))/100*$P21</f>
        <v>3</v>
      </c>
      <c r="J21" s="168">
        <f>IF($C21="","",VLOOKUP($C21,성분!$B$2:$O$51519,8,FALSE))/100*$P21</f>
        <v>0.06</v>
      </c>
      <c r="K21" s="168">
        <f>IF($C21="","",VLOOKUP($C21,성분!$B$2:$O$51519,9,FALSE))/100*$P21</f>
        <v>0</v>
      </c>
      <c r="L21" s="168">
        <f>IF($C21="","",VLOOKUP($C21,성분!$B$2:$O$51519,10,FALSE))/100*$P21</f>
        <v>8.0000000000000002E-3</v>
      </c>
      <c r="M21" s="168">
        <f>IF($C21="","",VLOOKUP($C21,성분!$B$2:$O$51519,11,FALSE))/100*$P21</f>
        <v>2E-3</v>
      </c>
      <c r="N21" s="168">
        <f>IF($C21="","",VLOOKUP($C21,성분!$B$2:$O$51519,12,FALSE))/100*$P21</f>
        <v>0.04</v>
      </c>
      <c r="O21" s="167">
        <f>IF($C21="","",VLOOKUP($C21,성분!$B$2:$O$51519,13,FALSE))/100*$P21</f>
        <v>1.6</v>
      </c>
      <c r="P21" s="165">
        <f t="shared" si="0"/>
        <v>20</v>
      </c>
      <c r="Q21" s="162">
        <f t="shared" si="1"/>
        <v>8.18</v>
      </c>
      <c r="R21" s="18"/>
    </row>
    <row r="22" spans="1:18" s="160" customFormat="1" ht="27.75" customHeight="1">
      <c r="A22" s="166">
        <f t="shared" si="3"/>
        <v>12</v>
      </c>
      <c r="B22" s="171"/>
      <c r="C22" s="169" t="s">
        <v>1244</v>
      </c>
      <c r="D22" s="168">
        <v>10</v>
      </c>
      <c r="E22" s="168">
        <f>IF($C22="","",VLOOKUP($C22,성분!$B$2:$O$51519,3,FALSE))/100*P22</f>
        <v>1.7000000000000002</v>
      </c>
      <c r="F22" s="168">
        <f>IF($C22="","",VLOOKUP($C22,성분!$B$2:$O$51519,5,FALSE))/100*$P22</f>
        <v>0.318</v>
      </c>
      <c r="G22" s="168">
        <f>IF($C22="","",VLOOKUP($C22,성분!$B$2:$O$51519,4,FALSE))/100*$P22</f>
        <v>0</v>
      </c>
      <c r="H22" s="168">
        <f>IF($C22="","",VLOOKUP($C22,성분!$B$2:$O$51519,6,FALSE))/100*$P22</f>
        <v>1.4000000000000002E-2</v>
      </c>
      <c r="I22" s="168">
        <f>IF($C22="","",VLOOKUP($C22,성분!$B$2:$O$51519,7,FALSE))/100*$P22</f>
        <v>1</v>
      </c>
      <c r="J22" s="168">
        <f>IF($C22="","",VLOOKUP($C22,성분!$B$2:$O$51519,8,FALSE))/100*$P22</f>
        <v>0.05</v>
      </c>
      <c r="K22" s="168">
        <f>IF($C22="","",VLOOKUP($C22,성분!$B$2:$O$51519,9,FALSE))/100*$P22</f>
        <v>6.4</v>
      </c>
      <c r="L22" s="168">
        <f>IF($C22="","",VLOOKUP($C22,성분!$B$2:$O$51519,10,FALSE))/100*$P22</f>
        <v>2.9999999999999996E-3</v>
      </c>
      <c r="M22" s="168">
        <f>IF($C22="","",VLOOKUP($C22,성분!$B$2:$O$51519,11,FALSE))/100*$P22</f>
        <v>7.000000000000001E-3</v>
      </c>
      <c r="N22" s="168">
        <f>IF($C22="","",VLOOKUP($C22,성분!$B$2:$O$51519,12,FALSE))/100*$P22</f>
        <v>6.9999999999999993E-2</v>
      </c>
      <c r="O22" s="167">
        <f>IF($C22="","",VLOOKUP($C22,성분!$B$2:$O$51519,13,FALSE))/100*$P22</f>
        <v>5.3000000000000007</v>
      </c>
      <c r="P22" s="165">
        <f t="shared" si="0"/>
        <v>10</v>
      </c>
      <c r="Q22" s="162">
        <f t="shared" si="1"/>
        <v>4.09</v>
      </c>
      <c r="R22" s="18">
        <f t="shared" si="2"/>
        <v>4</v>
      </c>
    </row>
    <row r="23" spans="1:18" s="160" customFormat="1" ht="27.75" customHeight="1">
      <c r="A23" s="166">
        <f t="shared" si="3"/>
        <v>13</v>
      </c>
      <c r="B23" s="171"/>
      <c r="C23" s="169" t="s">
        <v>1980</v>
      </c>
      <c r="D23" s="168">
        <v>10</v>
      </c>
      <c r="E23" s="168">
        <f>IF($C23="","",VLOOKUP($C23,성분!$B$2:$O$51519,3,FALSE))/100*P23</f>
        <v>3.4000000000000004</v>
      </c>
      <c r="F23" s="168">
        <f>IF($C23="","",VLOOKUP($C23,성분!$B$2:$O$51519,5,FALSE))/100*$P23</f>
        <v>0.70300000000000007</v>
      </c>
      <c r="G23" s="168">
        <f>IF($C23="","",VLOOKUP($C23,성분!$B$2:$O$51519,4,FALSE))/100*$P23</f>
        <v>0.1</v>
      </c>
      <c r="H23" s="168">
        <f>IF($C23="","",VLOOKUP($C23,성분!$B$2:$O$51519,6,FALSE))/100*$P23</f>
        <v>1.2999999999999999E-2</v>
      </c>
      <c r="I23" s="168">
        <f>IF($C23="","",VLOOKUP($C23,성분!$B$2:$O$51519,7,FALSE))/100*$P23</f>
        <v>3.8</v>
      </c>
      <c r="J23" s="168">
        <f>IF($C23="","",VLOOKUP($C23,성분!$B$2:$O$51519,8,FALSE))/100*$P23</f>
        <v>6.9999999999999993E-2</v>
      </c>
      <c r="K23" s="168">
        <f>IF($C23="","",VLOOKUP($C23,성분!$B$2:$O$51519,9,FALSE))/100*$P23</f>
        <v>125.7</v>
      </c>
      <c r="L23" s="168">
        <f>IF($C23="","",VLOOKUP($C23,성분!$B$2:$O$51519,10,FALSE))/100*$P23</f>
        <v>5.9999999999999993E-3</v>
      </c>
      <c r="M23" s="168">
        <f>IF($C23="","",VLOOKUP($C23,성분!$B$2:$O$51519,11,FALSE))/100*$P23</f>
        <v>4.0000000000000001E-3</v>
      </c>
      <c r="N23" s="168">
        <f>IF($C23="","",VLOOKUP($C23,성분!$B$2:$O$51519,12,FALSE))/100*$P23</f>
        <v>0.08</v>
      </c>
      <c r="O23" s="167">
        <f>IF($C23="","",VLOOKUP($C23,성분!$B$2:$O$51519,13,FALSE))/100*$P23</f>
        <v>0.6</v>
      </c>
      <c r="P23" s="165">
        <f t="shared" si="0"/>
        <v>10</v>
      </c>
      <c r="Q23" s="162">
        <f t="shared" si="1"/>
        <v>4.09</v>
      </c>
      <c r="R23" s="18"/>
    </row>
    <row r="24" spans="1:18" s="160" customFormat="1" ht="27.75" customHeight="1">
      <c r="A24" s="166">
        <f t="shared" si="3"/>
        <v>14</v>
      </c>
      <c r="B24" s="171"/>
      <c r="C24" s="169" t="s">
        <v>2337</v>
      </c>
      <c r="D24" s="168">
        <v>45</v>
      </c>
      <c r="E24" s="168">
        <f>IF($C24="","",VLOOKUP($C24,성분!$B$2:$O$51519,3,FALSE))/100*P24</f>
        <v>6.75</v>
      </c>
      <c r="F24" s="168">
        <f>IF($C24="","",VLOOKUP($C24,성분!$B$2:$O$51519,5,FALSE))/100*$P24</f>
        <v>1.395</v>
      </c>
      <c r="G24" s="168">
        <f>IF($C24="","",VLOOKUP($C24,성분!$B$2:$O$51519,4,FALSE))/100*$P24</f>
        <v>0.40500000000000003</v>
      </c>
      <c r="H24" s="168">
        <f>IF($C24="","",VLOOKUP($C24,성분!$B$2:$O$51519,6,FALSE))/100*$P24</f>
        <v>4.4999999999999998E-2</v>
      </c>
      <c r="I24" s="168">
        <f>IF($C24="","",VLOOKUP($C24,성분!$B$2:$O$51519,7,FALSE))/100*$P24</f>
        <v>19.350000000000001</v>
      </c>
      <c r="J24" s="168">
        <f>IF($C24="","",VLOOKUP($C24,성분!$B$2:$O$51519,8,FALSE))/100*$P24</f>
        <v>0.45</v>
      </c>
      <c r="K24" s="168">
        <f>IF($C24="","",VLOOKUP($C24,성분!$B$2:$O$51519,9,FALSE))/100*$P24</f>
        <v>0</v>
      </c>
      <c r="L24" s="168">
        <f>IF($C24="","",VLOOKUP($C24,성분!$B$2:$O$51519,10,FALSE))/100*$P24</f>
        <v>9.0000000000000011E-3</v>
      </c>
      <c r="M24" s="168">
        <f>IF($C24="","",VLOOKUP($C24,성분!$B$2:$O$51519,11,FALSE))/100*$P24</f>
        <v>9.0000000000000011E-3</v>
      </c>
      <c r="N24" s="168">
        <f>IF($C24="","",VLOOKUP($C24,성분!$B$2:$O$51519,12,FALSE))/100*$P24</f>
        <v>0.09</v>
      </c>
      <c r="O24" s="167">
        <f>IF($C24="","",VLOOKUP($C24,성분!$B$2:$O$51519,13,FALSE))/100*$P24</f>
        <v>0</v>
      </c>
      <c r="P24" s="165">
        <f t="shared" si="0"/>
        <v>45</v>
      </c>
      <c r="Q24" s="162">
        <f t="shared" si="1"/>
        <v>18.405000000000001</v>
      </c>
      <c r="R24" s="18"/>
    </row>
    <row r="25" spans="1:18" s="160" customFormat="1" ht="27.75" customHeight="1">
      <c r="A25" s="166">
        <f t="shared" si="3"/>
        <v>15</v>
      </c>
      <c r="B25" s="171" t="s">
        <v>2360</v>
      </c>
      <c r="C25" s="169" t="s">
        <v>2432</v>
      </c>
      <c r="D25" s="168">
        <v>45</v>
      </c>
      <c r="E25" s="168">
        <f>IF($C25="","",VLOOKUP($C25,성분!$B$2:$O$51519,3,FALSE))/100*P25</f>
        <v>143.1</v>
      </c>
      <c r="F25" s="168">
        <f>IF($C25="","",VLOOKUP($C25,성분!$B$2:$O$51519,5,FALSE))/100*$P25</f>
        <v>30.150000000000002</v>
      </c>
      <c r="G25" s="168">
        <f>IF($C25="","",VLOOKUP($C25,성분!$B$2:$O$51519,4,FALSE))/100*$P25</f>
        <v>4.59</v>
      </c>
      <c r="H25" s="168">
        <f>IF($C25="","",VLOOKUP($C25,성분!$B$2:$O$51519,6,FALSE))/100*$P25</f>
        <v>0.62999999999999989</v>
      </c>
      <c r="I25" s="168">
        <f>IF($C25="","",VLOOKUP($C25,성분!$B$2:$O$51519,7,FALSE))/100*$P25</f>
        <v>76.05</v>
      </c>
      <c r="J25" s="168">
        <f>IF($C25="","",VLOOKUP($C25,성분!$B$2:$O$51519,8,FALSE))/100*$P25</f>
        <v>1.3499999999999999</v>
      </c>
      <c r="K25" s="168">
        <f>IF($C25="","",VLOOKUP($C25,성분!$B$2:$O$51519,9,FALSE))/100*$P25</f>
        <v>0</v>
      </c>
      <c r="L25" s="168">
        <f>IF($C25="","",VLOOKUP($C25,성분!$B$2:$O$51519,10,FALSE))/100*$P25</f>
        <v>0.11699999999999999</v>
      </c>
      <c r="M25" s="168">
        <f>IF($C25="","",VLOOKUP($C25,성분!$B$2:$O$51519,11,FALSE))/100*$P25</f>
        <v>3.6000000000000004E-2</v>
      </c>
      <c r="N25" s="168">
        <f>IF($C25="","",VLOOKUP($C25,성분!$B$2:$O$51519,12,FALSE))/100*$P25</f>
        <v>0.54</v>
      </c>
      <c r="O25" s="167">
        <f>IF($C25="","",VLOOKUP($C25,성분!$B$2:$O$51519,13,FALSE))/100*$P25</f>
        <v>0</v>
      </c>
      <c r="P25" s="165">
        <f t="shared" si="0"/>
        <v>45</v>
      </c>
      <c r="Q25" s="162">
        <f t="shared" si="1"/>
        <v>18.405000000000001</v>
      </c>
      <c r="R25" s="18"/>
    </row>
    <row r="26" spans="1:18" s="160" customFormat="1" ht="27.75" customHeight="1">
      <c r="A26" s="166">
        <f t="shared" si="3"/>
        <v>16</v>
      </c>
      <c r="B26" s="171"/>
      <c r="C26" s="169" t="s">
        <v>1158</v>
      </c>
      <c r="D26" s="168">
        <v>7</v>
      </c>
      <c r="E26" s="168">
        <f>IF($C26="","",VLOOKUP($C26,성분!$B$2:$O$51519,3,FALSE))/100*P26</f>
        <v>1.26</v>
      </c>
      <c r="F26" s="168">
        <f>IF($C26="","",VLOOKUP($C26,성분!$B$2:$O$51519,5,FALSE))/100*$P26</f>
        <v>0.24500000000000002</v>
      </c>
      <c r="G26" s="168">
        <f>IF($C26="","",VLOOKUP($C26,성분!$B$2:$O$51519,4,FALSE))/100*$P26</f>
        <v>8.4000000000000005E-2</v>
      </c>
      <c r="H26" s="168">
        <f>IF($C26="","",VLOOKUP($C26,성분!$B$2:$O$51519,6,FALSE))/100*$P26</f>
        <v>2.1000000000000001E-2</v>
      </c>
      <c r="I26" s="168">
        <f>IF($C26="","",VLOOKUP($C26,성분!$B$2:$O$51519,7,FALSE))/100*$P26</f>
        <v>3.9200000000000004</v>
      </c>
      <c r="J26" s="168">
        <f>IF($C26="","",VLOOKUP($C26,성분!$B$2:$O$51519,8,FALSE))/100*$P26</f>
        <v>4.8999999999999995E-2</v>
      </c>
      <c r="K26" s="168">
        <f>IF($C26="","",VLOOKUP($C26,성분!$B$2:$O$51519,9,FALSE))/100*$P26</f>
        <v>10.85</v>
      </c>
      <c r="L26" s="168">
        <f>IF($C26="","",VLOOKUP($C26,성분!$B$2:$O$51519,10,FALSE))/100*$P26</f>
        <v>4.1999999999999997E-3</v>
      </c>
      <c r="M26" s="168">
        <f>IF($C26="","",VLOOKUP($C26,성분!$B$2:$O$51519,11,FALSE))/100*$P26</f>
        <v>4.9000000000000007E-3</v>
      </c>
      <c r="N26" s="168">
        <f>IF($C26="","",VLOOKUP($C26,성분!$B$2:$O$51519,12,FALSE))/100*$P26</f>
        <v>2.5899999999999999E-2</v>
      </c>
      <c r="O26" s="167">
        <f>IF($C26="","",VLOOKUP($C26,성분!$B$2:$O$51519,13,FALSE))/100*$P26</f>
        <v>0.70000000000000007</v>
      </c>
      <c r="P26" s="165">
        <f t="shared" si="0"/>
        <v>7</v>
      </c>
      <c r="Q26" s="162">
        <f t="shared" si="1"/>
        <v>2.863</v>
      </c>
      <c r="R26" s="18"/>
    </row>
    <row r="27" spans="1:18" s="160" customFormat="1" ht="27.75" customHeight="1">
      <c r="A27" s="166">
        <f t="shared" si="3"/>
        <v>17</v>
      </c>
      <c r="B27" s="171"/>
      <c r="C27" s="169" t="s">
        <v>1195</v>
      </c>
      <c r="D27" s="168">
        <v>10</v>
      </c>
      <c r="E27" s="168">
        <f>IF($C27="","",VLOOKUP($C27,성분!$B$2:$O$51519,3,FALSE))/100*P27</f>
        <v>0.89999999999999991</v>
      </c>
      <c r="F27" s="168">
        <f>IF($C27="","",VLOOKUP($C27,성분!$B$2:$O$51519,5,FALSE))/100*$P27</f>
        <v>0.17600000000000002</v>
      </c>
      <c r="G27" s="168">
        <f>IF($C27="","",VLOOKUP($C27,성분!$B$2:$O$51519,4,FALSE))/100*$P27</f>
        <v>0</v>
      </c>
      <c r="H27" s="168">
        <f>IF($C27="","",VLOOKUP($C27,성분!$B$2:$O$51519,6,FALSE))/100*$P27</f>
        <v>0.01</v>
      </c>
      <c r="I27" s="168">
        <f>IF($C27="","",VLOOKUP($C27,성분!$B$2:$O$51519,7,FALSE))/100*$P27</f>
        <v>2</v>
      </c>
      <c r="J27" s="168">
        <f>IF($C27="","",VLOOKUP($C27,성분!$B$2:$O$51519,8,FALSE))/100*$P27</f>
        <v>0.03</v>
      </c>
      <c r="K27" s="168">
        <f>IF($C27="","",VLOOKUP($C27,성분!$B$2:$O$51519,9,FALSE))/100*$P27</f>
        <v>2.4</v>
      </c>
      <c r="L27" s="168">
        <f>IF($C27="","",VLOOKUP($C27,성분!$B$2:$O$51519,10,FALSE))/100*$P27</f>
        <v>4.0000000000000001E-3</v>
      </c>
      <c r="M27" s="168">
        <f>IF($C27="","",VLOOKUP($C27,성분!$B$2:$O$51519,11,FALSE))/100*$P27</f>
        <v>4.0000000000000001E-3</v>
      </c>
      <c r="N27" s="168">
        <f>IF($C27="","",VLOOKUP($C27,성분!$B$2:$O$51519,12,FALSE))/100*$P27</f>
        <v>0.02</v>
      </c>
      <c r="O27" s="167">
        <f>IF($C27="","",VLOOKUP($C27,성분!$B$2:$O$51519,13,FALSE))/100*$P27</f>
        <v>1</v>
      </c>
      <c r="P27" s="165">
        <f t="shared" si="0"/>
        <v>10</v>
      </c>
      <c r="Q27" s="162">
        <f t="shared" si="1"/>
        <v>4.09</v>
      </c>
      <c r="R27" s="18"/>
    </row>
    <row r="28" spans="1:18" s="160" customFormat="1" ht="27.75" customHeight="1">
      <c r="A28" s="166">
        <f t="shared" si="3"/>
        <v>18</v>
      </c>
      <c r="B28" s="171"/>
      <c r="C28" s="169" t="s">
        <v>1093</v>
      </c>
      <c r="D28" s="168">
        <v>5</v>
      </c>
      <c r="E28" s="168">
        <f>IF($C28="","",VLOOKUP($C28,성분!$B$2:$O$51519,3,FALSE))/100*P28</f>
        <v>1.6</v>
      </c>
      <c r="F28" s="168">
        <f>IF($C28="","",VLOOKUP($C28,성분!$B$2:$O$51519,5,FALSE))/100*$P28</f>
        <v>0.27500000000000002</v>
      </c>
      <c r="G28" s="168">
        <f>IF($C28="","",VLOOKUP($C28,성분!$B$2:$O$51519,4,FALSE))/100*$P28</f>
        <v>0.17</v>
      </c>
      <c r="H28" s="168">
        <f>IF($C28="","",VLOOKUP($C28,성분!$B$2:$O$51519,6,FALSE))/100*$P28</f>
        <v>0.01</v>
      </c>
      <c r="I28" s="168">
        <f>IF($C28="","",VLOOKUP($C28,성분!$B$2:$O$51519,7,FALSE))/100*$P28</f>
        <v>16.25</v>
      </c>
      <c r="J28" s="168">
        <f>IF($C28="","",VLOOKUP($C28,성분!$B$2:$O$51519,8,FALSE))/100*$P28</f>
        <v>0.13</v>
      </c>
      <c r="K28" s="168">
        <f>IF($C28="","",VLOOKUP($C28,성분!$B$2:$O$51519,9,FALSE))/100*$P28</f>
        <v>44.1</v>
      </c>
      <c r="L28" s="168">
        <f>IF($C28="","",VLOOKUP($C28,성분!$B$2:$O$51519,10,FALSE))/100*$P28</f>
        <v>5.5000000000000005E-3</v>
      </c>
      <c r="M28" s="168">
        <f>IF($C28="","",VLOOKUP($C28,성분!$B$2:$O$51519,11,FALSE))/100*$P28</f>
        <v>1.4999999999999999E-2</v>
      </c>
      <c r="N28" s="168">
        <f>IF($C28="","",VLOOKUP($C28,성분!$B$2:$O$51519,12,FALSE))/100*$P28</f>
        <v>0.05</v>
      </c>
      <c r="O28" s="167">
        <f>IF($C28="","",VLOOKUP($C28,성분!$B$2:$O$51519,13,FALSE))/100*$P28</f>
        <v>2.15</v>
      </c>
      <c r="P28" s="165">
        <f t="shared" si="0"/>
        <v>5</v>
      </c>
      <c r="Q28" s="162">
        <f t="shared" si="1"/>
        <v>2.0449999999999999</v>
      </c>
      <c r="R28" s="18"/>
    </row>
    <row r="29" spans="1:18" s="160" customFormat="1" ht="27.75" customHeight="1">
      <c r="A29" s="166">
        <f t="shared" si="3"/>
        <v>19</v>
      </c>
      <c r="B29" s="171"/>
      <c r="C29" s="169" t="s">
        <v>1980</v>
      </c>
      <c r="D29" s="168">
        <v>5</v>
      </c>
      <c r="E29" s="168">
        <f>IF($C29="","",VLOOKUP($C29,성분!$B$2:$O$51519,3,FALSE))/100*P29</f>
        <v>1.7000000000000002</v>
      </c>
      <c r="F29" s="168">
        <f>IF($C29="","",VLOOKUP($C29,성분!$B$2:$O$51519,5,FALSE))/100*$P29</f>
        <v>0.35150000000000003</v>
      </c>
      <c r="G29" s="168">
        <f>IF($C29="","",VLOOKUP($C29,성분!$B$2:$O$51519,4,FALSE))/100*$P29</f>
        <v>0.05</v>
      </c>
      <c r="H29" s="168">
        <f>IF($C29="","",VLOOKUP($C29,성분!$B$2:$O$51519,6,FALSE))/100*$P29</f>
        <v>6.4999999999999997E-3</v>
      </c>
      <c r="I29" s="168">
        <f>IF($C29="","",VLOOKUP($C29,성분!$B$2:$O$51519,7,FALSE))/100*$P29</f>
        <v>1.9</v>
      </c>
      <c r="J29" s="168">
        <f>IF($C29="","",VLOOKUP($C29,성분!$B$2:$O$51519,8,FALSE))/100*$P29</f>
        <v>3.4999999999999996E-2</v>
      </c>
      <c r="K29" s="168">
        <f>IF($C29="","",VLOOKUP($C29,성분!$B$2:$O$51519,9,FALSE))/100*$P29</f>
        <v>62.85</v>
      </c>
      <c r="L29" s="168">
        <f>IF($C29="","",VLOOKUP($C29,성분!$B$2:$O$51519,10,FALSE))/100*$P29</f>
        <v>2.9999999999999996E-3</v>
      </c>
      <c r="M29" s="168">
        <f>IF($C29="","",VLOOKUP($C29,성분!$B$2:$O$51519,11,FALSE))/100*$P29</f>
        <v>2E-3</v>
      </c>
      <c r="N29" s="168">
        <f>IF($C29="","",VLOOKUP($C29,성분!$B$2:$O$51519,12,FALSE))/100*$P29</f>
        <v>0.04</v>
      </c>
      <c r="O29" s="167">
        <f>IF($C29="","",VLOOKUP($C29,성분!$B$2:$O$51519,13,FALSE))/100*$P29</f>
        <v>0.3</v>
      </c>
      <c r="P29" s="165">
        <f t="shared" si="0"/>
        <v>5</v>
      </c>
      <c r="Q29" s="162">
        <f t="shared" si="1"/>
        <v>2.0449999999999999</v>
      </c>
      <c r="R29" s="18"/>
    </row>
    <row r="30" spans="1:18" s="160" customFormat="1" ht="27.75" customHeight="1">
      <c r="A30" s="166">
        <f t="shared" si="3"/>
        <v>20</v>
      </c>
      <c r="B30" s="171"/>
      <c r="C30" s="169" t="s">
        <v>2358</v>
      </c>
      <c r="D30" s="168">
        <v>5</v>
      </c>
      <c r="E30" s="168">
        <f>IF($C30="","",VLOOKUP($C30,성분!$B$2:$O$51519,3,FALSE))/100*P30</f>
        <v>28</v>
      </c>
      <c r="F30" s="168">
        <f>IF($C30="","",VLOOKUP($C30,성분!$B$2:$O$51519,5,FALSE))/100*$P30</f>
        <v>1.2310000000000001</v>
      </c>
      <c r="G30" s="168">
        <f>IF($C30="","",VLOOKUP($C30,성분!$B$2:$O$51519,4,FALSE))/100*$P30</f>
        <v>1.4215</v>
      </c>
      <c r="H30" s="168">
        <f>IF($C30="","",VLOOKUP($C30,성분!$B$2:$O$51519,6,FALSE))/100*$P30</f>
        <v>2.1555</v>
      </c>
      <c r="I30" s="168">
        <f>IF($C30="","",VLOOKUP($C30,성분!$B$2:$O$51519,7,FALSE))/100*$P30</f>
        <v>2.4</v>
      </c>
      <c r="J30" s="168">
        <f>IF($C30="","",VLOOKUP($C30,성분!$B$2:$O$51519,8,FALSE))/100*$P30</f>
        <v>0.10200000000000001</v>
      </c>
      <c r="K30" s="168">
        <f>IF($C30="","",VLOOKUP($C30,성분!$B$2:$O$51519,9,FALSE))/100*$P30</f>
        <v>0</v>
      </c>
      <c r="L30" s="168">
        <f>IF($C30="","",VLOOKUP($C30,성분!$B$2:$O$51519,10,FALSE))/100*$P30</f>
        <v>3.85E-2</v>
      </c>
      <c r="M30" s="168">
        <f>IF($C30="","",VLOOKUP($C30,성분!$B$2:$O$51519,11,FALSE))/100*$P30</f>
        <v>1.7000000000000001E-2</v>
      </c>
      <c r="N30" s="168">
        <f>IF($C30="","",VLOOKUP($C30,성분!$B$2:$O$51519,12,FALSE))/100*$P30</f>
        <v>0.16600000000000001</v>
      </c>
      <c r="O30" s="167">
        <f>IF($C30="","",VLOOKUP($C30,성분!$B$2:$O$51519,13,FALSE))/100*$P30</f>
        <v>0</v>
      </c>
      <c r="P30" s="165">
        <f t="shared" si="0"/>
        <v>5</v>
      </c>
      <c r="Q30" s="162">
        <f t="shared" si="1"/>
        <v>2.0449999999999999</v>
      </c>
      <c r="R30" s="18"/>
    </row>
    <row r="31" spans="1:18" s="160" customFormat="1" ht="27.75" customHeight="1">
      <c r="A31" s="166">
        <v>26</v>
      </c>
      <c r="B31" s="170"/>
      <c r="C31" s="172" t="s">
        <v>1306</v>
      </c>
      <c r="D31" s="168">
        <v>3</v>
      </c>
      <c r="E31" s="168">
        <f>IF($C31="","",VLOOKUP($C31,성분!$B$2:$O$51519,3,FALSE))/100*P31</f>
        <v>8.16</v>
      </c>
      <c r="F31" s="168">
        <f>IF($C31="","",VLOOKUP($C31,성분!$B$2:$O$51519,5,FALSE))/100*$P31</f>
        <v>1.2330000000000001</v>
      </c>
      <c r="G31" s="168">
        <f>IF($C31="","",VLOOKUP($C31,성분!$B$2:$O$51519,4,FALSE))/100*$P31</f>
        <v>0.60000000000000009</v>
      </c>
      <c r="H31" s="168">
        <f>IF($C31="","",VLOOKUP($C31,성분!$B$2:$O$51519,6,FALSE))/100*$P31</f>
        <v>6.9000000000000006E-2</v>
      </c>
      <c r="I31" s="168">
        <f>IF($C31="","",VLOOKUP($C31,성분!$B$2:$O$51519,7,FALSE))/100*$P31</f>
        <v>12.299999999999999</v>
      </c>
      <c r="J31" s="168">
        <f>IF($C31="","",VLOOKUP($C31,성분!$B$2:$O$51519,8,FALSE))/100*$P31</f>
        <v>0.15000000000000002</v>
      </c>
      <c r="K31" s="168">
        <f>IF($C31="","",VLOOKUP($C31,성분!$B$2:$O$51519,9,FALSE))/100*$P31</f>
        <v>7.1999999999999993</v>
      </c>
      <c r="L31" s="168">
        <f>IF($C31="","",VLOOKUP($C31,성분!$B$2:$O$51519,10,FALSE))/100*$P31</f>
        <v>9.0000000000000011E-3</v>
      </c>
      <c r="M31" s="168">
        <f>IF($C31="","",VLOOKUP($C31,성분!$B$2:$O$51519,11,FALSE))/100*$P31</f>
        <v>3.0000000000000001E-3</v>
      </c>
      <c r="N31" s="168">
        <f>IF($C31="","",VLOOKUP($C31,성분!$B$2:$O$51519,12,FALSE))/100*$P31</f>
        <v>0.15000000000000002</v>
      </c>
      <c r="O31" s="167">
        <f>IF($C31="","",VLOOKUP($C31,성분!$B$2:$O$51519,13,FALSE))/100*$P31</f>
        <v>1.1099999999999999</v>
      </c>
      <c r="P31" s="165">
        <f t="shared" si="0"/>
        <v>3</v>
      </c>
      <c r="Q31" s="162">
        <f t="shared" si="1"/>
        <v>1.2270000000000001</v>
      </c>
      <c r="R31" s="18"/>
    </row>
    <row r="32" spans="1:18" s="160" customFormat="1" ht="27.75" customHeight="1">
      <c r="A32" s="166">
        <v>27</v>
      </c>
      <c r="B32" s="170"/>
      <c r="C32" s="172" t="s">
        <v>2434</v>
      </c>
      <c r="D32" s="168">
        <v>5</v>
      </c>
      <c r="E32" s="168">
        <f>IF($C32="","",VLOOKUP($C32,성분!$B$2:$O$51519,3,FALSE))/100*P32</f>
        <v>11</v>
      </c>
      <c r="F32" s="168">
        <f>IF($C32="","",VLOOKUP($C32,성분!$B$2:$O$51519,5,FALSE))/100*$P32</f>
        <v>2.464</v>
      </c>
      <c r="G32" s="168">
        <f>IF($C32="","",VLOOKUP($C32,성분!$B$2:$O$51519,4,FALSE))/100*$P32</f>
        <v>0.24099999999999999</v>
      </c>
      <c r="H32" s="168">
        <f>IF($C32="","",VLOOKUP($C32,성분!$B$2:$O$51519,6,FALSE))/100*$P32</f>
        <v>2.1499999999999998E-2</v>
      </c>
      <c r="I32" s="168">
        <f>IF($C32="","",VLOOKUP($C32,성분!$B$2:$O$51519,7,FALSE))/100*$P32</f>
        <v>0</v>
      </c>
      <c r="J32" s="168">
        <f>IF($C32="","",VLOOKUP($C32,성분!$B$2:$O$51519,8,FALSE))/100*$P32</f>
        <v>0</v>
      </c>
      <c r="K32" s="168">
        <f>IF($C32="","",VLOOKUP($C32,성분!$B$2:$O$51519,9,FALSE))/100*$P32</f>
        <v>0</v>
      </c>
      <c r="L32" s="168">
        <f>IF($C32="","",VLOOKUP($C32,성분!$B$2:$O$51519,10,FALSE))/100*$P32</f>
        <v>0</v>
      </c>
      <c r="M32" s="168">
        <f>IF($C32="","",VLOOKUP($C32,성분!$B$2:$O$51519,11,FALSE))/100*$P32</f>
        <v>0</v>
      </c>
      <c r="N32" s="168">
        <f>IF($C32="","",VLOOKUP($C32,성분!$B$2:$O$51519,12,FALSE))/100*$P32</f>
        <v>0</v>
      </c>
      <c r="O32" s="167">
        <f>IF($C32="","",VLOOKUP($C32,성분!$B$2:$O$51519,13,FALSE))/100*$P32</f>
        <v>0</v>
      </c>
      <c r="P32" s="165">
        <f t="shared" ref="P32:P35" si="9">D32</f>
        <v>5</v>
      </c>
      <c r="Q32" s="162">
        <f t="shared" ref="Q32" si="10">($O$8*P32)/1000</f>
        <v>2.0449999999999999</v>
      </c>
      <c r="R32" s="18"/>
    </row>
    <row r="33" spans="1:19" s="160" customFormat="1" ht="27.75" customHeight="1">
      <c r="A33" s="166">
        <v>27</v>
      </c>
      <c r="B33" s="170" t="s">
        <v>2334</v>
      </c>
      <c r="C33" s="172" t="s">
        <v>2334</v>
      </c>
      <c r="D33" s="168">
        <v>12</v>
      </c>
      <c r="E33" s="168">
        <f>IF($C33="","",VLOOKUP($C33,성분!$B$2:$O$51519,3,FALSE))/100*P33</f>
        <v>25.56</v>
      </c>
      <c r="F33" s="168">
        <f>IF($C33="","",VLOOKUP($C33,성분!$B$2:$O$51519,5,FALSE))/100*$P33</f>
        <v>5.0520000000000005</v>
      </c>
      <c r="G33" s="168">
        <f>IF($C33="","",VLOOKUP($C33,성분!$B$2:$O$51519,4,FALSE))/100*$P33</f>
        <v>2.8560000000000003</v>
      </c>
      <c r="H33" s="168">
        <f>IF($C33="","",VLOOKUP($C33,성분!$B$2:$O$51519,6,FALSE))/100*$P33</f>
        <v>8.3999999999999991E-2</v>
      </c>
      <c r="I33" s="168">
        <f>IF($C33="","",VLOOKUP($C33,성분!$B$2:$O$51519,7,FALSE))/100*$P33</f>
        <v>78.239999999999995</v>
      </c>
      <c r="J33" s="168">
        <f>IF($C33="","",VLOOKUP($C33,성분!$B$2:$O$51519,8,FALSE))/100*$P33</f>
        <v>2.0640000000000001</v>
      </c>
      <c r="K33" s="168">
        <f>IF($C33="","",VLOOKUP($C33,성분!$B$2:$O$51519,9,FALSE))/100*$P33</f>
        <v>0</v>
      </c>
      <c r="L33" s="168">
        <f>IF($C33="","",VLOOKUP($C33,성분!$B$2:$O$51519,10,FALSE))/100*$P33</f>
        <v>4.8000000000000001E-2</v>
      </c>
      <c r="M33" s="168">
        <f>IF($C33="","",VLOOKUP($C33,성분!$B$2:$O$51519,11,FALSE))/100*$P33</f>
        <v>6.2399999999999997E-2</v>
      </c>
      <c r="N33" s="168">
        <f>IF($C33="","",VLOOKUP($C33,성분!$B$2:$O$51519,12,FALSE))/100*$P33</f>
        <v>1.2000000000000002</v>
      </c>
      <c r="O33" s="167">
        <f>IF($C33="","",VLOOKUP($C33,성분!$B$2:$O$51519,13,FALSE))/100*$P33</f>
        <v>1.2000000000000002</v>
      </c>
      <c r="P33" s="165">
        <f t="shared" si="9"/>
        <v>12</v>
      </c>
      <c r="Q33" s="162">
        <f t="shared" si="1"/>
        <v>4.9080000000000004</v>
      </c>
      <c r="R33" s="18"/>
    </row>
    <row r="34" spans="1:19" s="160" customFormat="1" ht="27.75" customHeight="1">
      <c r="A34" s="166">
        <v>28</v>
      </c>
      <c r="B34" s="189" t="s">
        <v>1084</v>
      </c>
      <c r="C34" s="190" t="s">
        <v>1084</v>
      </c>
      <c r="D34" s="188">
        <v>30</v>
      </c>
      <c r="E34" s="168">
        <f>IF($C34="","",VLOOKUP($C34,성분!$B$2:$O$51519,3,FALSE))/100*P34</f>
        <v>15</v>
      </c>
      <c r="F34" s="168">
        <f>IF($C34="","",VLOOKUP($C34,성분!$B$2:$O$51519,5,FALSE))/100*$P34</f>
        <v>1.32</v>
      </c>
      <c r="G34" s="168">
        <f>IF($C34="","",VLOOKUP($C34,성분!$B$2:$O$51519,4,FALSE))/100*$P34</f>
        <v>0.6</v>
      </c>
      <c r="H34" s="168">
        <f>IF($C34="","",VLOOKUP($C34,성분!$B$2:$O$51519,6,FALSE))/100*$P34</f>
        <v>0.06</v>
      </c>
      <c r="I34" s="168">
        <f>IF($C34="","",VLOOKUP($C34,성분!$B$2:$O$51519,7,FALSE))/100*$P34</f>
        <v>14.1</v>
      </c>
      <c r="J34" s="168">
        <f>IF($C34="","",VLOOKUP($C34,성분!$B$2:$O$51519,8,FALSE))/100*$P34</f>
        <v>0.89999999999999991</v>
      </c>
      <c r="K34" s="168">
        <f>IF($C34="","",VLOOKUP($C34,성분!$B$2:$O$51519,9,FALSE))/100*$P34</f>
        <v>14.399999999999999</v>
      </c>
      <c r="L34" s="168">
        <f>IF($C34="","",VLOOKUP($C34,성분!$B$2:$O$51519,10,FALSE))/100*$P34</f>
        <v>1.7999999999999999E-2</v>
      </c>
      <c r="M34" s="168">
        <f>IF($C34="","",VLOOKUP($C34,성분!$B$2:$O$51519,11,FALSE))/100*$P34</f>
        <v>1.7999999999999999E-2</v>
      </c>
      <c r="N34" s="168">
        <f>IF($C34="","",VLOOKUP($C34,성분!$B$2:$O$51519,12,FALSE))/100*$P34</f>
        <v>0.24</v>
      </c>
      <c r="O34" s="167">
        <f>IF($C34="","",VLOOKUP($C34,성분!$B$2:$O$51519,13,FALSE))/100*$P34</f>
        <v>4.2</v>
      </c>
      <c r="P34" s="165">
        <f t="shared" si="9"/>
        <v>30</v>
      </c>
      <c r="Q34" s="162"/>
      <c r="R34" s="18"/>
    </row>
    <row r="35" spans="1:19" s="160" customFormat="1" ht="27.75" customHeight="1">
      <c r="A35" s="185"/>
      <c r="B35" s="189" t="s">
        <v>2361</v>
      </c>
      <c r="C35" s="190" t="s">
        <v>2361</v>
      </c>
      <c r="D35" s="188">
        <v>28</v>
      </c>
      <c r="E35" s="168">
        <f>IF($C35="","",VLOOKUP($C35,성분!$B$2:$O$51519,3,FALSE))/100*P35</f>
        <v>83.44</v>
      </c>
      <c r="F35" s="168">
        <f>IF($C35="","",VLOOKUP($C35,성분!$B$2:$O$51519,5,FALSE))/100*$P35</f>
        <v>14.812000000000001</v>
      </c>
      <c r="G35" s="168">
        <f>IF($C35="","",VLOOKUP($C35,성분!$B$2:$O$51519,4,FALSE))/100*$P35</f>
        <v>1.54</v>
      </c>
      <c r="H35" s="168">
        <f>IF($C35="","",VLOOKUP($C35,성분!$B$2:$O$51519,6,FALSE))/100*$P35</f>
        <v>0</v>
      </c>
      <c r="I35" s="168">
        <f>IF($C35="","",VLOOKUP($C35,성분!$B$2:$O$51519,7,FALSE))/100*$P35</f>
        <v>0</v>
      </c>
      <c r="J35" s="168">
        <f>IF($C35="","",VLOOKUP($C35,성분!$B$2:$O$51519,8,FALSE))/100*$P35</f>
        <v>0</v>
      </c>
      <c r="K35" s="168">
        <f>IF($C35="","",VLOOKUP($C35,성분!$B$2:$O$51519,9,FALSE))/100*$P35</f>
        <v>0</v>
      </c>
      <c r="L35" s="168">
        <f>IF($C35="","",VLOOKUP($C35,성분!$B$2:$O$51519,10,FALSE))/100*$P35</f>
        <v>0</v>
      </c>
      <c r="M35" s="168">
        <f>IF($C35="","",VLOOKUP($C35,성분!$B$2:$O$51519,11,FALSE))/100*$P35</f>
        <v>0</v>
      </c>
      <c r="N35" s="168">
        <f>IF($C35="","",VLOOKUP($C35,성분!$B$2:$O$51519,12,FALSE))/100*$P35</f>
        <v>0</v>
      </c>
      <c r="O35" s="167">
        <f>IF($C35="","",VLOOKUP($C35,성분!$B$2:$O$51519,13,FALSE))/100*$P35</f>
        <v>0</v>
      </c>
      <c r="P35" s="165">
        <f t="shared" si="9"/>
        <v>28</v>
      </c>
      <c r="Q35" s="162"/>
      <c r="R35" s="18"/>
    </row>
    <row r="36" spans="1:19" s="160" customFormat="1" ht="32.25" customHeight="1">
      <c r="A36" s="235" t="s">
        <v>1628</v>
      </c>
      <c r="B36" s="236"/>
      <c r="C36" s="236"/>
      <c r="D36" s="237"/>
      <c r="E36" s="19">
        <f>SUM(E11:E35)</f>
        <v>803.22</v>
      </c>
      <c r="F36" s="19">
        <f t="shared" ref="F36:O36" si="11">SUM(F11:F35)</f>
        <v>158.93379999999996</v>
      </c>
      <c r="G36" s="19">
        <f t="shared" si="11"/>
        <v>35.525500000000008</v>
      </c>
      <c r="H36" s="19">
        <f t="shared" si="11"/>
        <v>24.018500000000003</v>
      </c>
      <c r="I36" s="44">
        <f t="shared" si="11"/>
        <v>354.95</v>
      </c>
      <c r="J36" s="44">
        <f t="shared" si="11"/>
        <v>9.3850000000000016</v>
      </c>
      <c r="K36" s="44">
        <f t="shared" si="11"/>
        <v>438.94000000000005</v>
      </c>
      <c r="L36" s="44">
        <f t="shared" si="11"/>
        <v>0.51480000000000004</v>
      </c>
      <c r="M36" s="19">
        <f t="shared" si="11"/>
        <v>0.30420000000000003</v>
      </c>
      <c r="N36" s="19">
        <f t="shared" si="11"/>
        <v>4.4588999999999999</v>
      </c>
      <c r="O36" s="19">
        <f t="shared" si="11"/>
        <v>20.73</v>
      </c>
      <c r="P36" s="165">
        <f t="shared" si="0"/>
        <v>0</v>
      </c>
      <c r="Q36" s="162">
        <f t="shared" si="1"/>
        <v>0</v>
      </c>
      <c r="R36" s="18">
        <f t="shared" si="2"/>
        <v>0</v>
      </c>
    </row>
    <row r="37" spans="1:19" s="21" customFormat="1" ht="32.25" customHeight="1">
      <c r="A37" s="238" t="s">
        <v>1790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40"/>
      <c r="P37" s="20"/>
      <c r="Q37" s="160"/>
      <c r="R37" s="18">
        <f>INT(Q37)</f>
        <v>0</v>
      </c>
    </row>
    <row r="38" spans="1:19" s="160" customFormat="1" ht="19.5" customHeight="1">
      <c r="A38" s="220" t="s">
        <v>1629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2"/>
      <c r="S38" s="18">
        <f>INT(R38)</f>
        <v>0</v>
      </c>
    </row>
    <row r="39" spans="1:19" s="160" customFormat="1" ht="20.100000000000001" customHeight="1">
      <c r="A39" s="247" t="s">
        <v>1630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9"/>
      <c r="P39" s="244" t="s">
        <v>5</v>
      </c>
      <c r="Q39" s="245"/>
      <c r="R39" s="250">
        <v>5000</v>
      </c>
      <c r="S39" s="250"/>
    </row>
    <row r="40" spans="1:19" s="160" customFormat="1" ht="20.100000000000001" customHeight="1">
      <c r="A40" s="251" t="s">
        <v>1769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3"/>
      <c r="P40" s="244" t="s">
        <v>6</v>
      </c>
      <c r="Q40" s="245"/>
      <c r="R40" s="250">
        <f>R39*0.72</f>
        <v>3600</v>
      </c>
      <c r="S40" s="250"/>
    </row>
    <row r="41" spans="1:19" s="160" customFormat="1" ht="20.100000000000001" customHeight="1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3"/>
      <c r="P41" s="244" t="s">
        <v>1631</v>
      </c>
      <c r="Q41" s="245"/>
      <c r="R41" s="246">
        <v>0.72</v>
      </c>
      <c r="S41" s="246"/>
    </row>
    <row r="42" spans="1:19" s="160" customFormat="1" ht="20.100000000000001" customHeight="1">
      <c r="C42" s="3"/>
      <c r="D42" s="24"/>
      <c r="E42" s="25"/>
      <c r="F42" s="25"/>
      <c r="G42" s="169">
        <v>667</v>
      </c>
      <c r="H42" s="169">
        <v>15</v>
      </c>
      <c r="I42" s="169">
        <v>300</v>
      </c>
      <c r="J42" s="169">
        <v>5.4</v>
      </c>
      <c r="K42" s="169">
        <v>234</v>
      </c>
      <c r="L42" s="169">
        <v>0.34</v>
      </c>
      <c r="M42" s="169">
        <v>0.4</v>
      </c>
      <c r="N42" s="169">
        <v>5.26</v>
      </c>
      <c r="O42" s="169">
        <v>33.4</v>
      </c>
      <c r="P42" s="182"/>
      <c r="Q42" s="182"/>
      <c r="R42" s="23"/>
      <c r="S42" s="23"/>
    </row>
    <row r="43" spans="1:19" s="160" customFormat="1" ht="20.100000000000001" customHeight="1">
      <c r="A43" s="2"/>
      <c r="B43" s="2"/>
      <c r="C43" s="3"/>
      <c r="D43" s="4"/>
      <c r="E43" s="5"/>
      <c r="F43" s="5"/>
      <c r="G43" s="5"/>
      <c r="H43" s="5"/>
      <c r="I43" s="5"/>
      <c r="J43" s="2"/>
      <c r="K43" s="5"/>
      <c r="L43" s="5"/>
      <c r="M43" s="5"/>
      <c r="N43" s="5"/>
      <c r="O43" s="6"/>
    </row>
    <row r="44" spans="1:19" s="160" customFormat="1" ht="20.100000000000001" customHeight="1">
      <c r="A44" s="2"/>
      <c r="B44" s="2"/>
      <c r="C44" s="2"/>
      <c r="D44" s="4"/>
      <c r="E44" s="2"/>
      <c r="F44" s="2"/>
      <c r="G44" s="5"/>
      <c r="H44" s="5"/>
      <c r="I44" s="5"/>
      <c r="J44" s="5"/>
      <c r="K44" s="5"/>
      <c r="L44" s="5"/>
      <c r="M44" s="5"/>
      <c r="N44" s="5"/>
      <c r="O44" s="6"/>
    </row>
    <row r="45" spans="1:19" ht="12">
      <c r="C45" s="2"/>
    </row>
    <row r="46" spans="1:19" ht="12">
      <c r="C46" s="2"/>
    </row>
    <row r="1352" spans="4:4">
      <c r="D1352" s="2">
        <v>240</v>
      </c>
    </row>
  </sheetData>
  <mergeCells count="41">
    <mergeCell ref="A1:B1"/>
    <mergeCell ref="C1:D1"/>
    <mergeCell ref="K1:K4"/>
    <mergeCell ref="D2:E2"/>
    <mergeCell ref="L2:L4"/>
    <mergeCell ref="N2:N4"/>
    <mergeCell ref="O2:O4"/>
    <mergeCell ref="A3:B3"/>
    <mergeCell ref="C3:D3"/>
    <mergeCell ref="L5:M5"/>
    <mergeCell ref="M2:M4"/>
    <mergeCell ref="P6:R7"/>
    <mergeCell ref="A7:C7"/>
    <mergeCell ref="D7:E7"/>
    <mergeCell ref="F7:G7"/>
    <mergeCell ref="H7:J7"/>
    <mergeCell ref="K7:L7"/>
    <mergeCell ref="M7:N7"/>
    <mergeCell ref="A6:N6"/>
    <mergeCell ref="O6:O7"/>
    <mergeCell ref="A38:O38"/>
    <mergeCell ref="A8:C8"/>
    <mergeCell ref="D8:E8"/>
    <mergeCell ref="F8:G8"/>
    <mergeCell ref="H8:J8"/>
    <mergeCell ref="K8:L8"/>
    <mergeCell ref="M8:N8"/>
    <mergeCell ref="O8:O9"/>
    <mergeCell ref="A9:C9"/>
    <mergeCell ref="D9:N9"/>
    <mergeCell ref="A36:D36"/>
    <mergeCell ref="A37:O37"/>
    <mergeCell ref="A41:O41"/>
    <mergeCell ref="P41:Q41"/>
    <mergeCell ref="R41:S41"/>
    <mergeCell ref="A39:O39"/>
    <mergeCell ref="P39:Q39"/>
    <mergeCell ref="R39:S39"/>
    <mergeCell ref="A40:O40"/>
    <mergeCell ref="P40:Q40"/>
    <mergeCell ref="R40:S40"/>
  </mergeCells>
  <phoneticPr fontId="7" type="noConversion"/>
  <printOptions horizontalCentered="1"/>
  <pageMargins left="0.23622047244094491" right="0.23622047244094491" top="1.1811023622047245" bottom="0" header="0.31496062992125984" footer="0.31496062992125984"/>
  <pageSetup paperSize="9" scale="69" orientation="portrait" horizontalDpi="4294967293" r:id="rId1"/>
  <headerFooter alignWithMargins="0">
    <oddHeader>&amp;C&amp;"굴림체,굵게"&amp;18
학    교    급    식    일    지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5854-94A5-4888-9991-562441658B69}">
  <dimension ref="A1:O8"/>
  <sheetViews>
    <sheetView workbookViewId="0">
      <selection activeCell="K24" sqref="K24"/>
    </sheetView>
  </sheetViews>
  <sheetFormatPr defaultRowHeight="13.5"/>
  <cols>
    <col min="13" max="15" width="8.33203125" customWidth="1"/>
  </cols>
  <sheetData>
    <row r="1" spans="1:15">
      <c r="M1" s="192" t="s">
        <v>2371</v>
      </c>
      <c r="N1" s="192" t="s">
        <v>2372</v>
      </c>
      <c r="O1" s="192" t="s">
        <v>2373</v>
      </c>
    </row>
    <row r="2" spans="1:15">
      <c r="M2" s="192" t="s">
        <v>2547</v>
      </c>
      <c r="N2" s="192"/>
      <c r="O2" s="192"/>
    </row>
    <row r="3" spans="1:15">
      <c r="M3" s="192"/>
      <c r="N3" s="192"/>
      <c r="O3" s="192"/>
    </row>
    <row r="4" spans="1:15">
      <c r="M4" s="192"/>
      <c r="N4" s="192"/>
      <c r="O4" s="192"/>
    </row>
    <row r="8" spans="1:15">
      <c r="A8" t="s">
        <v>2437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20</vt:i4>
      </vt:variant>
    </vt:vector>
  </HeadingPairs>
  <TitlesOfParts>
    <vt:vector size="42" baseType="lpstr">
      <vt:lpstr>성분</vt:lpstr>
      <vt:lpstr>원본</vt:lpstr>
      <vt:lpstr>1화</vt:lpstr>
      <vt:lpstr>2수</vt:lpstr>
      <vt:lpstr>3목</vt:lpstr>
      <vt:lpstr>4금</vt:lpstr>
      <vt:lpstr>7월</vt:lpstr>
      <vt:lpstr>8화</vt:lpstr>
      <vt:lpstr>9수</vt:lpstr>
      <vt:lpstr>10목</vt:lpstr>
      <vt:lpstr>11금</vt:lpstr>
      <vt:lpstr>14월</vt:lpstr>
      <vt:lpstr>15화</vt:lpstr>
      <vt:lpstr>16수</vt:lpstr>
      <vt:lpstr>17목</vt:lpstr>
      <vt:lpstr>18금</vt:lpstr>
      <vt:lpstr>21월</vt:lpstr>
      <vt:lpstr>22화</vt:lpstr>
      <vt:lpstr>23수</vt:lpstr>
      <vt:lpstr>24목</vt:lpstr>
      <vt:lpstr>25금</vt:lpstr>
      <vt:lpstr>Sheet9</vt:lpstr>
      <vt:lpstr>'10목'!Print_Area</vt:lpstr>
      <vt:lpstr>'11금'!Print_Area</vt:lpstr>
      <vt:lpstr>'14월'!Print_Area</vt:lpstr>
      <vt:lpstr>'15화'!Print_Area</vt:lpstr>
      <vt:lpstr>'16수'!Print_Area</vt:lpstr>
      <vt:lpstr>'17목'!Print_Area</vt:lpstr>
      <vt:lpstr>'18금'!Print_Area</vt:lpstr>
      <vt:lpstr>'1화'!Print_Area</vt:lpstr>
      <vt:lpstr>'21월'!Print_Area</vt:lpstr>
      <vt:lpstr>'22화'!Print_Area</vt:lpstr>
      <vt:lpstr>'23수'!Print_Area</vt:lpstr>
      <vt:lpstr>'24목'!Print_Area</vt:lpstr>
      <vt:lpstr>'25금'!Print_Area</vt:lpstr>
      <vt:lpstr>'2수'!Print_Area</vt:lpstr>
      <vt:lpstr>'3목'!Print_Area</vt:lpstr>
      <vt:lpstr>'4금'!Print_Area</vt:lpstr>
      <vt:lpstr>'7월'!Print_Area</vt:lpstr>
      <vt:lpstr>'8화'!Print_Area</vt:lpstr>
      <vt:lpstr>'9수'!Print_Area</vt:lpstr>
      <vt:lpstr>원본!Print_Area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EMS1701</dc:creator>
  <cp:lastModifiedBy>user</cp:lastModifiedBy>
  <cp:lastPrinted>2025-04-25T00:18:44Z</cp:lastPrinted>
  <dcterms:created xsi:type="dcterms:W3CDTF">2018-06-24T02:31:28Z</dcterms:created>
  <dcterms:modified xsi:type="dcterms:W3CDTF">2025-04-25T00:19:11Z</dcterms:modified>
</cp:coreProperties>
</file>